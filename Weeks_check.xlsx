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hD_coding\WaterPaths_v01\"/>
    </mc:Choice>
  </mc:AlternateContent>
  <xr:revisionPtr revIDLastSave="0" documentId="8_{5A69306F-AF4E-48D9-A12C-5CC2F1870BF1}" xr6:coauthVersionLast="47" xr6:coauthVersionMax="47" xr10:uidLastSave="{00000000-0000-0000-0000-000000000000}"/>
  <bookViews>
    <workbookView xWindow="-110" yWindow="-110" windowWidth="19420" windowHeight="11500" xr2:uid="{07C30160-CD19-4740-9A33-35B442C7E454}"/>
  </bookViews>
  <sheets>
    <sheet name="Original" sheetId="2" r:id="rId1"/>
    <sheet name="Sheet5" sheetId="5" r:id="rId2"/>
    <sheet name="WSS" sheetId="3" r:id="rId3"/>
    <sheet name="Sheet4" sheetId="4" r:id="rId4"/>
    <sheet name="Sheet6" sheetId="6" r:id="rId5"/>
    <sheet name="Sheet7" sheetId="7" r:id="rId6"/>
    <sheet name="Sheet8" sheetId="8" r:id="rId7"/>
  </sheets>
  <definedNames>
    <definedName name="_xlnm._FilterDatabase" localSheetId="0" hidden="1">Original!$A$1:$L$508</definedName>
    <definedName name="_xlnm._FilterDatabase" localSheetId="3" hidden="1">Sheet4!$A$1:$L$508</definedName>
    <definedName name="_xlnm._FilterDatabase" localSheetId="1" hidden="1">Sheet5!$A$1:$L$508</definedName>
    <definedName name="_xlnm._FilterDatabase" localSheetId="5" hidden="1">Sheet7!$A$1:$L$505</definedName>
    <definedName name="_xlnm._FilterDatabase" localSheetId="2" hidden="1">WSS!$A$1:$L$498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2" l="1"/>
  <c r="N2" i="2"/>
  <c r="B6" i="8"/>
  <c r="C6" i="8"/>
  <c r="B7" i="8"/>
  <c r="C7" i="8"/>
  <c r="B8" i="8"/>
  <c r="C8" i="8"/>
  <c r="B9" i="8"/>
  <c r="C9" i="8"/>
  <c r="B10" i="8"/>
  <c r="C10" i="8"/>
  <c r="B11" i="8"/>
  <c r="C11" i="8"/>
  <c r="B12" i="8"/>
  <c r="C12" i="8"/>
  <c r="B13" i="8"/>
  <c r="C13" i="8"/>
  <c r="B14" i="8"/>
  <c r="C14" i="8"/>
  <c r="B15" i="8"/>
  <c r="C15" i="8"/>
  <c r="B16" i="8"/>
  <c r="C16" i="8"/>
  <c r="B17" i="8"/>
  <c r="C17" i="8"/>
  <c r="B18" i="8"/>
  <c r="C18" i="8"/>
  <c r="B19" i="8"/>
  <c r="C19" i="8"/>
  <c r="B20" i="8"/>
  <c r="C20" i="8"/>
  <c r="B21" i="8"/>
  <c r="C21" i="8"/>
  <c r="B22" i="8"/>
  <c r="C22" i="8"/>
  <c r="B23" i="8"/>
  <c r="C23" i="8"/>
  <c r="B24" i="8"/>
  <c r="C24" i="8"/>
  <c r="B25" i="8"/>
  <c r="C25" i="8"/>
  <c r="B26" i="8"/>
  <c r="C26" i="8"/>
  <c r="B27" i="8"/>
  <c r="C27" i="8"/>
  <c r="B28" i="8"/>
  <c r="C28" i="8"/>
  <c r="B29" i="8"/>
  <c r="C29" i="8"/>
  <c r="B30" i="8"/>
  <c r="C30" i="8"/>
  <c r="B31" i="8"/>
  <c r="C31" i="8"/>
  <c r="B32" i="8"/>
  <c r="C32" i="8"/>
  <c r="B33" i="8"/>
  <c r="C33" i="8"/>
  <c r="B34" i="8"/>
  <c r="C34" i="8"/>
  <c r="B35" i="8"/>
  <c r="C35" i="8"/>
  <c r="B36" i="8"/>
  <c r="C36" i="8"/>
  <c r="B37" i="8"/>
  <c r="C37" i="8"/>
  <c r="B38" i="8"/>
  <c r="C38" i="8"/>
  <c r="B39" i="8"/>
  <c r="C39" i="8"/>
  <c r="B40" i="8"/>
  <c r="C40" i="8"/>
  <c r="B41" i="8"/>
  <c r="C41" i="8"/>
  <c r="B42" i="8"/>
  <c r="C42" i="8"/>
  <c r="B43" i="8"/>
  <c r="C43" i="8"/>
  <c r="B44" i="8"/>
  <c r="C44" i="8"/>
  <c r="B45" i="8"/>
  <c r="C45" i="8"/>
  <c r="B46" i="8"/>
  <c r="C46" i="8"/>
  <c r="B47" i="8"/>
  <c r="C47" i="8"/>
  <c r="B48" i="8"/>
  <c r="C48" i="8"/>
  <c r="B49" i="8"/>
  <c r="C49" i="8"/>
  <c r="B50" i="8"/>
  <c r="C50" i="8"/>
  <c r="B51" i="8"/>
  <c r="C51" i="8"/>
  <c r="B52" i="8"/>
  <c r="C52" i="8"/>
  <c r="B53" i="8"/>
  <c r="C53" i="8"/>
  <c r="B54" i="8"/>
  <c r="C54" i="8"/>
  <c r="B55" i="8"/>
  <c r="C55" i="8"/>
  <c r="B56" i="8"/>
  <c r="C56" i="8"/>
  <c r="B57" i="8"/>
  <c r="C57" i="8"/>
  <c r="B58" i="8"/>
  <c r="C58" i="8"/>
  <c r="B59" i="8"/>
  <c r="C59" i="8"/>
  <c r="B60" i="8"/>
  <c r="C60" i="8"/>
  <c r="B61" i="8"/>
  <c r="C61" i="8"/>
  <c r="B62" i="8"/>
  <c r="C62" i="8"/>
  <c r="B63" i="8"/>
  <c r="C63" i="8"/>
  <c r="B64" i="8"/>
  <c r="C64" i="8"/>
  <c r="B65" i="8"/>
  <c r="C65" i="8"/>
  <c r="B66" i="8"/>
  <c r="C66" i="8"/>
  <c r="B67" i="8"/>
  <c r="C67" i="8"/>
  <c r="B68" i="8"/>
  <c r="C68" i="8"/>
  <c r="B69" i="8"/>
  <c r="C69" i="8"/>
  <c r="B70" i="8"/>
  <c r="C70" i="8"/>
  <c r="B71" i="8"/>
  <c r="C71" i="8"/>
  <c r="B72" i="8"/>
  <c r="C72" i="8"/>
  <c r="B73" i="8"/>
  <c r="C73" i="8"/>
  <c r="B74" i="8"/>
  <c r="C74" i="8"/>
  <c r="B75" i="8"/>
  <c r="C75" i="8"/>
  <c r="B76" i="8"/>
  <c r="C76" i="8"/>
  <c r="B77" i="8"/>
  <c r="C77" i="8"/>
  <c r="B78" i="8"/>
  <c r="C78" i="8"/>
  <c r="B79" i="8"/>
  <c r="C79" i="8"/>
  <c r="B80" i="8"/>
  <c r="C80" i="8"/>
  <c r="B81" i="8"/>
  <c r="C81" i="8"/>
  <c r="B82" i="8"/>
  <c r="C82" i="8"/>
  <c r="B83" i="8"/>
  <c r="C83" i="8"/>
  <c r="B84" i="8"/>
  <c r="C84" i="8"/>
  <c r="B85" i="8"/>
  <c r="C85" i="8"/>
  <c r="B86" i="8"/>
  <c r="C86" i="8"/>
  <c r="B87" i="8"/>
  <c r="C87" i="8"/>
  <c r="B88" i="8"/>
  <c r="C88" i="8"/>
  <c r="B89" i="8"/>
  <c r="C89" i="8"/>
  <c r="B90" i="8"/>
  <c r="C90" i="8"/>
  <c r="B91" i="8"/>
  <c r="C91" i="8"/>
  <c r="B92" i="8"/>
  <c r="C92" i="8"/>
  <c r="B93" i="8"/>
  <c r="C93" i="8"/>
  <c r="B94" i="8"/>
  <c r="C94" i="8"/>
  <c r="B95" i="8"/>
  <c r="C95" i="8"/>
  <c r="B96" i="8"/>
  <c r="C96" i="8"/>
  <c r="B97" i="8"/>
  <c r="C97" i="8"/>
  <c r="B98" i="8"/>
  <c r="C98" i="8"/>
  <c r="B99" i="8"/>
  <c r="C99" i="8"/>
  <c r="B100" i="8"/>
  <c r="C100" i="8"/>
  <c r="B101" i="8"/>
  <c r="C101" i="8"/>
  <c r="B102" i="8"/>
  <c r="C102" i="8"/>
  <c r="B103" i="8"/>
  <c r="C103" i="8"/>
  <c r="B104" i="8"/>
  <c r="C104" i="8"/>
  <c r="B105" i="8"/>
  <c r="C105" i="8"/>
  <c r="B106" i="8"/>
  <c r="C106" i="8"/>
  <c r="B107" i="8"/>
  <c r="C107" i="8"/>
  <c r="B108" i="8"/>
  <c r="C108" i="8"/>
  <c r="B109" i="8"/>
  <c r="C109" i="8"/>
  <c r="B110" i="8"/>
  <c r="C110" i="8"/>
  <c r="B111" i="8"/>
  <c r="C111" i="8"/>
  <c r="B112" i="8"/>
  <c r="C112" i="8"/>
  <c r="B113" i="8"/>
  <c r="C113" i="8"/>
  <c r="B114" i="8"/>
  <c r="C114" i="8"/>
  <c r="B115" i="8"/>
  <c r="C115" i="8"/>
  <c r="B116" i="8"/>
  <c r="C116" i="8"/>
  <c r="B117" i="8"/>
  <c r="C117" i="8"/>
  <c r="B118" i="8"/>
  <c r="C118" i="8"/>
  <c r="B119" i="8"/>
  <c r="C119" i="8"/>
  <c r="B120" i="8"/>
  <c r="C120" i="8"/>
  <c r="B121" i="8"/>
  <c r="C121" i="8"/>
  <c r="B122" i="8"/>
  <c r="C122" i="8"/>
  <c r="B123" i="8"/>
  <c r="C123" i="8"/>
  <c r="B124" i="8"/>
  <c r="C124" i="8"/>
  <c r="B125" i="8"/>
  <c r="C125" i="8"/>
  <c r="B126" i="8"/>
  <c r="C126" i="8"/>
  <c r="B127" i="8"/>
  <c r="C127" i="8"/>
  <c r="B128" i="8"/>
  <c r="C128" i="8"/>
  <c r="B129" i="8"/>
  <c r="C129" i="8"/>
  <c r="B130" i="8"/>
  <c r="C130" i="8"/>
  <c r="B131" i="8"/>
  <c r="C131" i="8"/>
  <c r="B132" i="8"/>
  <c r="C132" i="8"/>
  <c r="B133" i="8"/>
  <c r="C133" i="8"/>
  <c r="B134" i="8"/>
  <c r="C134" i="8"/>
  <c r="B135" i="8"/>
  <c r="C135" i="8"/>
  <c r="B136" i="8"/>
  <c r="C136" i="8"/>
  <c r="B137" i="8"/>
  <c r="C137" i="8"/>
  <c r="B138" i="8"/>
  <c r="C138" i="8"/>
  <c r="B139" i="8"/>
  <c r="C139" i="8"/>
  <c r="B140" i="8"/>
  <c r="C140" i="8"/>
  <c r="B141" i="8"/>
  <c r="C141" i="8"/>
  <c r="B142" i="8"/>
  <c r="C142" i="8"/>
  <c r="B143" i="8"/>
  <c r="C143" i="8"/>
  <c r="B144" i="8"/>
  <c r="C144" i="8"/>
  <c r="B145" i="8"/>
  <c r="C145" i="8"/>
  <c r="B146" i="8"/>
  <c r="C146" i="8"/>
  <c r="B147" i="8"/>
  <c r="C147" i="8"/>
  <c r="B148" i="8"/>
  <c r="C148" i="8"/>
  <c r="B149" i="8"/>
  <c r="C149" i="8"/>
  <c r="B150" i="8"/>
  <c r="C150" i="8"/>
  <c r="B151" i="8"/>
  <c r="C151" i="8"/>
  <c r="B152" i="8"/>
  <c r="C152" i="8"/>
  <c r="B153" i="8"/>
  <c r="C153" i="8"/>
  <c r="B154" i="8"/>
  <c r="C154" i="8"/>
  <c r="B155" i="8"/>
  <c r="C155" i="8"/>
  <c r="B156" i="8"/>
  <c r="C156" i="8"/>
  <c r="B157" i="8"/>
  <c r="C157" i="8"/>
  <c r="B158" i="8"/>
  <c r="C158" i="8"/>
  <c r="B159" i="8"/>
  <c r="C159" i="8"/>
  <c r="B160" i="8"/>
  <c r="C160" i="8"/>
  <c r="B161" i="8"/>
  <c r="C161" i="8"/>
  <c r="B162" i="8"/>
  <c r="C162" i="8"/>
  <c r="B163" i="8"/>
  <c r="C163" i="8"/>
  <c r="B164" i="8"/>
  <c r="C164" i="8"/>
  <c r="B165" i="8"/>
  <c r="C165" i="8"/>
  <c r="B166" i="8"/>
  <c r="C166" i="8"/>
  <c r="B167" i="8"/>
  <c r="C167" i="8"/>
  <c r="B168" i="8"/>
  <c r="C168" i="8"/>
  <c r="B169" i="8"/>
  <c r="C169" i="8"/>
  <c r="B170" i="8"/>
  <c r="C170" i="8"/>
  <c r="B171" i="8"/>
  <c r="C171" i="8"/>
  <c r="B172" i="8"/>
  <c r="C172" i="8"/>
  <c r="B173" i="8"/>
  <c r="C173" i="8"/>
  <c r="B174" i="8"/>
  <c r="C174" i="8"/>
  <c r="B175" i="8"/>
  <c r="C175" i="8"/>
  <c r="B176" i="8"/>
  <c r="C176" i="8"/>
  <c r="B177" i="8"/>
  <c r="C177" i="8"/>
  <c r="B178" i="8"/>
  <c r="C178" i="8"/>
  <c r="B179" i="8"/>
  <c r="C179" i="8"/>
  <c r="B180" i="8"/>
  <c r="C180" i="8"/>
  <c r="B181" i="8"/>
  <c r="C181" i="8"/>
  <c r="B182" i="8"/>
  <c r="C182" i="8"/>
  <c r="B183" i="8"/>
  <c r="C183" i="8"/>
  <c r="B184" i="8"/>
  <c r="C184" i="8"/>
  <c r="B185" i="8"/>
  <c r="C185" i="8"/>
  <c r="B186" i="8"/>
  <c r="C186" i="8"/>
  <c r="B187" i="8"/>
  <c r="C187" i="8"/>
  <c r="B188" i="8"/>
  <c r="C188" i="8"/>
  <c r="B189" i="8"/>
  <c r="C189" i="8"/>
  <c r="B190" i="8"/>
  <c r="C190" i="8"/>
  <c r="B191" i="8"/>
  <c r="C191" i="8"/>
  <c r="B192" i="8"/>
  <c r="C192" i="8"/>
  <c r="B193" i="8"/>
  <c r="C193" i="8"/>
  <c r="B194" i="8"/>
  <c r="C194" i="8"/>
  <c r="B195" i="8"/>
  <c r="C195" i="8"/>
  <c r="B196" i="8"/>
  <c r="C196" i="8"/>
  <c r="B197" i="8"/>
  <c r="C197" i="8"/>
  <c r="B198" i="8"/>
  <c r="C198" i="8"/>
  <c r="B199" i="8"/>
  <c r="C199" i="8"/>
  <c r="B200" i="8"/>
  <c r="C200" i="8"/>
  <c r="B201" i="8"/>
  <c r="C201" i="8"/>
  <c r="B202" i="8"/>
  <c r="C202" i="8"/>
  <c r="B203" i="8"/>
  <c r="C203" i="8"/>
  <c r="B204" i="8"/>
  <c r="C204" i="8"/>
  <c r="B205" i="8"/>
  <c r="C205" i="8"/>
  <c r="B206" i="8"/>
  <c r="C206" i="8"/>
  <c r="B207" i="8"/>
  <c r="C207" i="8"/>
  <c r="B208" i="8"/>
  <c r="C208" i="8"/>
  <c r="B209" i="8"/>
  <c r="C209" i="8"/>
  <c r="B210" i="8"/>
  <c r="C210" i="8"/>
  <c r="B211" i="8"/>
  <c r="C211" i="8"/>
  <c r="B212" i="8"/>
  <c r="C212" i="8"/>
  <c r="B213" i="8"/>
  <c r="C213" i="8"/>
  <c r="B214" i="8"/>
  <c r="C214" i="8"/>
  <c r="B215" i="8"/>
  <c r="C215" i="8"/>
  <c r="B216" i="8"/>
  <c r="C216" i="8"/>
  <c r="B217" i="8"/>
  <c r="C217" i="8"/>
  <c r="B218" i="8"/>
  <c r="C218" i="8"/>
  <c r="B219" i="8"/>
  <c r="C219" i="8"/>
  <c r="B220" i="8"/>
  <c r="C220" i="8"/>
  <c r="B221" i="8"/>
  <c r="C221" i="8"/>
  <c r="B222" i="8"/>
  <c r="C222" i="8"/>
  <c r="B223" i="8"/>
  <c r="C223" i="8"/>
  <c r="B224" i="8"/>
  <c r="C224" i="8"/>
  <c r="B225" i="8"/>
  <c r="C225" i="8"/>
  <c r="B226" i="8"/>
  <c r="C226" i="8"/>
  <c r="B227" i="8"/>
  <c r="C227" i="8"/>
  <c r="B228" i="8"/>
  <c r="C228" i="8"/>
  <c r="B229" i="8"/>
  <c r="C229" i="8"/>
  <c r="B230" i="8"/>
  <c r="C230" i="8"/>
  <c r="B231" i="8"/>
  <c r="C231" i="8"/>
  <c r="B232" i="8"/>
  <c r="C232" i="8"/>
  <c r="B233" i="8"/>
  <c r="C233" i="8"/>
  <c r="B234" i="8"/>
  <c r="C234" i="8"/>
  <c r="B235" i="8"/>
  <c r="C235" i="8"/>
  <c r="B236" i="8"/>
  <c r="C236" i="8"/>
  <c r="B237" i="8"/>
  <c r="C237" i="8"/>
  <c r="B238" i="8"/>
  <c r="C238" i="8"/>
  <c r="B239" i="8"/>
  <c r="C239" i="8"/>
  <c r="B240" i="8"/>
  <c r="C240" i="8"/>
  <c r="B241" i="8"/>
  <c r="C241" i="8"/>
  <c r="B242" i="8"/>
  <c r="C242" i="8"/>
  <c r="B243" i="8"/>
  <c r="C243" i="8"/>
  <c r="B244" i="8"/>
  <c r="C244" i="8"/>
  <c r="B245" i="8"/>
  <c r="C245" i="8"/>
  <c r="B246" i="8"/>
  <c r="C246" i="8"/>
  <c r="B247" i="8"/>
  <c r="C247" i="8"/>
  <c r="B248" i="8"/>
  <c r="C248" i="8"/>
  <c r="B249" i="8"/>
  <c r="C249" i="8"/>
  <c r="B250" i="8"/>
  <c r="C250" i="8"/>
  <c r="B251" i="8"/>
  <c r="C251" i="8"/>
  <c r="B252" i="8"/>
  <c r="C252" i="8"/>
  <c r="B253" i="8"/>
  <c r="C253" i="8"/>
  <c r="B254" i="8"/>
  <c r="C254" i="8"/>
  <c r="B255" i="8"/>
  <c r="C255" i="8"/>
  <c r="B256" i="8"/>
  <c r="C256" i="8"/>
  <c r="B257" i="8"/>
  <c r="C257" i="8"/>
  <c r="B258" i="8"/>
  <c r="C258" i="8"/>
  <c r="B259" i="8"/>
  <c r="C259" i="8"/>
  <c r="B260" i="8"/>
  <c r="C260" i="8"/>
  <c r="B261" i="8"/>
  <c r="C261" i="8"/>
  <c r="B262" i="8"/>
  <c r="C262" i="8"/>
  <c r="B263" i="8"/>
  <c r="C263" i="8"/>
  <c r="B264" i="8"/>
  <c r="C264" i="8"/>
  <c r="B265" i="8"/>
  <c r="C265" i="8"/>
  <c r="B266" i="8"/>
  <c r="C266" i="8"/>
  <c r="B267" i="8"/>
  <c r="C267" i="8"/>
  <c r="B268" i="8"/>
  <c r="C268" i="8"/>
  <c r="B269" i="8"/>
  <c r="C269" i="8"/>
  <c r="B270" i="8"/>
  <c r="C270" i="8"/>
  <c r="B271" i="8"/>
  <c r="C271" i="8"/>
  <c r="B272" i="8"/>
  <c r="C272" i="8"/>
  <c r="B273" i="8"/>
  <c r="C273" i="8"/>
  <c r="B274" i="8"/>
  <c r="C274" i="8"/>
  <c r="B275" i="8"/>
  <c r="C275" i="8"/>
  <c r="B276" i="8"/>
  <c r="C276" i="8"/>
  <c r="B277" i="8"/>
  <c r="C277" i="8"/>
  <c r="B278" i="8"/>
  <c r="C278" i="8"/>
  <c r="B279" i="8"/>
  <c r="C279" i="8"/>
  <c r="B280" i="8"/>
  <c r="C280" i="8"/>
  <c r="B281" i="8"/>
  <c r="C281" i="8"/>
  <c r="B282" i="8"/>
  <c r="C282" i="8"/>
  <c r="B283" i="8"/>
  <c r="C283" i="8"/>
  <c r="B284" i="8"/>
  <c r="C284" i="8"/>
  <c r="B285" i="8"/>
  <c r="C285" i="8"/>
  <c r="B286" i="8"/>
  <c r="C286" i="8"/>
  <c r="B287" i="8"/>
  <c r="C287" i="8"/>
  <c r="B288" i="8"/>
  <c r="C288" i="8"/>
  <c r="B289" i="8"/>
  <c r="C289" i="8"/>
  <c r="B290" i="8"/>
  <c r="C290" i="8"/>
  <c r="B291" i="8"/>
  <c r="C291" i="8"/>
  <c r="B292" i="8"/>
  <c r="C292" i="8"/>
  <c r="B293" i="8"/>
  <c r="C293" i="8"/>
  <c r="B294" i="8"/>
  <c r="C294" i="8"/>
  <c r="B295" i="8"/>
  <c r="C295" i="8"/>
  <c r="B296" i="8"/>
  <c r="C296" i="8"/>
  <c r="B297" i="8"/>
  <c r="C297" i="8"/>
  <c r="B298" i="8"/>
  <c r="C298" i="8"/>
  <c r="B299" i="8"/>
  <c r="C299" i="8"/>
  <c r="B300" i="8"/>
  <c r="C300" i="8"/>
  <c r="B301" i="8"/>
  <c r="C301" i="8"/>
  <c r="B302" i="8"/>
  <c r="C302" i="8"/>
  <c r="B303" i="8"/>
  <c r="C303" i="8"/>
  <c r="B304" i="8"/>
  <c r="C304" i="8"/>
  <c r="B305" i="8"/>
  <c r="C305" i="8"/>
  <c r="B306" i="8"/>
  <c r="C306" i="8"/>
  <c r="B307" i="8"/>
  <c r="C307" i="8"/>
  <c r="B308" i="8"/>
  <c r="C308" i="8"/>
  <c r="B309" i="8"/>
  <c r="C309" i="8"/>
  <c r="B310" i="8"/>
  <c r="C310" i="8"/>
  <c r="B311" i="8"/>
  <c r="C311" i="8"/>
  <c r="B312" i="8"/>
  <c r="C312" i="8"/>
  <c r="B313" i="8"/>
  <c r="C313" i="8"/>
  <c r="B314" i="8"/>
  <c r="C314" i="8"/>
  <c r="B315" i="8"/>
  <c r="C315" i="8"/>
  <c r="B316" i="8"/>
  <c r="C316" i="8"/>
  <c r="B317" i="8"/>
  <c r="C317" i="8"/>
  <c r="B318" i="8"/>
  <c r="C318" i="8"/>
  <c r="B319" i="8"/>
  <c r="C319" i="8"/>
  <c r="B320" i="8"/>
  <c r="C320" i="8"/>
  <c r="B321" i="8"/>
  <c r="C321" i="8"/>
  <c r="B322" i="8"/>
  <c r="C322" i="8"/>
  <c r="B323" i="8"/>
  <c r="C323" i="8"/>
  <c r="B324" i="8"/>
  <c r="C324" i="8"/>
  <c r="B325" i="8"/>
  <c r="C325" i="8"/>
  <c r="B326" i="8"/>
  <c r="C326" i="8"/>
  <c r="B327" i="8"/>
  <c r="C327" i="8"/>
  <c r="B328" i="8"/>
  <c r="C328" i="8"/>
  <c r="C5" i="8"/>
  <c r="B5" i="8"/>
  <c r="C4" i="8"/>
  <c r="B4" i="8"/>
  <c r="C3" i="8"/>
  <c r="B3" i="8"/>
  <c r="C2" i="8"/>
  <c r="B2" i="8"/>
  <c r="Y250" i="6"/>
  <c r="Y251" i="6"/>
  <c r="Y252" i="6"/>
  <c r="Y253" i="6"/>
  <c r="Y254" i="6"/>
  <c r="Y255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4" i="6"/>
  <c r="B5" i="7"/>
  <c r="C5" i="7"/>
  <c r="B6" i="7"/>
  <c r="C6" i="7"/>
  <c r="B7" i="7"/>
  <c r="C7" i="7"/>
  <c r="B8" i="7"/>
  <c r="C8" i="7"/>
  <c r="B9" i="7"/>
  <c r="C9" i="7"/>
  <c r="B10" i="7"/>
  <c r="C10" i="7"/>
  <c r="B11" i="7"/>
  <c r="C11" i="7"/>
  <c r="B12" i="7"/>
  <c r="C12" i="7"/>
  <c r="B13" i="7"/>
  <c r="C13" i="7"/>
  <c r="B14" i="7"/>
  <c r="C14" i="7"/>
  <c r="B15" i="7"/>
  <c r="C15" i="7"/>
  <c r="B16" i="7"/>
  <c r="C16" i="7"/>
  <c r="B17" i="7"/>
  <c r="C17" i="7"/>
  <c r="B18" i="7"/>
  <c r="C18" i="7"/>
  <c r="B19" i="7"/>
  <c r="C19" i="7"/>
  <c r="B20" i="7"/>
  <c r="C20" i="7"/>
  <c r="B21" i="7"/>
  <c r="C21" i="7"/>
  <c r="B22" i="7"/>
  <c r="C22" i="7"/>
  <c r="B23" i="7"/>
  <c r="C23" i="7"/>
  <c r="B24" i="7"/>
  <c r="C24" i="7"/>
  <c r="B25" i="7"/>
  <c r="C25" i="7"/>
  <c r="B26" i="7"/>
  <c r="C26" i="7"/>
  <c r="B27" i="7"/>
  <c r="C27" i="7"/>
  <c r="B28" i="7"/>
  <c r="C28" i="7"/>
  <c r="B29" i="7"/>
  <c r="C29" i="7"/>
  <c r="B30" i="7"/>
  <c r="C30" i="7"/>
  <c r="B31" i="7"/>
  <c r="C31" i="7"/>
  <c r="B32" i="7"/>
  <c r="C32" i="7"/>
  <c r="B33" i="7"/>
  <c r="C33" i="7"/>
  <c r="B34" i="7"/>
  <c r="C34" i="7"/>
  <c r="B35" i="7"/>
  <c r="C35" i="7"/>
  <c r="B36" i="7"/>
  <c r="C36" i="7"/>
  <c r="B37" i="7"/>
  <c r="C37" i="7"/>
  <c r="B38" i="7"/>
  <c r="C38" i="7"/>
  <c r="B39" i="7"/>
  <c r="C39" i="7"/>
  <c r="B40" i="7"/>
  <c r="C40" i="7"/>
  <c r="B41" i="7"/>
  <c r="C41" i="7"/>
  <c r="B42" i="7"/>
  <c r="C42" i="7"/>
  <c r="B43" i="7"/>
  <c r="C43" i="7"/>
  <c r="B44" i="7"/>
  <c r="C44" i="7"/>
  <c r="B45" i="7"/>
  <c r="C45" i="7"/>
  <c r="B46" i="7"/>
  <c r="C46" i="7"/>
  <c r="B47" i="7"/>
  <c r="C47" i="7"/>
  <c r="B48" i="7"/>
  <c r="C48" i="7"/>
  <c r="B49" i="7"/>
  <c r="C49" i="7"/>
  <c r="B50" i="7"/>
  <c r="C50" i="7"/>
  <c r="B51" i="7"/>
  <c r="C51" i="7"/>
  <c r="B52" i="7"/>
  <c r="C52" i="7"/>
  <c r="B53" i="7"/>
  <c r="C53" i="7"/>
  <c r="B54" i="7"/>
  <c r="C54" i="7"/>
  <c r="B55" i="7"/>
  <c r="C55" i="7"/>
  <c r="B56" i="7"/>
  <c r="C56" i="7"/>
  <c r="B57" i="7"/>
  <c r="C57" i="7"/>
  <c r="B58" i="7"/>
  <c r="C58" i="7"/>
  <c r="B59" i="7"/>
  <c r="C59" i="7"/>
  <c r="B60" i="7"/>
  <c r="C60" i="7"/>
  <c r="B61" i="7"/>
  <c r="C61" i="7"/>
  <c r="B62" i="7"/>
  <c r="C62" i="7"/>
  <c r="B63" i="7"/>
  <c r="C63" i="7"/>
  <c r="B64" i="7"/>
  <c r="C64" i="7"/>
  <c r="B65" i="7"/>
  <c r="C65" i="7"/>
  <c r="B66" i="7"/>
  <c r="C66" i="7"/>
  <c r="B67" i="7"/>
  <c r="C67" i="7"/>
  <c r="B68" i="7"/>
  <c r="C68" i="7"/>
  <c r="B69" i="7"/>
  <c r="C69" i="7"/>
  <c r="B70" i="7"/>
  <c r="C70" i="7"/>
  <c r="B71" i="7"/>
  <c r="C71" i="7"/>
  <c r="B72" i="7"/>
  <c r="C72" i="7"/>
  <c r="B73" i="7"/>
  <c r="C73" i="7"/>
  <c r="B74" i="7"/>
  <c r="C74" i="7"/>
  <c r="B75" i="7"/>
  <c r="C75" i="7"/>
  <c r="B76" i="7"/>
  <c r="C76" i="7"/>
  <c r="B77" i="7"/>
  <c r="C77" i="7"/>
  <c r="B78" i="7"/>
  <c r="C78" i="7"/>
  <c r="B79" i="7"/>
  <c r="C79" i="7"/>
  <c r="B80" i="7"/>
  <c r="C80" i="7"/>
  <c r="B81" i="7"/>
  <c r="C81" i="7"/>
  <c r="B82" i="7"/>
  <c r="C82" i="7"/>
  <c r="B83" i="7"/>
  <c r="C83" i="7"/>
  <c r="B84" i="7"/>
  <c r="C84" i="7"/>
  <c r="B85" i="7"/>
  <c r="C85" i="7"/>
  <c r="B86" i="7"/>
  <c r="C86" i="7"/>
  <c r="B87" i="7"/>
  <c r="C87" i="7"/>
  <c r="B88" i="7"/>
  <c r="C88" i="7"/>
  <c r="B89" i="7"/>
  <c r="C89" i="7"/>
  <c r="B90" i="7"/>
  <c r="C90" i="7"/>
  <c r="B91" i="7"/>
  <c r="C91" i="7"/>
  <c r="B92" i="7"/>
  <c r="C92" i="7"/>
  <c r="B93" i="7"/>
  <c r="C93" i="7"/>
  <c r="B94" i="7"/>
  <c r="C94" i="7"/>
  <c r="B95" i="7"/>
  <c r="C95" i="7"/>
  <c r="B96" i="7"/>
  <c r="C96" i="7"/>
  <c r="B97" i="7"/>
  <c r="C97" i="7"/>
  <c r="B98" i="7"/>
  <c r="C98" i="7"/>
  <c r="B99" i="7"/>
  <c r="C99" i="7"/>
  <c r="B100" i="7"/>
  <c r="C100" i="7"/>
  <c r="B101" i="7"/>
  <c r="C101" i="7"/>
  <c r="B102" i="7"/>
  <c r="C102" i="7"/>
  <c r="B103" i="7"/>
  <c r="C103" i="7"/>
  <c r="B104" i="7"/>
  <c r="C104" i="7"/>
  <c r="B105" i="7"/>
  <c r="C105" i="7"/>
  <c r="B106" i="7"/>
  <c r="C106" i="7"/>
  <c r="B107" i="7"/>
  <c r="C107" i="7"/>
  <c r="B108" i="7"/>
  <c r="C108" i="7"/>
  <c r="B109" i="7"/>
  <c r="C109" i="7"/>
  <c r="B110" i="7"/>
  <c r="C110" i="7"/>
  <c r="B111" i="7"/>
  <c r="C111" i="7"/>
  <c r="B112" i="7"/>
  <c r="C112" i="7"/>
  <c r="B113" i="7"/>
  <c r="C113" i="7"/>
  <c r="B114" i="7"/>
  <c r="C114" i="7"/>
  <c r="B115" i="7"/>
  <c r="C115" i="7"/>
  <c r="B116" i="7"/>
  <c r="C116" i="7"/>
  <c r="B117" i="7"/>
  <c r="C117" i="7"/>
  <c r="B118" i="7"/>
  <c r="C118" i="7"/>
  <c r="B119" i="7"/>
  <c r="C119" i="7"/>
  <c r="B120" i="7"/>
  <c r="C120" i="7"/>
  <c r="B121" i="7"/>
  <c r="C121" i="7"/>
  <c r="B122" i="7"/>
  <c r="C122" i="7"/>
  <c r="B123" i="7"/>
  <c r="C123" i="7"/>
  <c r="B124" i="7"/>
  <c r="C124" i="7"/>
  <c r="B125" i="7"/>
  <c r="C125" i="7"/>
  <c r="B126" i="7"/>
  <c r="C126" i="7"/>
  <c r="B127" i="7"/>
  <c r="C127" i="7"/>
  <c r="B128" i="7"/>
  <c r="C128" i="7"/>
  <c r="B129" i="7"/>
  <c r="C129" i="7"/>
  <c r="B130" i="7"/>
  <c r="C130" i="7"/>
  <c r="B131" i="7"/>
  <c r="C131" i="7"/>
  <c r="B132" i="7"/>
  <c r="C132" i="7"/>
  <c r="B133" i="7"/>
  <c r="C133" i="7"/>
  <c r="B134" i="7"/>
  <c r="C134" i="7"/>
  <c r="B135" i="7"/>
  <c r="C135" i="7"/>
  <c r="B136" i="7"/>
  <c r="C136" i="7"/>
  <c r="B137" i="7"/>
  <c r="C137" i="7"/>
  <c r="B138" i="7"/>
  <c r="C138" i="7"/>
  <c r="B139" i="7"/>
  <c r="C139" i="7"/>
  <c r="B140" i="7"/>
  <c r="C140" i="7"/>
  <c r="B141" i="7"/>
  <c r="C141" i="7"/>
  <c r="B142" i="7"/>
  <c r="C142" i="7"/>
  <c r="B143" i="7"/>
  <c r="C143" i="7"/>
  <c r="B144" i="7"/>
  <c r="C144" i="7"/>
  <c r="B145" i="7"/>
  <c r="C145" i="7"/>
  <c r="B146" i="7"/>
  <c r="C146" i="7"/>
  <c r="B147" i="7"/>
  <c r="C147" i="7"/>
  <c r="B148" i="7"/>
  <c r="C148" i="7"/>
  <c r="B149" i="7"/>
  <c r="C149" i="7"/>
  <c r="B150" i="7"/>
  <c r="C150" i="7"/>
  <c r="B151" i="7"/>
  <c r="C151" i="7"/>
  <c r="B152" i="7"/>
  <c r="C152" i="7"/>
  <c r="B153" i="7"/>
  <c r="C153" i="7"/>
  <c r="B154" i="7"/>
  <c r="C154" i="7"/>
  <c r="B155" i="7"/>
  <c r="C155" i="7"/>
  <c r="B156" i="7"/>
  <c r="C156" i="7"/>
  <c r="B157" i="7"/>
  <c r="C157" i="7"/>
  <c r="B158" i="7"/>
  <c r="C158" i="7"/>
  <c r="B159" i="7"/>
  <c r="C159" i="7"/>
  <c r="B160" i="7"/>
  <c r="C160" i="7"/>
  <c r="B161" i="7"/>
  <c r="C161" i="7"/>
  <c r="B162" i="7"/>
  <c r="C162" i="7"/>
  <c r="B163" i="7"/>
  <c r="C163" i="7"/>
  <c r="B164" i="7"/>
  <c r="C164" i="7"/>
  <c r="B165" i="7"/>
  <c r="C165" i="7"/>
  <c r="B166" i="7"/>
  <c r="C166" i="7"/>
  <c r="B167" i="7"/>
  <c r="C167" i="7"/>
  <c r="B168" i="7"/>
  <c r="C168" i="7"/>
  <c r="B169" i="7"/>
  <c r="C169" i="7"/>
  <c r="B170" i="7"/>
  <c r="C170" i="7"/>
  <c r="B171" i="7"/>
  <c r="C171" i="7"/>
  <c r="B172" i="7"/>
  <c r="C172" i="7"/>
  <c r="B173" i="7"/>
  <c r="C173" i="7"/>
  <c r="B174" i="7"/>
  <c r="C174" i="7"/>
  <c r="B175" i="7"/>
  <c r="C175" i="7"/>
  <c r="B176" i="7"/>
  <c r="C176" i="7"/>
  <c r="B177" i="7"/>
  <c r="C177" i="7"/>
  <c r="B178" i="7"/>
  <c r="C178" i="7"/>
  <c r="B179" i="7"/>
  <c r="C179" i="7"/>
  <c r="B180" i="7"/>
  <c r="C180" i="7"/>
  <c r="B181" i="7"/>
  <c r="C181" i="7"/>
  <c r="B182" i="7"/>
  <c r="C182" i="7"/>
  <c r="B183" i="7"/>
  <c r="C183" i="7"/>
  <c r="B184" i="7"/>
  <c r="C184" i="7"/>
  <c r="B185" i="7"/>
  <c r="C185" i="7"/>
  <c r="B186" i="7"/>
  <c r="C186" i="7"/>
  <c r="B187" i="7"/>
  <c r="C187" i="7"/>
  <c r="B188" i="7"/>
  <c r="C188" i="7"/>
  <c r="B189" i="7"/>
  <c r="C189" i="7"/>
  <c r="B190" i="7"/>
  <c r="C190" i="7"/>
  <c r="B191" i="7"/>
  <c r="C191" i="7"/>
  <c r="B192" i="7"/>
  <c r="C192" i="7"/>
  <c r="B193" i="7"/>
  <c r="C193" i="7"/>
  <c r="B194" i="7"/>
  <c r="C194" i="7"/>
  <c r="B195" i="7"/>
  <c r="C195" i="7"/>
  <c r="B196" i="7"/>
  <c r="C196" i="7"/>
  <c r="B197" i="7"/>
  <c r="C197" i="7"/>
  <c r="B198" i="7"/>
  <c r="C198" i="7"/>
  <c r="B199" i="7"/>
  <c r="C199" i="7"/>
  <c r="B200" i="7"/>
  <c r="C200" i="7"/>
  <c r="B201" i="7"/>
  <c r="C201" i="7"/>
  <c r="B202" i="7"/>
  <c r="C202" i="7"/>
  <c r="B203" i="7"/>
  <c r="C203" i="7"/>
  <c r="B204" i="7"/>
  <c r="C204" i="7"/>
  <c r="B205" i="7"/>
  <c r="C205" i="7"/>
  <c r="B206" i="7"/>
  <c r="C206" i="7"/>
  <c r="B207" i="7"/>
  <c r="C207" i="7"/>
  <c r="B208" i="7"/>
  <c r="C208" i="7"/>
  <c r="B209" i="7"/>
  <c r="C209" i="7"/>
  <c r="B210" i="7"/>
  <c r="C210" i="7"/>
  <c r="B211" i="7"/>
  <c r="C211" i="7"/>
  <c r="B212" i="7"/>
  <c r="C212" i="7"/>
  <c r="B213" i="7"/>
  <c r="C213" i="7"/>
  <c r="B214" i="7"/>
  <c r="C214" i="7"/>
  <c r="B215" i="7"/>
  <c r="C215" i="7"/>
  <c r="B216" i="7"/>
  <c r="C216" i="7"/>
  <c r="B217" i="7"/>
  <c r="C217" i="7"/>
  <c r="B218" i="7"/>
  <c r="C218" i="7"/>
  <c r="B219" i="7"/>
  <c r="C219" i="7"/>
  <c r="B220" i="7"/>
  <c r="C220" i="7"/>
  <c r="B221" i="7"/>
  <c r="C221" i="7"/>
  <c r="B222" i="7"/>
  <c r="C222" i="7"/>
  <c r="B223" i="7"/>
  <c r="C223" i="7"/>
  <c r="B224" i="7"/>
  <c r="C224" i="7"/>
  <c r="B225" i="7"/>
  <c r="C225" i="7"/>
  <c r="B226" i="7"/>
  <c r="C226" i="7"/>
  <c r="B227" i="7"/>
  <c r="C227" i="7"/>
  <c r="B228" i="7"/>
  <c r="C228" i="7"/>
  <c r="B229" i="7"/>
  <c r="C229" i="7"/>
  <c r="B230" i="7"/>
  <c r="C230" i="7"/>
  <c r="B231" i="7"/>
  <c r="C231" i="7"/>
  <c r="B232" i="7"/>
  <c r="C232" i="7"/>
  <c r="B233" i="7"/>
  <c r="C233" i="7"/>
  <c r="B234" i="7"/>
  <c r="C234" i="7"/>
  <c r="B235" i="7"/>
  <c r="C235" i="7"/>
  <c r="B236" i="7"/>
  <c r="C236" i="7"/>
  <c r="B237" i="7"/>
  <c r="C237" i="7"/>
  <c r="B238" i="7"/>
  <c r="C238" i="7"/>
  <c r="B239" i="7"/>
  <c r="C239" i="7"/>
  <c r="B240" i="7"/>
  <c r="C240" i="7"/>
  <c r="B241" i="7"/>
  <c r="C241" i="7"/>
  <c r="B242" i="7"/>
  <c r="C242" i="7"/>
  <c r="B243" i="7"/>
  <c r="C243" i="7"/>
  <c r="B244" i="7"/>
  <c r="C244" i="7"/>
  <c r="B245" i="7"/>
  <c r="C245" i="7"/>
  <c r="B246" i="7"/>
  <c r="C246" i="7"/>
  <c r="B247" i="7"/>
  <c r="C247" i="7"/>
  <c r="B248" i="7"/>
  <c r="C248" i="7"/>
  <c r="B249" i="7"/>
  <c r="C249" i="7"/>
  <c r="B250" i="7"/>
  <c r="C250" i="7"/>
  <c r="B251" i="7"/>
  <c r="C251" i="7"/>
  <c r="B252" i="7"/>
  <c r="C252" i="7"/>
  <c r="B253" i="7"/>
  <c r="C253" i="7"/>
  <c r="B254" i="7"/>
  <c r="C254" i="7"/>
  <c r="B255" i="7"/>
  <c r="C255" i="7"/>
  <c r="B256" i="7"/>
  <c r="C256" i="7"/>
  <c r="B257" i="7"/>
  <c r="C257" i="7"/>
  <c r="B258" i="7"/>
  <c r="C258" i="7"/>
  <c r="B259" i="7"/>
  <c r="C259" i="7"/>
  <c r="B260" i="7"/>
  <c r="C260" i="7"/>
  <c r="B261" i="7"/>
  <c r="C261" i="7"/>
  <c r="B262" i="7"/>
  <c r="C262" i="7"/>
  <c r="B263" i="7"/>
  <c r="C263" i="7"/>
  <c r="B264" i="7"/>
  <c r="C264" i="7"/>
  <c r="B265" i="7"/>
  <c r="C265" i="7"/>
  <c r="B266" i="7"/>
  <c r="C266" i="7"/>
  <c r="B267" i="7"/>
  <c r="C267" i="7"/>
  <c r="B268" i="7"/>
  <c r="C268" i="7"/>
  <c r="B269" i="7"/>
  <c r="C269" i="7"/>
  <c r="B270" i="7"/>
  <c r="C270" i="7"/>
  <c r="B271" i="7"/>
  <c r="C271" i="7"/>
  <c r="B272" i="7"/>
  <c r="C272" i="7"/>
  <c r="B273" i="7"/>
  <c r="C273" i="7"/>
  <c r="B274" i="7"/>
  <c r="C274" i="7"/>
  <c r="B275" i="7"/>
  <c r="C275" i="7"/>
  <c r="B276" i="7"/>
  <c r="C276" i="7"/>
  <c r="B277" i="7"/>
  <c r="C277" i="7"/>
  <c r="B278" i="7"/>
  <c r="C278" i="7"/>
  <c r="B279" i="7"/>
  <c r="C279" i="7"/>
  <c r="B280" i="7"/>
  <c r="C280" i="7"/>
  <c r="B281" i="7"/>
  <c r="C281" i="7"/>
  <c r="B282" i="7"/>
  <c r="C282" i="7"/>
  <c r="B283" i="7"/>
  <c r="C283" i="7"/>
  <c r="B284" i="7"/>
  <c r="C284" i="7"/>
  <c r="B285" i="7"/>
  <c r="C285" i="7"/>
  <c r="B286" i="7"/>
  <c r="C286" i="7"/>
  <c r="B287" i="7"/>
  <c r="C287" i="7"/>
  <c r="B288" i="7"/>
  <c r="C288" i="7"/>
  <c r="B289" i="7"/>
  <c r="C289" i="7"/>
  <c r="B290" i="7"/>
  <c r="C290" i="7"/>
  <c r="B291" i="7"/>
  <c r="C291" i="7"/>
  <c r="B292" i="7"/>
  <c r="C292" i="7"/>
  <c r="B293" i="7"/>
  <c r="C293" i="7"/>
  <c r="B294" i="7"/>
  <c r="C294" i="7"/>
  <c r="B295" i="7"/>
  <c r="C295" i="7"/>
  <c r="B296" i="7"/>
  <c r="C296" i="7"/>
  <c r="B297" i="7"/>
  <c r="C297" i="7"/>
  <c r="B298" i="7"/>
  <c r="C298" i="7"/>
  <c r="B299" i="7"/>
  <c r="C299" i="7"/>
  <c r="B300" i="7"/>
  <c r="C300" i="7"/>
  <c r="B301" i="7"/>
  <c r="C301" i="7"/>
  <c r="B302" i="7"/>
  <c r="C302" i="7"/>
  <c r="B303" i="7"/>
  <c r="C303" i="7"/>
  <c r="B304" i="7"/>
  <c r="C304" i="7"/>
  <c r="B305" i="7"/>
  <c r="C305" i="7"/>
  <c r="B306" i="7"/>
  <c r="C306" i="7"/>
  <c r="B307" i="7"/>
  <c r="C307" i="7"/>
  <c r="B308" i="7"/>
  <c r="C308" i="7"/>
  <c r="B309" i="7"/>
  <c r="C309" i="7"/>
  <c r="B310" i="7"/>
  <c r="C310" i="7"/>
  <c r="B311" i="7"/>
  <c r="C311" i="7"/>
  <c r="B312" i="7"/>
  <c r="C312" i="7"/>
  <c r="B313" i="7"/>
  <c r="C313" i="7"/>
  <c r="B314" i="7"/>
  <c r="C314" i="7"/>
  <c r="B315" i="7"/>
  <c r="C315" i="7"/>
  <c r="B316" i="7"/>
  <c r="C316" i="7"/>
  <c r="B317" i="7"/>
  <c r="C317" i="7"/>
  <c r="B318" i="7"/>
  <c r="C318" i="7"/>
  <c r="B319" i="7"/>
  <c r="C319" i="7"/>
  <c r="B320" i="7"/>
  <c r="C320" i="7"/>
  <c r="B321" i="7"/>
  <c r="C321" i="7"/>
  <c r="B322" i="7"/>
  <c r="C322" i="7"/>
  <c r="B323" i="7"/>
  <c r="C323" i="7"/>
  <c r="B324" i="7"/>
  <c r="C324" i="7"/>
  <c r="B325" i="7"/>
  <c r="C325" i="7"/>
  <c r="B326" i="7"/>
  <c r="C326" i="7"/>
  <c r="B327" i="7"/>
  <c r="C327" i="7"/>
  <c r="B328" i="7"/>
  <c r="C328" i="7"/>
  <c r="B329" i="7"/>
  <c r="C329" i="7"/>
  <c r="B330" i="7"/>
  <c r="C330" i="7"/>
  <c r="B331" i="7"/>
  <c r="C331" i="7"/>
  <c r="B332" i="7"/>
  <c r="C332" i="7"/>
  <c r="B333" i="7"/>
  <c r="C333" i="7"/>
  <c r="B334" i="7"/>
  <c r="C334" i="7"/>
  <c r="B335" i="7"/>
  <c r="C335" i="7"/>
  <c r="B336" i="7"/>
  <c r="C336" i="7"/>
  <c r="B337" i="7"/>
  <c r="C337" i="7"/>
  <c r="B338" i="7"/>
  <c r="C338" i="7"/>
  <c r="B339" i="7"/>
  <c r="C339" i="7"/>
  <c r="B340" i="7"/>
  <c r="C340" i="7"/>
  <c r="B341" i="7"/>
  <c r="C341" i="7"/>
  <c r="B342" i="7"/>
  <c r="C342" i="7"/>
  <c r="B343" i="7"/>
  <c r="C343" i="7"/>
  <c r="B344" i="7"/>
  <c r="C344" i="7"/>
  <c r="B345" i="7"/>
  <c r="C345" i="7"/>
  <c r="B346" i="7"/>
  <c r="C346" i="7"/>
  <c r="B347" i="7"/>
  <c r="C347" i="7"/>
  <c r="B348" i="7"/>
  <c r="C348" i="7"/>
  <c r="B349" i="7"/>
  <c r="C349" i="7"/>
  <c r="B350" i="7"/>
  <c r="C350" i="7"/>
  <c r="B351" i="7"/>
  <c r="C351" i="7"/>
  <c r="B352" i="7"/>
  <c r="C352" i="7"/>
  <c r="B353" i="7"/>
  <c r="C353" i="7"/>
  <c r="B354" i="7"/>
  <c r="C354" i="7"/>
  <c r="B355" i="7"/>
  <c r="C355" i="7"/>
  <c r="B356" i="7"/>
  <c r="C356" i="7"/>
  <c r="B357" i="7"/>
  <c r="C357" i="7"/>
  <c r="B358" i="7"/>
  <c r="C358" i="7"/>
  <c r="B359" i="7"/>
  <c r="C359" i="7"/>
  <c r="B360" i="7"/>
  <c r="C360" i="7"/>
  <c r="B361" i="7"/>
  <c r="C361" i="7"/>
  <c r="B362" i="7"/>
  <c r="C362" i="7"/>
  <c r="B363" i="7"/>
  <c r="C363" i="7"/>
  <c r="B364" i="7"/>
  <c r="C364" i="7"/>
  <c r="B365" i="7"/>
  <c r="C365" i="7"/>
  <c r="B366" i="7"/>
  <c r="C366" i="7"/>
  <c r="B367" i="7"/>
  <c r="C367" i="7"/>
  <c r="B368" i="7"/>
  <c r="C368" i="7"/>
  <c r="B369" i="7"/>
  <c r="C369" i="7"/>
  <c r="B370" i="7"/>
  <c r="C370" i="7"/>
  <c r="B371" i="7"/>
  <c r="C371" i="7"/>
  <c r="B372" i="7"/>
  <c r="C372" i="7"/>
  <c r="B373" i="7"/>
  <c r="C373" i="7"/>
  <c r="B374" i="7"/>
  <c r="C374" i="7"/>
  <c r="B375" i="7"/>
  <c r="C375" i="7"/>
  <c r="B376" i="7"/>
  <c r="C376" i="7"/>
  <c r="B377" i="7"/>
  <c r="C377" i="7"/>
  <c r="B378" i="7"/>
  <c r="C378" i="7"/>
  <c r="B379" i="7"/>
  <c r="C379" i="7"/>
  <c r="B380" i="7"/>
  <c r="C380" i="7"/>
  <c r="B381" i="7"/>
  <c r="C381" i="7"/>
  <c r="B382" i="7"/>
  <c r="C382" i="7"/>
  <c r="B383" i="7"/>
  <c r="C383" i="7"/>
  <c r="B384" i="7"/>
  <c r="C384" i="7"/>
  <c r="B385" i="7"/>
  <c r="C385" i="7"/>
  <c r="B386" i="7"/>
  <c r="C386" i="7"/>
  <c r="B387" i="7"/>
  <c r="C387" i="7"/>
  <c r="B388" i="7"/>
  <c r="C388" i="7"/>
  <c r="B389" i="7"/>
  <c r="C389" i="7"/>
  <c r="B390" i="7"/>
  <c r="C390" i="7"/>
  <c r="B391" i="7"/>
  <c r="C391" i="7"/>
  <c r="B392" i="7"/>
  <c r="C392" i="7"/>
  <c r="B393" i="7"/>
  <c r="C393" i="7"/>
  <c r="B394" i="7"/>
  <c r="C394" i="7"/>
  <c r="B395" i="7"/>
  <c r="C395" i="7"/>
  <c r="B396" i="7"/>
  <c r="C396" i="7"/>
  <c r="B397" i="7"/>
  <c r="C397" i="7"/>
  <c r="B398" i="7"/>
  <c r="C398" i="7"/>
  <c r="B399" i="7"/>
  <c r="C399" i="7"/>
  <c r="B400" i="7"/>
  <c r="C400" i="7"/>
  <c r="B401" i="7"/>
  <c r="C401" i="7"/>
  <c r="B402" i="7"/>
  <c r="C402" i="7"/>
  <c r="B403" i="7"/>
  <c r="C403" i="7"/>
  <c r="B404" i="7"/>
  <c r="C404" i="7"/>
  <c r="B405" i="7"/>
  <c r="C405" i="7"/>
  <c r="B406" i="7"/>
  <c r="C406" i="7"/>
  <c r="B407" i="7"/>
  <c r="C407" i="7"/>
  <c r="B408" i="7"/>
  <c r="C408" i="7"/>
  <c r="B409" i="7"/>
  <c r="C409" i="7"/>
  <c r="B410" i="7"/>
  <c r="C410" i="7"/>
  <c r="B411" i="7"/>
  <c r="C411" i="7"/>
  <c r="B412" i="7"/>
  <c r="C412" i="7"/>
  <c r="B413" i="7"/>
  <c r="C413" i="7"/>
  <c r="B414" i="7"/>
  <c r="C414" i="7"/>
  <c r="B415" i="7"/>
  <c r="C415" i="7"/>
  <c r="B416" i="7"/>
  <c r="C416" i="7"/>
  <c r="B417" i="7"/>
  <c r="C417" i="7"/>
  <c r="B418" i="7"/>
  <c r="C418" i="7"/>
  <c r="B419" i="7"/>
  <c r="C419" i="7"/>
  <c r="B420" i="7"/>
  <c r="C420" i="7"/>
  <c r="B421" i="7"/>
  <c r="C421" i="7"/>
  <c r="B422" i="7"/>
  <c r="C422" i="7"/>
  <c r="B423" i="7"/>
  <c r="C423" i="7"/>
  <c r="B424" i="7"/>
  <c r="C424" i="7"/>
  <c r="B425" i="7"/>
  <c r="C425" i="7"/>
  <c r="B426" i="7"/>
  <c r="C426" i="7"/>
  <c r="B427" i="7"/>
  <c r="C427" i="7"/>
  <c r="B428" i="7"/>
  <c r="C428" i="7"/>
  <c r="B429" i="7"/>
  <c r="C429" i="7"/>
  <c r="B430" i="7"/>
  <c r="C430" i="7"/>
  <c r="B431" i="7"/>
  <c r="C431" i="7"/>
  <c r="B432" i="7"/>
  <c r="C432" i="7"/>
  <c r="B433" i="7"/>
  <c r="C433" i="7"/>
  <c r="B434" i="7"/>
  <c r="C434" i="7"/>
  <c r="B435" i="7"/>
  <c r="C435" i="7"/>
  <c r="B436" i="7"/>
  <c r="C436" i="7"/>
  <c r="B437" i="7"/>
  <c r="C437" i="7"/>
  <c r="B438" i="7"/>
  <c r="C438" i="7"/>
  <c r="B439" i="7"/>
  <c r="C439" i="7"/>
  <c r="B440" i="7"/>
  <c r="C440" i="7"/>
  <c r="B441" i="7"/>
  <c r="C441" i="7"/>
  <c r="B442" i="7"/>
  <c r="C442" i="7"/>
  <c r="B443" i="7"/>
  <c r="C443" i="7"/>
  <c r="B444" i="7"/>
  <c r="C444" i="7"/>
  <c r="B445" i="7"/>
  <c r="C445" i="7"/>
  <c r="B446" i="7"/>
  <c r="C446" i="7"/>
  <c r="B447" i="7"/>
  <c r="C447" i="7"/>
  <c r="B448" i="7"/>
  <c r="C448" i="7"/>
  <c r="B449" i="7"/>
  <c r="C449" i="7"/>
  <c r="B450" i="7"/>
  <c r="C450" i="7"/>
  <c r="B451" i="7"/>
  <c r="C451" i="7"/>
  <c r="B452" i="7"/>
  <c r="C452" i="7"/>
  <c r="B453" i="7"/>
  <c r="C453" i="7"/>
  <c r="B454" i="7"/>
  <c r="C454" i="7"/>
  <c r="B455" i="7"/>
  <c r="C455" i="7"/>
  <c r="B456" i="7"/>
  <c r="C456" i="7"/>
  <c r="B457" i="7"/>
  <c r="C457" i="7"/>
  <c r="B458" i="7"/>
  <c r="C458" i="7"/>
  <c r="B459" i="7"/>
  <c r="C459" i="7"/>
  <c r="B460" i="7"/>
  <c r="C460" i="7"/>
  <c r="B461" i="7"/>
  <c r="C461" i="7"/>
  <c r="B462" i="7"/>
  <c r="C462" i="7"/>
  <c r="B463" i="7"/>
  <c r="C463" i="7"/>
  <c r="B464" i="7"/>
  <c r="C464" i="7"/>
  <c r="B465" i="7"/>
  <c r="C465" i="7"/>
  <c r="B466" i="7"/>
  <c r="C466" i="7"/>
  <c r="B467" i="7"/>
  <c r="C467" i="7"/>
  <c r="B468" i="7"/>
  <c r="C468" i="7"/>
  <c r="B469" i="7"/>
  <c r="C469" i="7"/>
  <c r="B470" i="7"/>
  <c r="C470" i="7"/>
  <c r="B471" i="7"/>
  <c r="C471" i="7"/>
  <c r="B472" i="7"/>
  <c r="C472" i="7"/>
  <c r="B473" i="7"/>
  <c r="C473" i="7"/>
  <c r="B474" i="7"/>
  <c r="C474" i="7"/>
  <c r="B475" i="7"/>
  <c r="C475" i="7"/>
  <c r="B476" i="7"/>
  <c r="C476" i="7"/>
  <c r="B477" i="7"/>
  <c r="C477" i="7"/>
  <c r="B478" i="7"/>
  <c r="C478" i="7"/>
  <c r="B479" i="7"/>
  <c r="C479" i="7"/>
  <c r="B480" i="7"/>
  <c r="C480" i="7"/>
  <c r="B481" i="7"/>
  <c r="C481" i="7"/>
  <c r="B482" i="7"/>
  <c r="C482" i="7"/>
  <c r="B483" i="7"/>
  <c r="C483" i="7"/>
  <c r="B484" i="7"/>
  <c r="C484" i="7"/>
  <c r="B485" i="7"/>
  <c r="C485" i="7"/>
  <c r="B486" i="7"/>
  <c r="C486" i="7"/>
  <c r="B487" i="7"/>
  <c r="C487" i="7"/>
  <c r="B488" i="7"/>
  <c r="C488" i="7"/>
  <c r="B489" i="7"/>
  <c r="C489" i="7"/>
  <c r="B490" i="7"/>
  <c r="C490" i="7"/>
  <c r="B491" i="7"/>
  <c r="C491" i="7"/>
  <c r="B492" i="7"/>
  <c r="C492" i="7"/>
  <c r="B493" i="7"/>
  <c r="C493" i="7"/>
  <c r="B494" i="7"/>
  <c r="C494" i="7"/>
  <c r="B495" i="7"/>
  <c r="C495" i="7"/>
  <c r="B496" i="7"/>
  <c r="C496" i="7"/>
  <c r="B497" i="7"/>
  <c r="C497" i="7"/>
  <c r="B498" i="7"/>
  <c r="C498" i="7"/>
  <c r="B499" i="7"/>
  <c r="C499" i="7"/>
  <c r="B500" i="7"/>
  <c r="C500" i="7"/>
  <c r="B501" i="7"/>
  <c r="C501" i="7"/>
  <c r="B502" i="7"/>
  <c r="C502" i="7"/>
  <c r="B503" i="7"/>
  <c r="C503" i="7"/>
  <c r="B504" i="7"/>
  <c r="C504" i="7"/>
  <c r="B505" i="7"/>
  <c r="C505" i="7"/>
  <c r="C4" i="7"/>
  <c r="B4" i="7"/>
  <c r="C3" i="7"/>
  <c r="B3" i="7"/>
  <c r="C2" i="7"/>
  <c r="B2" i="7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" i="6"/>
  <c r="B10" i="5"/>
  <c r="C10" i="5"/>
  <c r="B11" i="5"/>
  <c r="C11" i="5"/>
  <c r="B12" i="5"/>
  <c r="C12" i="5"/>
  <c r="B13" i="5"/>
  <c r="C13" i="5"/>
  <c r="B14" i="5"/>
  <c r="C14" i="5"/>
  <c r="B15" i="5"/>
  <c r="C15" i="5"/>
  <c r="B16" i="5"/>
  <c r="C16" i="5"/>
  <c r="B17" i="5"/>
  <c r="C17" i="5"/>
  <c r="B18" i="5"/>
  <c r="C18" i="5"/>
  <c r="B19" i="5"/>
  <c r="C19" i="5"/>
  <c r="B20" i="5"/>
  <c r="C20" i="5"/>
  <c r="B21" i="5"/>
  <c r="C21" i="5"/>
  <c r="B22" i="5"/>
  <c r="C22" i="5"/>
  <c r="B23" i="5"/>
  <c r="C23" i="5"/>
  <c r="B24" i="5"/>
  <c r="C24" i="5"/>
  <c r="B25" i="5"/>
  <c r="C25" i="5"/>
  <c r="B26" i="5"/>
  <c r="C26" i="5"/>
  <c r="B27" i="5"/>
  <c r="C27" i="5"/>
  <c r="B28" i="5"/>
  <c r="C28" i="5"/>
  <c r="B29" i="5"/>
  <c r="C29" i="5"/>
  <c r="B30" i="5"/>
  <c r="C30" i="5"/>
  <c r="B31" i="5"/>
  <c r="C31" i="5"/>
  <c r="B32" i="5"/>
  <c r="C32" i="5"/>
  <c r="B33" i="5"/>
  <c r="C33" i="5"/>
  <c r="B34" i="5"/>
  <c r="C34" i="5"/>
  <c r="B35" i="5"/>
  <c r="C35" i="5"/>
  <c r="B36" i="5"/>
  <c r="C36" i="5"/>
  <c r="B37" i="5"/>
  <c r="C37" i="5"/>
  <c r="B38" i="5"/>
  <c r="C38" i="5"/>
  <c r="B39" i="5"/>
  <c r="C39" i="5"/>
  <c r="B40" i="5"/>
  <c r="C40" i="5"/>
  <c r="B41" i="5"/>
  <c r="C41" i="5"/>
  <c r="B42" i="5"/>
  <c r="C42" i="5"/>
  <c r="B43" i="5"/>
  <c r="C43" i="5"/>
  <c r="B44" i="5"/>
  <c r="C44" i="5"/>
  <c r="B45" i="5"/>
  <c r="C45" i="5"/>
  <c r="B46" i="5"/>
  <c r="C46" i="5"/>
  <c r="B47" i="5"/>
  <c r="C47" i="5"/>
  <c r="B48" i="5"/>
  <c r="C48" i="5"/>
  <c r="B49" i="5"/>
  <c r="C49" i="5"/>
  <c r="B50" i="5"/>
  <c r="C50" i="5"/>
  <c r="B51" i="5"/>
  <c r="C51" i="5"/>
  <c r="B52" i="5"/>
  <c r="C52" i="5"/>
  <c r="B53" i="5"/>
  <c r="C53" i="5"/>
  <c r="B54" i="5"/>
  <c r="C54" i="5"/>
  <c r="B55" i="5"/>
  <c r="C55" i="5"/>
  <c r="B56" i="5"/>
  <c r="C56" i="5"/>
  <c r="B57" i="5"/>
  <c r="C57" i="5"/>
  <c r="B58" i="5"/>
  <c r="C58" i="5"/>
  <c r="B59" i="5"/>
  <c r="C59" i="5"/>
  <c r="B60" i="5"/>
  <c r="C60" i="5"/>
  <c r="B61" i="5"/>
  <c r="C61" i="5"/>
  <c r="B62" i="5"/>
  <c r="C62" i="5"/>
  <c r="B63" i="5"/>
  <c r="C63" i="5"/>
  <c r="B64" i="5"/>
  <c r="C64" i="5"/>
  <c r="B65" i="5"/>
  <c r="C65" i="5"/>
  <c r="B66" i="5"/>
  <c r="C66" i="5"/>
  <c r="B67" i="5"/>
  <c r="C67" i="5"/>
  <c r="B68" i="5"/>
  <c r="C68" i="5"/>
  <c r="B69" i="5"/>
  <c r="C69" i="5"/>
  <c r="B70" i="5"/>
  <c r="C70" i="5"/>
  <c r="B71" i="5"/>
  <c r="C71" i="5"/>
  <c r="B72" i="5"/>
  <c r="C72" i="5"/>
  <c r="B73" i="5"/>
  <c r="C73" i="5"/>
  <c r="B74" i="5"/>
  <c r="C74" i="5"/>
  <c r="B75" i="5"/>
  <c r="C75" i="5"/>
  <c r="B76" i="5"/>
  <c r="C76" i="5"/>
  <c r="B77" i="5"/>
  <c r="C77" i="5"/>
  <c r="B78" i="5"/>
  <c r="C78" i="5"/>
  <c r="B79" i="5"/>
  <c r="C79" i="5"/>
  <c r="B80" i="5"/>
  <c r="C80" i="5"/>
  <c r="B81" i="5"/>
  <c r="C81" i="5"/>
  <c r="B82" i="5"/>
  <c r="C82" i="5"/>
  <c r="B83" i="5"/>
  <c r="C83" i="5"/>
  <c r="B84" i="5"/>
  <c r="C84" i="5"/>
  <c r="B85" i="5"/>
  <c r="C85" i="5"/>
  <c r="B86" i="5"/>
  <c r="C86" i="5"/>
  <c r="B87" i="5"/>
  <c r="C87" i="5"/>
  <c r="B88" i="5"/>
  <c r="C88" i="5"/>
  <c r="B89" i="5"/>
  <c r="C89" i="5"/>
  <c r="B90" i="5"/>
  <c r="C90" i="5"/>
  <c r="B91" i="5"/>
  <c r="C91" i="5"/>
  <c r="B92" i="5"/>
  <c r="C92" i="5"/>
  <c r="B93" i="5"/>
  <c r="C93" i="5"/>
  <c r="B94" i="5"/>
  <c r="C94" i="5"/>
  <c r="B95" i="5"/>
  <c r="C95" i="5"/>
  <c r="B96" i="5"/>
  <c r="C96" i="5"/>
  <c r="B97" i="5"/>
  <c r="C97" i="5"/>
  <c r="B98" i="5"/>
  <c r="C98" i="5"/>
  <c r="B99" i="5"/>
  <c r="C99" i="5"/>
  <c r="B100" i="5"/>
  <c r="C100" i="5"/>
  <c r="B101" i="5"/>
  <c r="C101" i="5"/>
  <c r="B102" i="5"/>
  <c r="C102" i="5"/>
  <c r="B103" i="5"/>
  <c r="C103" i="5"/>
  <c r="B104" i="5"/>
  <c r="C104" i="5"/>
  <c r="B105" i="5"/>
  <c r="C105" i="5"/>
  <c r="B106" i="5"/>
  <c r="C106" i="5"/>
  <c r="B107" i="5"/>
  <c r="C107" i="5"/>
  <c r="B108" i="5"/>
  <c r="C108" i="5"/>
  <c r="B109" i="5"/>
  <c r="C109" i="5"/>
  <c r="B110" i="5"/>
  <c r="C110" i="5"/>
  <c r="B111" i="5"/>
  <c r="C111" i="5"/>
  <c r="B112" i="5"/>
  <c r="C112" i="5"/>
  <c r="B113" i="5"/>
  <c r="C113" i="5"/>
  <c r="B114" i="5"/>
  <c r="C114" i="5"/>
  <c r="B115" i="5"/>
  <c r="C115" i="5"/>
  <c r="B116" i="5"/>
  <c r="C116" i="5"/>
  <c r="B117" i="5"/>
  <c r="C117" i="5"/>
  <c r="B118" i="5"/>
  <c r="C118" i="5"/>
  <c r="B119" i="5"/>
  <c r="C119" i="5"/>
  <c r="B120" i="5"/>
  <c r="C120" i="5"/>
  <c r="B121" i="5"/>
  <c r="C121" i="5"/>
  <c r="B122" i="5"/>
  <c r="C122" i="5"/>
  <c r="B123" i="5"/>
  <c r="C123" i="5"/>
  <c r="B124" i="5"/>
  <c r="C124" i="5"/>
  <c r="B125" i="5"/>
  <c r="C125" i="5"/>
  <c r="B126" i="5"/>
  <c r="C126" i="5"/>
  <c r="B127" i="5"/>
  <c r="C127" i="5"/>
  <c r="B128" i="5"/>
  <c r="C128" i="5"/>
  <c r="B129" i="5"/>
  <c r="C129" i="5"/>
  <c r="B130" i="5"/>
  <c r="C130" i="5"/>
  <c r="B131" i="5"/>
  <c r="C131" i="5"/>
  <c r="B132" i="5"/>
  <c r="C132" i="5"/>
  <c r="B133" i="5"/>
  <c r="C133" i="5"/>
  <c r="B134" i="5"/>
  <c r="C134" i="5"/>
  <c r="B135" i="5"/>
  <c r="C135" i="5"/>
  <c r="B136" i="5"/>
  <c r="C136" i="5"/>
  <c r="B137" i="5"/>
  <c r="C137" i="5"/>
  <c r="B138" i="5"/>
  <c r="C138" i="5"/>
  <c r="B139" i="5"/>
  <c r="C139" i="5"/>
  <c r="B140" i="5"/>
  <c r="C140" i="5"/>
  <c r="B141" i="5"/>
  <c r="C141" i="5"/>
  <c r="B142" i="5"/>
  <c r="C142" i="5"/>
  <c r="B143" i="5"/>
  <c r="C143" i="5"/>
  <c r="B144" i="5"/>
  <c r="C144" i="5"/>
  <c r="B145" i="5"/>
  <c r="C145" i="5"/>
  <c r="B146" i="5"/>
  <c r="C146" i="5"/>
  <c r="B147" i="5"/>
  <c r="C147" i="5"/>
  <c r="B148" i="5"/>
  <c r="C148" i="5"/>
  <c r="B149" i="5"/>
  <c r="C149" i="5"/>
  <c r="B150" i="5"/>
  <c r="C150" i="5"/>
  <c r="B151" i="5"/>
  <c r="C151" i="5"/>
  <c r="B152" i="5"/>
  <c r="C152" i="5"/>
  <c r="B153" i="5"/>
  <c r="C153" i="5"/>
  <c r="B154" i="5"/>
  <c r="C154" i="5"/>
  <c r="B155" i="5"/>
  <c r="C155" i="5"/>
  <c r="B156" i="5"/>
  <c r="C156" i="5"/>
  <c r="B157" i="5"/>
  <c r="C157" i="5"/>
  <c r="B158" i="5"/>
  <c r="C158" i="5"/>
  <c r="B159" i="5"/>
  <c r="C159" i="5"/>
  <c r="B160" i="5"/>
  <c r="C160" i="5"/>
  <c r="B161" i="5"/>
  <c r="C161" i="5"/>
  <c r="B162" i="5"/>
  <c r="C162" i="5"/>
  <c r="B163" i="5"/>
  <c r="C163" i="5"/>
  <c r="B164" i="5"/>
  <c r="C164" i="5"/>
  <c r="B165" i="5"/>
  <c r="C165" i="5"/>
  <c r="B166" i="5"/>
  <c r="C166" i="5"/>
  <c r="B167" i="5"/>
  <c r="C167" i="5"/>
  <c r="B168" i="5"/>
  <c r="C168" i="5"/>
  <c r="B169" i="5"/>
  <c r="C169" i="5"/>
  <c r="B170" i="5"/>
  <c r="C170" i="5"/>
  <c r="B171" i="5"/>
  <c r="C171" i="5"/>
  <c r="B172" i="5"/>
  <c r="C172" i="5"/>
  <c r="B173" i="5"/>
  <c r="C173" i="5"/>
  <c r="B174" i="5"/>
  <c r="C174" i="5"/>
  <c r="B175" i="5"/>
  <c r="C175" i="5"/>
  <c r="B176" i="5"/>
  <c r="C176" i="5"/>
  <c r="B177" i="5"/>
  <c r="C177" i="5"/>
  <c r="B178" i="5"/>
  <c r="C178" i="5"/>
  <c r="B179" i="5"/>
  <c r="C179" i="5"/>
  <c r="B180" i="5"/>
  <c r="C180" i="5"/>
  <c r="B181" i="5"/>
  <c r="C181" i="5"/>
  <c r="B182" i="5"/>
  <c r="C182" i="5"/>
  <c r="B183" i="5"/>
  <c r="C183" i="5"/>
  <c r="B184" i="5"/>
  <c r="C184" i="5"/>
  <c r="B185" i="5"/>
  <c r="C185" i="5"/>
  <c r="B186" i="5"/>
  <c r="C186" i="5"/>
  <c r="B187" i="5"/>
  <c r="C187" i="5"/>
  <c r="B188" i="5"/>
  <c r="C188" i="5"/>
  <c r="B189" i="5"/>
  <c r="C189" i="5"/>
  <c r="B190" i="5"/>
  <c r="C190" i="5"/>
  <c r="B191" i="5"/>
  <c r="C191" i="5"/>
  <c r="B192" i="5"/>
  <c r="C192" i="5"/>
  <c r="B193" i="5"/>
  <c r="C193" i="5"/>
  <c r="B194" i="5"/>
  <c r="C194" i="5"/>
  <c r="B195" i="5"/>
  <c r="C195" i="5"/>
  <c r="B196" i="5"/>
  <c r="C196" i="5"/>
  <c r="B197" i="5"/>
  <c r="C197" i="5"/>
  <c r="B198" i="5"/>
  <c r="C198" i="5"/>
  <c r="B199" i="5"/>
  <c r="C199" i="5"/>
  <c r="B200" i="5"/>
  <c r="C200" i="5"/>
  <c r="B201" i="5"/>
  <c r="C201" i="5"/>
  <c r="B202" i="5"/>
  <c r="C202" i="5"/>
  <c r="B203" i="5"/>
  <c r="C203" i="5"/>
  <c r="B204" i="5"/>
  <c r="C204" i="5"/>
  <c r="B205" i="5"/>
  <c r="C205" i="5"/>
  <c r="B206" i="5"/>
  <c r="C206" i="5"/>
  <c r="B207" i="5"/>
  <c r="C207" i="5"/>
  <c r="B208" i="5"/>
  <c r="C208" i="5"/>
  <c r="B209" i="5"/>
  <c r="C209" i="5"/>
  <c r="B210" i="5"/>
  <c r="C210" i="5"/>
  <c r="B211" i="5"/>
  <c r="C211" i="5"/>
  <c r="B212" i="5"/>
  <c r="C212" i="5"/>
  <c r="B213" i="5"/>
  <c r="C213" i="5"/>
  <c r="B214" i="5"/>
  <c r="C214" i="5"/>
  <c r="B215" i="5"/>
  <c r="C215" i="5"/>
  <c r="B216" i="5"/>
  <c r="C216" i="5"/>
  <c r="B217" i="5"/>
  <c r="C217" i="5"/>
  <c r="B218" i="5"/>
  <c r="C218" i="5"/>
  <c r="B219" i="5"/>
  <c r="C219" i="5"/>
  <c r="B220" i="5"/>
  <c r="C220" i="5"/>
  <c r="B221" i="5"/>
  <c r="C221" i="5"/>
  <c r="B222" i="5"/>
  <c r="C222" i="5"/>
  <c r="B223" i="5"/>
  <c r="C223" i="5"/>
  <c r="B224" i="5"/>
  <c r="C224" i="5"/>
  <c r="B225" i="5"/>
  <c r="C225" i="5"/>
  <c r="B226" i="5"/>
  <c r="C226" i="5"/>
  <c r="B227" i="5"/>
  <c r="C227" i="5"/>
  <c r="B228" i="5"/>
  <c r="C228" i="5"/>
  <c r="B229" i="5"/>
  <c r="C229" i="5"/>
  <c r="B230" i="5"/>
  <c r="C230" i="5"/>
  <c r="B231" i="5"/>
  <c r="C231" i="5"/>
  <c r="B232" i="5"/>
  <c r="C232" i="5"/>
  <c r="B233" i="5"/>
  <c r="C233" i="5"/>
  <c r="B234" i="5"/>
  <c r="C234" i="5"/>
  <c r="B235" i="5"/>
  <c r="C235" i="5"/>
  <c r="B236" i="5"/>
  <c r="C236" i="5"/>
  <c r="B237" i="5"/>
  <c r="C237" i="5"/>
  <c r="B238" i="5"/>
  <c r="C238" i="5"/>
  <c r="B239" i="5"/>
  <c r="C239" i="5"/>
  <c r="B240" i="5"/>
  <c r="C240" i="5"/>
  <c r="B241" i="5"/>
  <c r="C241" i="5"/>
  <c r="B242" i="5"/>
  <c r="C242" i="5"/>
  <c r="B243" i="5"/>
  <c r="C243" i="5"/>
  <c r="B244" i="5"/>
  <c r="C244" i="5"/>
  <c r="B245" i="5"/>
  <c r="C245" i="5"/>
  <c r="B246" i="5"/>
  <c r="C246" i="5"/>
  <c r="B247" i="5"/>
  <c r="C247" i="5"/>
  <c r="B248" i="5"/>
  <c r="C248" i="5"/>
  <c r="B249" i="5"/>
  <c r="C249" i="5"/>
  <c r="B250" i="5"/>
  <c r="C250" i="5"/>
  <c r="B251" i="5"/>
  <c r="C251" i="5"/>
  <c r="B252" i="5"/>
  <c r="C252" i="5"/>
  <c r="B253" i="5"/>
  <c r="C253" i="5"/>
  <c r="B254" i="5"/>
  <c r="C254" i="5"/>
  <c r="B255" i="5"/>
  <c r="C255" i="5"/>
  <c r="B256" i="5"/>
  <c r="C256" i="5"/>
  <c r="B257" i="5"/>
  <c r="C257" i="5"/>
  <c r="B258" i="5"/>
  <c r="C258" i="5"/>
  <c r="B259" i="5"/>
  <c r="C259" i="5"/>
  <c r="B260" i="5"/>
  <c r="C260" i="5"/>
  <c r="B261" i="5"/>
  <c r="C261" i="5"/>
  <c r="B262" i="5"/>
  <c r="C262" i="5"/>
  <c r="B263" i="5"/>
  <c r="C263" i="5"/>
  <c r="B264" i="5"/>
  <c r="C264" i="5"/>
  <c r="B265" i="5"/>
  <c r="C265" i="5"/>
  <c r="B266" i="5"/>
  <c r="C266" i="5"/>
  <c r="B267" i="5"/>
  <c r="C267" i="5"/>
  <c r="B268" i="5"/>
  <c r="C268" i="5"/>
  <c r="B269" i="5"/>
  <c r="C269" i="5"/>
  <c r="B270" i="5"/>
  <c r="C270" i="5"/>
  <c r="B271" i="5"/>
  <c r="C271" i="5"/>
  <c r="B272" i="5"/>
  <c r="C272" i="5"/>
  <c r="B273" i="5"/>
  <c r="C273" i="5"/>
  <c r="B274" i="5"/>
  <c r="C274" i="5"/>
  <c r="B275" i="5"/>
  <c r="C275" i="5"/>
  <c r="B276" i="5"/>
  <c r="C276" i="5"/>
  <c r="B277" i="5"/>
  <c r="C277" i="5"/>
  <c r="B278" i="5"/>
  <c r="C278" i="5"/>
  <c r="B279" i="5"/>
  <c r="C279" i="5"/>
  <c r="B280" i="5"/>
  <c r="C280" i="5"/>
  <c r="B281" i="5"/>
  <c r="C281" i="5"/>
  <c r="B282" i="5"/>
  <c r="C282" i="5"/>
  <c r="B283" i="5"/>
  <c r="C283" i="5"/>
  <c r="B284" i="5"/>
  <c r="C284" i="5"/>
  <c r="B285" i="5"/>
  <c r="C285" i="5"/>
  <c r="B286" i="5"/>
  <c r="C286" i="5"/>
  <c r="B287" i="5"/>
  <c r="C287" i="5"/>
  <c r="B288" i="5"/>
  <c r="C288" i="5"/>
  <c r="B289" i="5"/>
  <c r="C289" i="5"/>
  <c r="B290" i="5"/>
  <c r="C290" i="5"/>
  <c r="B291" i="5"/>
  <c r="C291" i="5"/>
  <c r="B292" i="5"/>
  <c r="C292" i="5"/>
  <c r="B293" i="5"/>
  <c r="C293" i="5"/>
  <c r="B294" i="5"/>
  <c r="C294" i="5"/>
  <c r="B295" i="5"/>
  <c r="C295" i="5"/>
  <c r="B296" i="5"/>
  <c r="C296" i="5"/>
  <c r="B297" i="5"/>
  <c r="C297" i="5"/>
  <c r="B298" i="5"/>
  <c r="C298" i="5"/>
  <c r="B299" i="5"/>
  <c r="C299" i="5"/>
  <c r="B300" i="5"/>
  <c r="C300" i="5"/>
  <c r="B301" i="5"/>
  <c r="C301" i="5"/>
  <c r="B302" i="5"/>
  <c r="C302" i="5"/>
  <c r="B303" i="5"/>
  <c r="C303" i="5"/>
  <c r="B304" i="5"/>
  <c r="C304" i="5"/>
  <c r="B305" i="5"/>
  <c r="C305" i="5"/>
  <c r="B306" i="5"/>
  <c r="C306" i="5"/>
  <c r="B307" i="5"/>
  <c r="C307" i="5"/>
  <c r="B308" i="5"/>
  <c r="C308" i="5"/>
  <c r="B309" i="5"/>
  <c r="C309" i="5"/>
  <c r="B310" i="5"/>
  <c r="C310" i="5"/>
  <c r="B311" i="5"/>
  <c r="C311" i="5"/>
  <c r="B312" i="5"/>
  <c r="C312" i="5"/>
  <c r="B313" i="5"/>
  <c r="C313" i="5"/>
  <c r="B314" i="5"/>
  <c r="C314" i="5"/>
  <c r="B315" i="5"/>
  <c r="C315" i="5"/>
  <c r="B316" i="5"/>
  <c r="C316" i="5"/>
  <c r="B317" i="5"/>
  <c r="C317" i="5"/>
  <c r="B318" i="5"/>
  <c r="C318" i="5"/>
  <c r="B319" i="5"/>
  <c r="C319" i="5"/>
  <c r="B320" i="5"/>
  <c r="C320" i="5"/>
  <c r="B321" i="5"/>
  <c r="C321" i="5"/>
  <c r="B322" i="5"/>
  <c r="C322" i="5"/>
  <c r="B323" i="5"/>
  <c r="C323" i="5"/>
  <c r="B324" i="5"/>
  <c r="C324" i="5"/>
  <c r="B325" i="5"/>
  <c r="C325" i="5"/>
  <c r="B326" i="5"/>
  <c r="C326" i="5"/>
  <c r="B327" i="5"/>
  <c r="C327" i="5"/>
  <c r="B328" i="5"/>
  <c r="C328" i="5"/>
  <c r="B329" i="5"/>
  <c r="C329" i="5"/>
  <c r="B330" i="5"/>
  <c r="C330" i="5"/>
  <c r="B331" i="5"/>
  <c r="C331" i="5"/>
  <c r="B332" i="5"/>
  <c r="C332" i="5"/>
  <c r="B333" i="5"/>
  <c r="C333" i="5"/>
  <c r="B334" i="5"/>
  <c r="C334" i="5"/>
  <c r="B335" i="5"/>
  <c r="C335" i="5"/>
  <c r="B336" i="5"/>
  <c r="C336" i="5"/>
  <c r="B337" i="5"/>
  <c r="C337" i="5"/>
  <c r="B338" i="5"/>
  <c r="C338" i="5"/>
  <c r="B339" i="5"/>
  <c r="C339" i="5"/>
  <c r="B340" i="5"/>
  <c r="C340" i="5"/>
  <c r="B341" i="5"/>
  <c r="C341" i="5"/>
  <c r="B342" i="5"/>
  <c r="C342" i="5"/>
  <c r="B343" i="5"/>
  <c r="C343" i="5"/>
  <c r="B344" i="5"/>
  <c r="C344" i="5"/>
  <c r="B345" i="5"/>
  <c r="C345" i="5"/>
  <c r="B346" i="5"/>
  <c r="C346" i="5"/>
  <c r="B347" i="5"/>
  <c r="C347" i="5"/>
  <c r="B348" i="5"/>
  <c r="C348" i="5"/>
  <c r="B349" i="5"/>
  <c r="C349" i="5"/>
  <c r="B350" i="5"/>
  <c r="C350" i="5"/>
  <c r="B351" i="5"/>
  <c r="C351" i="5"/>
  <c r="B352" i="5"/>
  <c r="C352" i="5"/>
  <c r="B353" i="5"/>
  <c r="C353" i="5"/>
  <c r="B354" i="5"/>
  <c r="C354" i="5"/>
  <c r="B355" i="5"/>
  <c r="C355" i="5"/>
  <c r="B356" i="5"/>
  <c r="C356" i="5"/>
  <c r="B357" i="5"/>
  <c r="C357" i="5"/>
  <c r="B358" i="5"/>
  <c r="C358" i="5"/>
  <c r="B359" i="5"/>
  <c r="C359" i="5"/>
  <c r="B360" i="5"/>
  <c r="C360" i="5"/>
  <c r="B361" i="5"/>
  <c r="C361" i="5"/>
  <c r="B362" i="5"/>
  <c r="C362" i="5"/>
  <c r="B363" i="5"/>
  <c r="C363" i="5"/>
  <c r="B364" i="5"/>
  <c r="C364" i="5"/>
  <c r="B365" i="5"/>
  <c r="C365" i="5"/>
  <c r="B366" i="5"/>
  <c r="C366" i="5"/>
  <c r="B367" i="5"/>
  <c r="C367" i="5"/>
  <c r="B368" i="5"/>
  <c r="C368" i="5"/>
  <c r="B369" i="5"/>
  <c r="C369" i="5"/>
  <c r="B370" i="5"/>
  <c r="C370" i="5"/>
  <c r="B371" i="5"/>
  <c r="C371" i="5"/>
  <c r="B372" i="5"/>
  <c r="C372" i="5"/>
  <c r="B373" i="5"/>
  <c r="C373" i="5"/>
  <c r="B374" i="5"/>
  <c r="C374" i="5"/>
  <c r="B375" i="5"/>
  <c r="C375" i="5"/>
  <c r="B376" i="5"/>
  <c r="C376" i="5"/>
  <c r="B377" i="5"/>
  <c r="C377" i="5"/>
  <c r="B378" i="5"/>
  <c r="C378" i="5"/>
  <c r="B379" i="5"/>
  <c r="C379" i="5"/>
  <c r="B380" i="5"/>
  <c r="C380" i="5"/>
  <c r="B381" i="5"/>
  <c r="C381" i="5"/>
  <c r="B382" i="5"/>
  <c r="C382" i="5"/>
  <c r="B383" i="5"/>
  <c r="C383" i="5"/>
  <c r="B384" i="5"/>
  <c r="C384" i="5"/>
  <c r="B385" i="5"/>
  <c r="C385" i="5"/>
  <c r="B386" i="5"/>
  <c r="C386" i="5"/>
  <c r="B387" i="5"/>
  <c r="C387" i="5"/>
  <c r="B388" i="5"/>
  <c r="C388" i="5"/>
  <c r="B389" i="5"/>
  <c r="C389" i="5"/>
  <c r="B390" i="5"/>
  <c r="C390" i="5"/>
  <c r="B391" i="5"/>
  <c r="C391" i="5"/>
  <c r="B392" i="5"/>
  <c r="C392" i="5"/>
  <c r="B393" i="5"/>
  <c r="C393" i="5"/>
  <c r="B394" i="5"/>
  <c r="C394" i="5"/>
  <c r="B395" i="5"/>
  <c r="C395" i="5"/>
  <c r="B396" i="5"/>
  <c r="C396" i="5"/>
  <c r="B397" i="5"/>
  <c r="C397" i="5"/>
  <c r="B398" i="5"/>
  <c r="C398" i="5"/>
  <c r="B399" i="5"/>
  <c r="C399" i="5"/>
  <c r="B400" i="5"/>
  <c r="C400" i="5"/>
  <c r="B401" i="5"/>
  <c r="C401" i="5"/>
  <c r="B402" i="5"/>
  <c r="C402" i="5"/>
  <c r="B403" i="5"/>
  <c r="C403" i="5"/>
  <c r="B404" i="5"/>
  <c r="C404" i="5"/>
  <c r="B405" i="5"/>
  <c r="C405" i="5"/>
  <c r="B406" i="5"/>
  <c r="C406" i="5"/>
  <c r="B407" i="5"/>
  <c r="C407" i="5"/>
  <c r="B408" i="5"/>
  <c r="C408" i="5"/>
  <c r="B409" i="5"/>
  <c r="C409" i="5"/>
  <c r="B410" i="5"/>
  <c r="C410" i="5"/>
  <c r="B411" i="5"/>
  <c r="C411" i="5"/>
  <c r="B412" i="5"/>
  <c r="C412" i="5"/>
  <c r="B413" i="5"/>
  <c r="C413" i="5"/>
  <c r="B414" i="5"/>
  <c r="C414" i="5"/>
  <c r="B415" i="5"/>
  <c r="C415" i="5"/>
  <c r="B416" i="5"/>
  <c r="C416" i="5"/>
  <c r="B417" i="5"/>
  <c r="C417" i="5"/>
  <c r="B418" i="5"/>
  <c r="C418" i="5"/>
  <c r="B419" i="5"/>
  <c r="C419" i="5"/>
  <c r="B420" i="5"/>
  <c r="C420" i="5"/>
  <c r="B421" i="5"/>
  <c r="C421" i="5"/>
  <c r="B422" i="5"/>
  <c r="C422" i="5"/>
  <c r="B423" i="5"/>
  <c r="C423" i="5"/>
  <c r="B424" i="5"/>
  <c r="C424" i="5"/>
  <c r="B425" i="5"/>
  <c r="C425" i="5"/>
  <c r="B426" i="5"/>
  <c r="C426" i="5"/>
  <c r="B427" i="5"/>
  <c r="C427" i="5"/>
  <c r="B428" i="5"/>
  <c r="C428" i="5"/>
  <c r="B429" i="5"/>
  <c r="C429" i="5"/>
  <c r="B430" i="5"/>
  <c r="C430" i="5"/>
  <c r="B431" i="5"/>
  <c r="C431" i="5"/>
  <c r="B432" i="5"/>
  <c r="C432" i="5"/>
  <c r="B433" i="5"/>
  <c r="C433" i="5"/>
  <c r="B434" i="5"/>
  <c r="C434" i="5"/>
  <c r="B435" i="5"/>
  <c r="C435" i="5"/>
  <c r="B436" i="5"/>
  <c r="C436" i="5"/>
  <c r="B437" i="5"/>
  <c r="C437" i="5"/>
  <c r="B438" i="5"/>
  <c r="C438" i="5"/>
  <c r="B439" i="5"/>
  <c r="C439" i="5"/>
  <c r="B440" i="5"/>
  <c r="C440" i="5"/>
  <c r="B441" i="5"/>
  <c r="C441" i="5"/>
  <c r="B442" i="5"/>
  <c r="C442" i="5"/>
  <c r="B443" i="5"/>
  <c r="C443" i="5"/>
  <c r="B444" i="5"/>
  <c r="C444" i="5"/>
  <c r="B445" i="5"/>
  <c r="C445" i="5"/>
  <c r="B446" i="5"/>
  <c r="C446" i="5"/>
  <c r="B447" i="5"/>
  <c r="C447" i="5"/>
  <c r="B448" i="5"/>
  <c r="C448" i="5"/>
  <c r="B449" i="5"/>
  <c r="C449" i="5"/>
  <c r="B450" i="5"/>
  <c r="C450" i="5"/>
  <c r="B451" i="5"/>
  <c r="C451" i="5"/>
  <c r="B452" i="5"/>
  <c r="C452" i="5"/>
  <c r="B453" i="5"/>
  <c r="C453" i="5"/>
  <c r="B454" i="5"/>
  <c r="C454" i="5"/>
  <c r="B455" i="5"/>
  <c r="C455" i="5"/>
  <c r="B456" i="5"/>
  <c r="C456" i="5"/>
  <c r="B457" i="5"/>
  <c r="C457" i="5"/>
  <c r="B458" i="5"/>
  <c r="C458" i="5"/>
  <c r="B459" i="5"/>
  <c r="C459" i="5"/>
  <c r="B460" i="5"/>
  <c r="C460" i="5"/>
  <c r="B461" i="5"/>
  <c r="C461" i="5"/>
  <c r="B462" i="5"/>
  <c r="C462" i="5"/>
  <c r="B463" i="5"/>
  <c r="C463" i="5"/>
  <c r="B464" i="5"/>
  <c r="C464" i="5"/>
  <c r="B465" i="5"/>
  <c r="C465" i="5"/>
  <c r="B466" i="5"/>
  <c r="C466" i="5"/>
  <c r="B467" i="5"/>
  <c r="C467" i="5"/>
  <c r="B468" i="5"/>
  <c r="C468" i="5"/>
  <c r="B469" i="5"/>
  <c r="C469" i="5"/>
  <c r="B470" i="5"/>
  <c r="C470" i="5"/>
  <c r="B471" i="5"/>
  <c r="C471" i="5"/>
  <c r="B472" i="5"/>
  <c r="C472" i="5"/>
  <c r="B473" i="5"/>
  <c r="C473" i="5"/>
  <c r="B474" i="5"/>
  <c r="C474" i="5"/>
  <c r="B475" i="5"/>
  <c r="C475" i="5"/>
  <c r="B476" i="5"/>
  <c r="C476" i="5"/>
  <c r="B477" i="5"/>
  <c r="C477" i="5"/>
  <c r="B478" i="5"/>
  <c r="C478" i="5"/>
  <c r="B479" i="5"/>
  <c r="C479" i="5"/>
  <c r="B480" i="5"/>
  <c r="C480" i="5"/>
  <c r="B481" i="5"/>
  <c r="C481" i="5"/>
  <c r="B482" i="5"/>
  <c r="C482" i="5"/>
  <c r="B483" i="5"/>
  <c r="C483" i="5"/>
  <c r="B484" i="5"/>
  <c r="C484" i="5"/>
  <c r="B485" i="5"/>
  <c r="C485" i="5"/>
  <c r="B486" i="5"/>
  <c r="C486" i="5"/>
  <c r="B487" i="5"/>
  <c r="C487" i="5"/>
  <c r="B488" i="5"/>
  <c r="C488" i="5"/>
  <c r="B489" i="5"/>
  <c r="C489" i="5"/>
  <c r="B490" i="5"/>
  <c r="C490" i="5"/>
  <c r="B491" i="5"/>
  <c r="C491" i="5"/>
  <c r="B492" i="5"/>
  <c r="C492" i="5"/>
  <c r="B493" i="5"/>
  <c r="C493" i="5"/>
  <c r="B494" i="5"/>
  <c r="C494" i="5"/>
  <c r="B495" i="5"/>
  <c r="C495" i="5"/>
  <c r="B496" i="5"/>
  <c r="C496" i="5"/>
  <c r="B497" i="5"/>
  <c r="C497" i="5"/>
  <c r="B498" i="5"/>
  <c r="C498" i="5"/>
  <c r="B499" i="5"/>
  <c r="C499" i="5"/>
  <c r="B500" i="5"/>
  <c r="C500" i="5"/>
  <c r="B501" i="5"/>
  <c r="C501" i="5"/>
  <c r="B502" i="5"/>
  <c r="C502" i="5"/>
  <c r="B503" i="5"/>
  <c r="C503" i="5"/>
  <c r="B504" i="5"/>
  <c r="C504" i="5"/>
  <c r="B505" i="5"/>
  <c r="C505" i="5"/>
  <c r="B506" i="5"/>
  <c r="C506" i="5"/>
  <c r="B507" i="5"/>
  <c r="C507" i="5"/>
  <c r="B508" i="5"/>
  <c r="C508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" i="4"/>
  <c r="B4" i="4"/>
  <c r="B3" i="4"/>
  <c r="B2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2" i="4"/>
  <c r="C6" i="4"/>
  <c r="C7" i="4"/>
  <c r="C8" i="4"/>
  <c r="C9" i="4"/>
  <c r="C10" i="4"/>
  <c r="C11" i="4"/>
  <c r="C12" i="4"/>
  <c r="C13" i="4"/>
  <c r="C14" i="4"/>
  <c r="C15" i="4"/>
  <c r="C4" i="4"/>
  <c r="C5" i="4"/>
  <c r="C3" i="4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188" i="3"/>
  <c r="C189" i="3"/>
  <c r="C190" i="3"/>
  <c r="C191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188" i="3"/>
  <c r="B189" i="3"/>
  <c r="B190" i="3"/>
  <c r="B191" i="3"/>
  <c r="B192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B98" i="3"/>
  <c r="C98" i="3"/>
  <c r="B99" i="3"/>
  <c r="C99" i="3"/>
  <c r="B100" i="3"/>
  <c r="C100" i="3"/>
  <c r="B101" i="3"/>
  <c r="C101" i="3"/>
  <c r="B102" i="3"/>
  <c r="C102" i="3"/>
  <c r="B103" i="3"/>
  <c r="C103" i="3"/>
  <c r="B104" i="3"/>
  <c r="C104" i="3"/>
  <c r="B105" i="3"/>
  <c r="C105" i="3"/>
  <c r="B106" i="3"/>
  <c r="C106" i="3"/>
  <c r="B107" i="3"/>
  <c r="C107" i="3"/>
  <c r="B108" i="3"/>
  <c r="C108" i="3"/>
  <c r="B109" i="3"/>
  <c r="C109" i="3"/>
  <c r="B110" i="3"/>
  <c r="C110" i="3"/>
  <c r="B111" i="3"/>
  <c r="C111" i="3"/>
  <c r="B112" i="3"/>
  <c r="C112" i="3"/>
  <c r="B113" i="3"/>
  <c r="C113" i="3"/>
  <c r="B114" i="3"/>
  <c r="C114" i="3"/>
  <c r="B115" i="3"/>
  <c r="C115" i="3"/>
  <c r="B116" i="3"/>
  <c r="C116" i="3"/>
  <c r="B117" i="3"/>
  <c r="C117" i="3"/>
  <c r="B118" i="3"/>
  <c r="C118" i="3"/>
  <c r="B119" i="3"/>
  <c r="C119" i="3"/>
  <c r="B120" i="3"/>
  <c r="C120" i="3"/>
  <c r="B121" i="3"/>
  <c r="C121" i="3"/>
  <c r="B122" i="3"/>
  <c r="C122" i="3"/>
  <c r="B123" i="3"/>
  <c r="C123" i="3"/>
  <c r="B124" i="3"/>
  <c r="C124" i="3"/>
  <c r="B125" i="3"/>
  <c r="C125" i="3"/>
  <c r="B126" i="3"/>
  <c r="C126" i="3"/>
  <c r="B127" i="3"/>
  <c r="C127" i="3"/>
  <c r="B128" i="3"/>
  <c r="C128" i="3"/>
  <c r="B129" i="3"/>
  <c r="C129" i="3"/>
  <c r="B130" i="3"/>
  <c r="C130" i="3"/>
  <c r="B131" i="3"/>
  <c r="C131" i="3"/>
  <c r="B132" i="3"/>
  <c r="C132" i="3"/>
  <c r="B133" i="3"/>
  <c r="C133" i="3"/>
  <c r="B134" i="3"/>
  <c r="C134" i="3"/>
  <c r="B135" i="3"/>
  <c r="C135" i="3"/>
  <c r="B136" i="3"/>
  <c r="C136" i="3"/>
  <c r="B137" i="3"/>
  <c r="C137" i="3"/>
  <c r="B138" i="3"/>
  <c r="C138" i="3"/>
  <c r="B139" i="3"/>
  <c r="C139" i="3"/>
  <c r="B140" i="3"/>
  <c r="C140" i="3"/>
  <c r="B141" i="3"/>
  <c r="C141" i="3"/>
  <c r="B142" i="3"/>
  <c r="C142" i="3"/>
  <c r="B143" i="3"/>
  <c r="C143" i="3"/>
  <c r="B144" i="3"/>
  <c r="C144" i="3"/>
  <c r="B145" i="3"/>
  <c r="C145" i="3"/>
  <c r="B146" i="3"/>
  <c r="C146" i="3"/>
  <c r="B147" i="3"/>
  <c r="C147" i="3"/>
  <c r="B148" i="3"/>
  <c r="C148" i="3"/>
  <c r="B149" i="3"/>
  <c r="C149" i="3"/>
  <c r="B150" i="3"/>
  <c r="C150" i="3"/>
  <c r="B151" i="3"/>
  <c r="C151" i="3"/>
  <c r="B152" i="3"/>
  <c r="C152" i="3"/>
  <c r="B153" i="3"/>
  <c r="C153" i="3"/>
  <c r="B154" i="3"/>
  <c r="C154" i="3"/>
  <c r="B155" i="3"/>
  <c r="C155" i="3"/>
  <c r="B156" i="3"/>
  <c r="C156" i="3"/>
  <c r="B157" i="3"/>
  <c r="C157" i="3"/>
  <c r="B158" i="3"/>
  <c r="C158" i="3"/>
  <c r="B159" i="3"/>
  <c r="C159" i="3"/>
  <c r="B160" i="3"/>
  <c r="C160" i="3"/>
  <c r="B161" i="3"/>
  <c r="C161" i="3"/>
  <c r="B162" i="3"/>
  <c r="C162" i="3"/>
  <c r="B163" i="3"/>
  <c r="C163" i="3"/>
  <c r="B164" i="3"/>
  <c r="C164" i="3"/>
  <c r="B165" i="3"/>
  <c r="C165" i="3"/>
  <c r="B166" i="3"/>
  <c r="C166" i="3"/>
  <c r="B167" i="3"/>
  <c r="C167" i="3"/>
  <c r="B168" i="3"/>
  <c r="C168" i="3"/>
  <c r="B169" i="3"/>
  <c r="C169" i="3"/>
  <c r="B170" i="3"/>
  <c r="C170" i="3"/>
  <c r="B171" i="3"/>
  <c r="C171" i="3"/>
  <c r="B172" i="3"/>
  <c r="C172" i="3"/>
  <c r="B173" i="3"/>
  <c r="C173" i="3"/>
  <c r="B174" i="3"/>
  <c r="C174" i="3"/>
  <c r="B175" i="3"/>
  <c r="C175" i="3"/>
  <c r="B176" i="3"/>
  <c r="C176" i="3"/>
  <c r="B177" i="3"/>
  <c r="C177" i="3"/>
  <c r="B178" i="3"/>
  <c r="C178" i="3"/>
  <c r="B179" i="3"/>
  <c r="C179" i="3"/>
  <c r="B180" i="3"/>
  <c r="C180" i="3"/>
  <c r="B181" i="3"/>
  <c r="C181" i="3"/>
  <c r="B182" i="3"/>
  <c r="C182" i="3"/>
  <c r="B183" i="3"/>
  <c r="C183" i="3"/>
  <c r="B184" i="3"/>
  <c r="C184" i="3"/>
  <c r="B185" i="3"/>
  <c r="C185" i="3"/>
  <c r="B186" i="3"/>
  <c r="C186" i="3"/>
  <c r="B187" i="3"/>
  <c r="C187" i="3"/>
  <c r="C5" i="3"/>
  <c r="B5" i="3"/>
  <c r="C4" i="3"/>
  <c r="B4" i="3"/>
  <c r="C3" i="3"/>
  <c r="B3" i="3"/>
  <c r="C2" i="3"/>
  <c r="B2" i="3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2" i="2"/>
  <c r="C3" i="2"/>
  <c r="C4" i="2"/>
  <c r="C5" i="2"/>
  <c r="C6" i="2"/>
  <c r="C2" i="2"/>
</calcChain>
</file>

<file path=xl/sharedStrings.xml><?xml version="1.0" encoding="utf-8"?>
<sst xmlns="http://schemas.openxmlformats.org/spreadsheetml/2006/main" count="2923" uniqueCount="1351">
  <si>
    <t>policy_added_demand: 0.000000</t>
  </si>
  <si>
    <t xml:space="preserve"> total_outflow</t>
  </si>
  <si>
    <t xml:space="preserve"> available_volume</t>
  </si>
  <si>
    <t xml:space="preserve"> continuity_error</t>
  </si>
  <si>
    <t xml:space="preserve"> avail_vol_old</t>
  </si>
  <si>
    <t xml:space="preserve"> direct_demand</t>
  </si>
  <si>
    <t xml:space="preserve"> total_upstream_inflow</t>
  </si>
  <si>
    <t xml:space="preserve"> upstream_catchment_inflow</t>
  </si>
  <si>
    <t xml:space="preserve"> evaporated_volume</t>
  </si>
  <si>
    <t>DEBUG [Corumba IV] Week 49: cont_error</t>
  </si>
  <si>
    <t>DEBUG [Lago Paranoa] Week 49: cont_error</t>
  </si>
  <si>
    <t>Week</t>
  </si>
  <si>
    <t>Reservoir name</t>
  </si>
  <si>
    <t>DEBUG [Lago Paranoa] Week -2336: cont_error</t>
  </si>
  <si>
    <t>DEBUG [Corumba IV] Week -2335: cont_error</t>
  </si>
  <si>
    <t>DEBUG [Lago Paranoa] Week -2335: cont_error</t>
  </si>
  <si>
    <t>DEBUG [Corumba IV] Week -2334: cont_error</t>
  </si>
  <si>
    <t>DEBUG [Lago Paranoa] Week -2334: cont_error</t>
  </si>
  <si>
    <t>DEBUG [Corumba IV] Week -2333: cont_error</t>
  </si>
  <si>
    <t>DEBUG [Lago Paranoa] Week -2333: cont_error</t>
  </si>
  <si>
    <t>DEBUG [Corumba IV] Week -2332: cont_error</t>
  </si>
  <si>
    <t>DEBUG [Lago Paranoa] Week -2332: cont_error</t>
  </si>
  <si>
    <t>DEBUG [Corumba IV] Week -2331: cont_error</t>
  </si>
  <si>
    <t>DEBUG [Lago Paranoa] Week -2331: cont_error</t>
  </si>
  <si>
    <t>DEBUG [Corumba IV] Week -2330: cont_error</t>
  </si>
  <si>
    <t>DEBUG [Lago Paranoa] Week -2330: cont_error</t>
  </si>
  <si>
    <t>DEBUG [Corumba IV] Week -2329: cont_error</t>
  </si>
  <si>
    <t>DEBUG [Lago Paranoa] Week -2329: cont_error</t>
  </si>
  <si>
    <t>DEBUG [Corumba IV] Week -2328: cont_error</t>
  </si>
  <si>
    <t>DEBUG [Lago Paranoa] Week -2328: cont_error</t>
  </si>
  <si>
    <t>DEBUG [Corumba IV] Week -2327: cont_error</t>
  </si>
  <si>
    <t>DEBUG [Lago Paranoa] Week -2327: cont_error</t>
  </si>
  <si>
    <t>DEBUG [Corumba IV] Week -2326: cont_error</t>
  </si>
  <si>
    <t>DEBUG [Lago Paranoa] Week -2326: cont_error</t>
  </si>
  <si>
    <t>DEBUG [Corumba IV] Week -2325: cont_error</t>
  </si>
  <si>
    <t>DEBUG [Lago Paranoa] Week -2325: cont_error</t>
  </si>
  <si>
    <t>DEBUG [Corumba IV] Week -2324: cont_error</t>
  </si>
  <si>
    <t>DEBUG [Lago Paranoa] Week -2324: cont_error</t>
  </si>
  <si>
    <t>DEBUG [Corumba IV] Week -2323: cont_error</t>
  </si>
  <si>
    <t>DEBUG [Lago Paranoa] Week -2323: cont_error</t>
  </si>
  <si>
    <t>DEBUG [Corumba IV] Week -2322: cont_error</t>
  </si>
  <si>
    <t>DEBUG [Lago Paranoa] Week -2322: cont_error</t>
  </si>
  <si>
    <t>DEBUG [Corumba IV] Week -2321: cont_error</t>
  </si>
  <si>
    <t>DEBUG [Lago Paranoa] Week -2321: cont_error</t>
  </si>
  <si>
    <t>DEBUG [Corumba IV] Week -2320: cont_error</t>
  </si>
  <si>
    <t>DEBUG [Lago Paranoa] Week -2320: cont_error</t>
  </si>
  <si>
    <t>DEBUG [Corumba IV] Week -2319: cont_error</t>
  </si>
  <si>
    <t>DEBUG [Lago Paranoa] Week -2319: cont_error</t>
  </si>
  <si>
    <t>DEBUG [Corumba IV] Week -2318: cont_error</t>
  </si>
  <si>
    <t>DEBUG [Lago Paranoa] Week -2318: cont_error</t>
  </si>
  <si>
    <t>DEBUG [Corumba IV] Week -2317: cont_error</t>
  </si>
  <si>
    <t>DEBUG [Lago Paranoa] Week -2317: cont_error</t>
  </si>
  <si>
    <t>DEBUG [Corumba IV] Week -2316: cont_error</t>
  </si>
  <si>
    <t>DEBUG [Lago Paranoa] Week -2316: cont_error</t>
  </si>
  <si>
    <t>DEBUG [Corumba IV] Week -2315: cont_error</t>
  </si>
  <si>
    <t>DEBUG [Lago Paranoa] Week -2315: cont_error</t>
  </si>
  <si>
    <t>DEBUG [Corumba IV] Week -2314: cont_error</t>
  </si>
  <si>
    <t>DEBUG [Lago Paranoa] Week -2314: cont_error</t>
  </si>
  <si>
    <t>DEBUG [Corumba IV] Week -2313: cont_error</t>
  </si>
  <si>
    <t>DEBUG [Lago Paranoa] Week -2313: cont_error</t>
  </si>
  <si>
    <t>DEBUG [Corumba IV] Week -2312: cont_error</t>
  </si>
  <si>
    <t>DEBUG [Lago Paranoa] Week -2312: cont_error</t>
  </si>
  <si>
    <t>DEBUG [Corumba IV] Week -2311: cont_error</t>
  </si>
  <si>
    <t>DEBUG [Lago Paranoa] Week -2311: cont_error</t>
  </si>
  <si>
    <t>DEBUG [Corumba IV] Week -2310: cont_error</t>
  </si>
  <si>
    <t>DEBUG [Lago Paranoa] Week -2310: cont_error</t>
  </si>
  <si>
    <t>DEBUG [Corumba IV] Week -2309: cont_error</t>
  </si>
  <si>
    <t>DEBUG [Lago Paranoa] Week -2309: cont_error</t>
  </si>
  <si>
    <t>DEBUG [Corumba IV] Week -2308: cont_error</t>
  </si>
  <si>
    <t>DEBUG [Lago Paranoa] Week -2308: cont_error</t>
  </si>
  <si>
    <t>DEBUG [Corumba IV] Week -2307: cont_error</t>
  </si>
  <si>
    <t>DEBUG [Lago Paranoa] Week -2307: cont_error</t>
  </si>
  <si>
    <t>DEBUG [Corumba IV] Week -2306: cont_error</t>
  </si>
  <si>
    <t>DEBUG [Lago Paranoa] Week -2306: cont_error</t>
  </si>
  <si>
    <t>DEBUG [Corumba IV] Week -2305: cont_error</t>
  </si>
  <si>
    <t>DEBUG [Lago Paranoa] Week -2305: cont_error</t>
  </si>
  <si>
    <t>DEBUG [Corumba IV] Week -2304: cont_error</t>
  </si>
  <si>
    <t>DEBUG [Lago Paranoa] Week -2304: cont_error</t>
  </si>
  <si>
    <t>DEBUG [Corumba IV] Week -2303: cont_error</t>
  </si>
  <si>
    <t>DEBUG [Lago Paranoa] Week -2303: cont_error</t>
  </si>
  <si>
    <t>DEBUG [Corumba IV] Week -2302: cont_error</t>
  </si>
  <si>
    <t>DEBUG [Lago Paranoa] Week -2302: cont_error</t>
  </si>
  <si>
    <t>DEBUG [Corumba IV] Week -2301: cont_error</t>
  </si>
  <si>
    <t>DEBUG [Lago Paranoa] Week -2301: cont_error</t>
  </si>
  <si>
    <t>DEBUG [Corumba IV] Week -2300: cont_error</t>
  </si>
  <si>
    <t>DEBUG [Lago Paranoa] Week -2300: cont_error</t>
  </si>
  <si>
    <t>DEBUG [Corumba IV] Week -2299: cont_error</t>
  </si>
  <si>
    <t>DEBUG [Lago Paranoa] Week -2299: cont_error</t>
  </si>
  <si>
    <t>DEBUG [Corumba IV] Week -2298: cont_error</t>
  </si>
  <si>
    <t>DEBUG [Lago Paranoa] Week -2298: cont_error</t>
  </si>
  <si>
    <t>DEBUG [Corumba IV] Week -2297: cont_error</t>
  </si>
  <si>
    <t>DEBUG [Lago Paranoa] Week -2297: cont_error</t>
  </si>
  <si>
    <t>DEBUG [Corumba IV] Week -2296: cont_error</t>
  </si>
  <si>
    <t>DEBUG [Lago Paranoa] Week -2296: cont_error</t>
  </si>
  <si>
    <t>DEBUG [Corumba IV] Week -2295: cont_error</t>
  </si>
  <si>
    <t>DEBUG [Lago Paranoa] Week -2295: cont_error</t>
  </si>
  <si>
    <t>DEBUG [Corumba IV] Week -2294: cont_error</t>
  </si>
  <si>
    <t>DEBUG [Lago Paranoa] Week -2294: cont_error</t>
  </si>
  <si>
    <t>DEBUG [Corumba IV] Week -2293: cont_error</t>
  </si>
  <si>
    <t>DEBUG [Lago Paranoa] Week -2293: cont_error</t>
  </si>
  <si>
    <t>DEBUG [Corumba IV] Week -2292: cont_error</t>
  </si>
  <si>
    <t>DEBUG [Lago Paranoa] Week -2292: cont_error</t>
  </si>
  <si>
    <t>DEBUG [Corumba IV] Week -2395: cont_error</t>
  </si>
  <si>
    <t>DEBUG [Lago Paranoa] Week -2395: cont_error</t>
  </si>
  <si>
    <t>DEBUG [Corumba IV] Week -2394: cont_error</t>
  </si>
  <si>
    <t>DEBUG [Lago Paranoa] Week -2394: cont_error</t>
  </si>
  <si>
    <t>DEBUG [Corumba IV] Week -2393: cont_error</t>
  </si>
  <si>
    <t>DEBUG [Lago Paranoa] Week -2393: cont_error</t>
  </si>
  <si>
    <t>DEBUG [Corumba IV] Week -2392: cont_error</t>
  </si>
  <si>
    <t>DEBUG [Lago Paranoa] Week -2392: cont_error</t>
  </si>
  <si>
    <t>DEBUG [Corumba IV] Week -2391: cont_error</t>
  </si>
  <si>
    <t>DEBUG [Lago Paranoa] Week -2391: cont_error</t>
  </si>
  <si>
    <t>DEBUG [Corumba IV] Week -2390: cont_error</t>
  </si>
  <si>
    <t>DEBUG [Lago Paranoa] Week -2390: cont_error</t>
  </si>
  <si>
    <t>DEBUG [Corumba IV] Week -2389: cont_error</t>
  </si>
  <si>
    <t>DEBUG [Lago Paranoa] Week -2389: cont_error</t>
  </si>
  <si>
    <t>DEBUG [Corumba IV] Week -2388: cont_error</t>
  </si>
  <si>
    <t>DEBUG [Lago Paranoa] Week -2388: cont_error</t>
  </si>
  <si>
    <t>DEBUG [Corumba IV] Week -2387: cont_error</t>
  </si>
  <si>
    <t>DEBUG [Lago Paranoa] Week -2387: cont_error</t>
  </si>
  <si>
    <t>DEBUG [Corumba IV] Week -2386: cont_error</t>
  </si>
  <si>
    <t>DEBUG [Lago Paranoa] Week -2386: cont_error</t>
  </si>
  <si>
    <t>DEBUG [Corumba IV] Week -2385: cont_error</t>
  </si>
  <si>
    <t>DEBUG [Lago Paranoa] Week -2385: cont_error</t>
  </si>
  <si>
    <t>DEBUG [Corumba IV] Week -2384: cont_error</t>
  </si>
  <si>
    <t>DEBUG [Lago Paranoa] Week -2384: cont_error</t>
  </si>
  <si>
    <t>DEBUG [Corumba IV] Week -2383: cont_error</t>
  </si>
  <si>
    <t>DEBUG [Lago Paranoa] Week -2383: cont_error</t>
  </si>
  <si>
    <t>DEBUG [Corumba IV] Week -2382: cont_error</t>
  </si>
  <si>
    <t>DEBUG [Lago Paranoa] Week -2382: cont_error</t>
  </si>
  <si>
    <t>DEBUG [Corumba IV] Week -2381: cont_error</t>
  </si>
  <si>
    <t>DEBUG [Lago Paranoa] Week -2381: cont_error</t>
  </si>
  <si>
    <t>DEBUG [Corumba IV] Week -2380: cont_error</t>
  </si>
  <si>
    <t>DEBUG [Lago Paranoa] Week -2380: cont_error</t>
  </si>
  <si>
    <t>DEBUG [Corumba IV] Week -2379: cont_error</t>
  </si>
  <si>
    <t>DEBUG [Lago Paranoa] Week -2379: cont_error</t>
  </si>
  <si>
    <t>DEBUG [Corumba IV] Week -2378: cont_error</t>
  </si>
  <si>
    <t>DEBUG [Lago Paranoa] Week -2378: cont_error</t>
  </si>
  <si>
    <t>DEBUG [Corumba IV] Week -2377: cont_error</t>
  </si>
  <si>
    <t>DEBUG [Lago Paranoa] Week -2377: cont_error</t>
  </si>
  <si>
    <t>DEBUG [Corumba IV] Week -2376: cont_error</t>
  </si>
  <si>
    <t>DEBUG [Lago Paranoa] Week -2376: cont_error</t>
  </si>
  <si>
    <t>DEBUG [Corumba IV] Week -2375: cont_error</t>
  </si>
  <si>
    <t>DEBUG [Lago Paranoa] Week -2375: cont_error</t>
  </si>
  <si>
    <t>DEBUG [Corumba IV] Week -2374: cont_error</t>
  </si>
  <si>
    <t>DEBUG [Lago Paranoa] Week -2374: cont_error</t>
  </si>
  <si>
    <t>DEBUG [Corumba IV] Week -2373: cont_error</t>
  </si>
  <si>
    <t>DEBUG [Lago Paranoa] Week -2373: cont_error</t>
  </si>
  <si>
    <t>DEBUG [Corumba IV] Week -2372: cont_error</t>
  </si>
  <si>
    <t>DEBUG [Lago Paranoa] Week -2372: cont_error</t>
  </si>
  <si>
    <t>DEBUG [Corumba IV] Week -2371: cont_error</t>
  </si>
  <si>
    <t>DEBUG [Lago Paranoa] Week -2371: cont_error</t>
  </si>
  <si>
    <t>DEBUG [Corumba IV] Week -2370: cont_error</t>
  </si>
  <si>
    <t>DEBUG [Lago Paranoa] Week -2370: cont_error</t>
  </si>
  <si>
    <t>DEBUG [Corumba IV] Week -2369: cont_error</t>
  </si>
  <si>
    <t>DEBUG [Lago Paranoa] Week -2369: cont_error</t>
  </si>
  <si>
    <t>DEBUG [Corumba IV] Week -2368: cont_error</t>
  </si>
  <si>
    <t>DEBUG [Lago Paranoa] Week -2368: cont_error</t>
  </si>
  <si>
    <t>DEBUG [Corumba IV] Week -2367: cont_error</t>
  </si>
  <si>
    <t>DEBUG [Lago Paranoa] Week -2367: cont_error</t>
  </si>
  <si>
    <t>DEBUG [Corumba IV] Week -2366: cont_error</t>
  </si>
  <si>
    <t>DEBUG [Lago Paranoa] Week -2366: cont_error</t>
  </si>
  <si>
    <t>DEBUG [Corumba IV] Week -2365: cont_error</t>
  </si>
  <si>
    <t>DEBUG [Lago Paranoa] Week -2365: cont_error</t>
  </si>
  <si>
    <t>DEBUG [Corumba IV] Week -2364: cont_error</t>
  </si>
  <si>
    <t>DEBUG [Lago Paranoa] Week -2364: cont_error</t>
  </si>
  <si>
    <t>DEBUG [Corumba IV] Week -2363: cont_error</t>
  </si>
  <si>
    <t>DEBUG [Lago Paranoa] Week -2363: cont_error</t>
  </si>
  <si>
    <t>DEBUG [Corumba IV] Week -2362: cont_error</t>
  </si>
  <si>
    <t>DEBUG [Lago Paranoa] Week -2362: cont_error</t>
  </si>
  <si>
    <t>DEBUG [Corumba IV] Week -2361: cont_error</t>
  </si>
  <si>
    <t>DEBUG [Lago Paranoa] Week -2361: cont_error</t>
  </si>
  <si>
    <t>DEBUG [Corumba IV] Week -2360: cont_error</t>
  </si>
  <si>
    <t>DEBUG [Lago Paranoa] Week -2360: cont_error</t>
  </si>
  <si>
    <t>DEBUG [Corumba IV] Week -2359: cont_error</t>
  </si>
  <si>
    <t>DEBUG [Lago Paranoa] Week -2359: cont_error</t>
  </si>
  <si>
    <t>DEBUG [Corumba IV] Week -2358: cont_error</t>
  </si>
  <si>
    <t>DEBUG [Lago Paranoa] Week -2358: cont_error</t>
  </si>
  <si>
    <t>DEBUG [Corumba IV] Week -2357: cont_error</t>
  </si>
  <si>
    <t>DEBUG [Lago Paranoa] Week -2357: cont_error</t>
  </si>
  <si>
    <t>DEBUG [Corumba IV] Week -2356: cont_error</t>
  </si>
  <si>
    <t>DEBUG [Lago Paranoa] Week -2356: cont_error</t>
  </si>
  <si>
    <t>DEBUG [Corumba IV] Week -2355: cont_error</t>
  </si>
  <si>
    <t>DEBUG [Lago Paranoa] Week -2355: cont_error</t>
  </si>
  <si>
    <t>DEBUG [Corumba IV] Week -2354: cont_error</t>
  </si>
  <si>
    <t>DEBUG [Lago Paranoa] Week -2354: cont_error</t>
  </si>
  <si>
    <t>DEBUG [Corumba IV] Week -2353: cont_error</t>
  </si>
  <si>
    <t>DEBUG [Lago Paranoa] Week -2353: cont_error</t>
  </si>
  <si>
    <t>DEBUG [Corumba IV] Week -2352: cont_error</t>
  </si>
  <si>
    <t>DEBUG [Lago Paranoa] Week -2352: cont_error</t>
  </si>
  <si>
    <t>DEBUG [Corumba IV] Week -2351: cont_error</t>
  </si>
  <si>
    <t>DEBUG [Lago Paranoa] Week -2351: cont_error</t>
  </si>
  <si>
    <t>DEBUG [Corumba IV] Week -2350: cont_error</t>
  </si>
  <si>
    <t>DEBUG [Lago Paranoa] Week -2350: cont_error</t>
  </si>
  <si>
    <t>DEBUG [Corumba IV] Week -2349: cont_error</t>
  </si>
  <si>
    <t>DEBUG [Lago Paranoa] Week -2349: cont_error</t>
  </si>
  <si>
    <t>DEBUG [Corumba IV] Week -2348: cont_error</t>
  </si>
  <si>
    <t>DEBUG [Lago Paranoa] Week -2348: cont_error</t>
  </si>
  <si>
    <t>DEBUG [Corumba IV] Week -2347: cont_error</t>
  </si>
  <si>
    <t>DEBUG [Lago Paranoa] Week -2347: cont_error</t>
  </si>
  <si>
    <t>DEBUG [Corumba IV] Week -2346: cont_error</t>
  </si>
  <si>
    <t>DEBUG [Lago Paranoa] Week -2346: cont_error</t>
  </si>
  <si>
    <t>DEBUG [Corumba IV] Week -2345: cont_error</t>
  </si>
  <si>
    <t>DEBUG [Lago Paranoa] Week -2345: cont_error</t>
  </si>
  <si>
    <t>DEBUG [Corumba IV] Week -2344: cont_error</t>
  </si>
  <si>
    <t>DEBUG [Lago Paranoa] Week -2344: cont_error</t>
  </si>
  <si>
    <t>DEBUG [Corumba IV] Week -2447: cont_error</t>
  </si>
  <si>
    <t>DEBUG [Lago Paranoa] Week -2447: cont_error</t>
  </si>
  <si>
    <t>DEBUG [Corumba IV] Week -2446: cont_error</t>
  </si>
  <si>
    <t>DEBUG [Lago Paranoa] Week -2446: cont_error</t>
  </si>
  <si>
    <t>DEBUG [Corumba IV] Week -2445: cont_error</t>
  </si>
  <si>
    <t>DEBUG [Lago Paranoa] Week -2445: cont_error</t>
  </si>
  <si>
    <t>DEBUG [Corumba IV] Week -2444: cont_error</t>
  </si>
  <si>
    <t>DEBUG [Lago Paranoa] Week -2444: cont_error</t>
  </si>
  <si>
    <t>DEBUG [Corumba IV] Week -2443: cont_error</t>
  </si>
  <si>
    <t>DEBUG [Lago Paranoa] Week -2443: cont_error</t>
  </si>
  <si>
    <t>DEBUG [Corumba IV] Week -2442: cont_error</t>
  </si>
  <si>
    <t>DEBUG [Lago Paranoa] Week -2442: cont_error</t>
  </si>
  <si>
    <t>DEBUG [Corumba IV] Week -2441: cont_error</t>
  </si>
  <si>
    <t>DEBUG [Lago Paranoa] Week -2441: cont_error</t>
  </si>
  <si>
    <t>DEBUG [Corumba IV] Week -2440: cont_error</t>
  </si>
  <si>
    <t>DEBUG [Lago Paranoa] Week -2440: cont_error</t>
  </si>
  <si>
    <t>DEBUG [Corumba IV] Week -2439: cont_error</t>
  </si>
  <si>
    <t>DEBUG [Lago Paranoa] Week -2439: cont_error</t>
  </si>
  <si>
    <t>DEBUG [Corumba IV] Week -2438: cont_error</t>
  </si>
  <si>
    <t>DEBUG [Lago Paranoa] Week -2438: cont_error</t>
  </si>
  <si>
    <t>DEBUG [Corumba IV] Week -2437: cont_error</t>
  </si>
  <si>
    <t>DEBUG [Lago Paranoa] Week -2437: cont_error</t>
  </si>
  <si>
    <t>DEBUG [Corumba IV] Week -2436: cont_error</t>
  </si>
  <si>
    <t>DEBUG [Lago Paranoa] Week -2436: cont_error</t>
  </si>
  <si>
    <t>DEBUG [Corumba IV] Week -2435: cont_error</t>
  </si>
  <si>
    <t>DEBUG [Lago Paranoa] Week -2435: cont_error</t>
  </si>
  <si>
    <t>DEBUG [Corumba IV] Week -2434: cont_error</t>
  </si>
  <si>
    <t>DEBUG [Lago Paranoa] Week -2434: cont_error</t>
  </si>
  <si>
    <t>DEBUG [Corumba IV] Week -2433: cont_error</t>
  </si>
  <si>
    <t>DEBUG [Lago Paranoa] Week -2433: cont_error</t>
  </si>
  <si>
    <t>DEBUG [Corumba IV] Week -2432: cont_error</t>
  </si>
  <si>
    <t>DEBUG [Lago Paranoa] Week -2432: cont_error</t>
  </si>
  <si>
    <t>DEBUG [Corumba IV] Week -2431: cont_error</t>
  </si>
  <si>
    <t>DEBUG [Lago Paranoa] Week -2431: cont_error</t>
  </si>
  <si>
    <t>DEBUG [Corumba IV] Week -2430: cont_error</t>
  </si>
  <si>
    <t>DEBUG [Lago Paranoa] Week -2430: cont_error</t>
  </si>
  <si>
    <t>DEBUG [Corumba IV] Week -2429: cont_error</t>
  </si>
  <si>
    <t>DEBUG [Lago Paranoa] Week -2429: cont_error</t>
  </si>
  <si>
    <t>DEBUG [Corumba IV] Week -2428: cont_error</t>
  </si>
  <si>
    <t>DEBUG [Lago Paranoa] Week -2428: cont_error</t>
  </si>
  <si>
    <t>DEBUG [Corumba IV] Week -2427: cont_error</t>
  </si>
  <si>
    <t>DEBUG [Lago Paranoa] Week -2427: cont_error</t>
  </si>
  <si>
    <t>DEBUG [Corumba IV] Week -2426: cont_error</t>
  </si>
  <si>
    <t>DEBUG [Lago Paranoa] Week -2426: cont_error</t>
  </si>
  <si>
    <t>DEBUG [Corumba IV] Week -2425: cont_error</t>
  </si>
  <si>
    <t>DEBUG [Lago Paranoa] Week -2425: cont_error</t>
  </si>
  <si>
    <t>DEBUG [Corumba IV] Week -2424: cont_error</t>
  </si>
  <si>
    <t>DEBUG [Lago Paranoa] Week -2424: cont_error</t>
  </si>
  <si>
    <t>DEBUG [Corumba IV] Week -2423: cont_error</t>
  </si>
  <si>
    <t>DEBUG [Lago Paranoa] Week -2423: cont_error</t>
  </si>
  <si>
    <t>DEBUG [Corumba IV] Week -2422: cont_error</t>
  </si>
  <si>
    <t>DEBUG [Lago Paranoa] Week -2422: cont_error</t>
  </si>
  <si>
    <t>DEBUG [Corumba IV] Week -2421: cont_error</t>
  </si>
  <si>
    <t>DEBUG [Lago Paranoa] Week -2421: cont_error</t>
  </si>
  <si>
    <t>DEBUG [Corumba IV] Week -2420: cont_error</t>
  </si>
  <si>
    <t>DEBUG [Lago Paranoa] Week -2420: cont_error</t>
  </si>
  <si>
    <t>DEBUG [Corumba IV] Week -2419: cont_error</t>
  </si>
  <si>
    <t>DEBUG [Lago Paranoa] Week -2419: cont_error</t>
  </si>
  <si>
    <t>DEBUG [Corumba IV] Week -2418: cont_error</t>
  </si>
  <si>
    <t>DEBUG [Lago Paranoa] Week -2418: cont_error</t>
  </si>
  <si>
    <t>DEBUG [Corumba IV] Week -2417: cont_error</t>
  </si>
  <si>
    <t>DEBUG [Lago Paranoa] Week -2417: cont_error</t>
  </si>
  <si>
    <t>DEBUG [Corumba IV] Week -2416: cont_error</t>
  </si>
  <si>
    <t>DEBUG [Lago Paranoa] Week -2416: cont_error</t>
  </si>
  <si>
    <t>DEBUG [Corumba IV] Week -2415: cont_error</t>
  </si>
  <si>
    <t>DEBUG [Lago Paranoa] Week -2415: cont_error</t>
  </si>
  <si>
    <t>DEBUG [Corumba IV] Week -2414: cont_error</t>
  </si>
  <si>
    <t>DEBUG [Lago Paranoa] Week -2414: cont_error</t>
  </si>
  <si>
    <t>DEBUG [Corumba IV] Week -2413: cont_error</t>
  </si>
  <si>
    <t>DEBUG [Lago Paranoa] Week -2413: cont_error</t>
  </si>
  <si>
    <t>DEBUG [Corumba IV] Week -2412: cont_error</t>
  </si>
  <si>
    <t>DEBUG [Lago Paranoa] Week -2412: cont_error</t>
  </si>
  <si>
    <t>DEBUG [Corumba IV] Week -2411: cont_error</t>
  </si>
  <si>
    <t>DEBUG [Lago Paranoa] Week -2411: cont_error</t>
  </si>
  <si>
    <t>DEBUG [Corumba IV] Week -2410: cont_error</t>
  </si>
  <si>
    <t>DEBUG [Lago Paranoa] Week -2410: cont_error</t>
  </si>
  <si>
    <t>DEBUG [Corumba IV] Week -2409: cont_error</t>
  </si>
  <si>
    <t>DEBUG [Lago Paranoa] Week -2409: cont_error</t>
  </si>
  <si>
    <t>DEBUG [Corumba IV] Week -2408: cont_error</t>
  </si>
  <si>
    <t>DEBUG [Lago Paranoa] Week -2408: cont_error</t>
  </si>
  <si>
    <t>DEBUG [Corumba IV] Week -2407: cont_error</t>
  </si>
  <si>
    <t>DEBUG [Lago Paranoa] Week -2407: cont_error</t>
  </si>
  <si>
    <t>DEBUG [Corumba IV] Week -2406: cont_error</t>
  </si>
  <si>
    <t>DEBUG [Lago Paranoa] Week -2406: cont_error</t>
  </si>
  <si>
    <t>DEBUG [Corumba IV] Week -2405: cont_error</t>
  </si>
  <si>
    <t>DEBUG [Lago Paranoa] Week -2405: cont_error</t>
  </si>
  <si>
    <t>DEBUG [Corumba IV] Week -2404: cont_error</t>
  </si>
  <si>
    <t>DEBUG [Lago Paranoa] Week -2404: cont_error</t>
  </si>
  <si>
    <t>DEBUG [Corumba IV] Week -2403: cont_error</t>
  </si>
  <si>
    <t>DEBUG [Lago Paranoa] Week -2403: cont_error</t>
  </si>
  <si>
    <t>DEBUG [Corumba IV] Week -2402: cont_error</t>
  </si>
  <si>
    <t>DEBUG [Lago Paranoa] Week -2402: cont_error</t>
  </si>
  <si>
    <t>DEBUG [Corumba IV] Week -2401: cont_error</t>
  </si>
  <si>
    <t>DEBUG [Lago Paranoa] Week -2401: cont_error</t>
  </si>
  <si>
    <t>DEBUG [Corumba IV] Week -2400: cont_error</t>
  </si>
  <si>
    <t>DEBUG [Lago Paranoa] Week -2400: cont_error</t>
  </si>
  <si>
    <t>DEBUG [Corumba IV] Week -2399: cont_error</t>
  </si>
  <si>
    <t>DEBUG [Lago Paranoa] Week -2399: cont_error</t>
  </si>
  <si>
    <t>DEBUG [Corumba IV] Week -2398: cont_error</t>
  </si>
  <si>
    <t>DEBUG [Lago Paranoa] Week -2398: cont_error</t>
  </si>
  <si>
    <t>DEBUG [Corumba IV] Week -2397: cont_error</t>
  </si>
  <si>
    <t>DEBUG [Lago Paranoa] Week -2397: cont_error</t>
  </si>
  <si>
    <t>DEBUG [Corumba IV] Week -2396: cont_error</t>
  </si>
  <si>
    <t>DEBUG [Lago Paranoa] Week -2396: cont_error</t>
  </si>
  <si>
    <t>DEBUG [Corumba IV] Week -2499: cont_error</t>
  </si>
  <si>
    <t>DEBUG [Lago Paranoa] Week -2499: cont_error</t>
  </si>
  <si>
    <t>DEBUG [Corumba IV] Week -2498: cont_error</t>
  </si>
  <si>
    <t>DEBUG [Lago Paranoa] Week -2498: cont_error</t>
  </si>
  <si>
    <t>DEBUG [Corumba IV] Week -2497: cont_error</t>
  </si>
  <si>
    <t>DEBUG [Lago Paranoa] Week -2497: cont_error</t>
  </si>
  <si>
    <t>DEBUG [Corumba IV] Week -2496: cont_error</t>
  </si>
  <si>
    <t>DEBUG [Lago Paranoa] Week -2496: cont_error</t>
  </si>
  <si>
    <t>DEBUG [Corumba IV] Week -2495: cont_error</t>
  </si>
  <si>
    <t>DEBUG [Lago Paranoa] Week -2495: cont_error</t>
  </si>
  <si>
    <t>DEBUG [Corumba IV] Week -2494: cont_error</t>
  </si>
  <si>
    <t>DEBUG [Lago Paranoa] Week -2494: cont_error</t>
  </si>
  <si>
    <t>DEBUG [Corumba IV] Week -2493: cont_error</t>
  </si>
  <si>
    <t>DEBUG [Lago Paranoa] Week -2493: cont_error</t>
  </si>
  <si>
    <t>DEBUG [Corumba IV] Week -2492: cont_error</t>
  </si>
  <si>
    <t>DEBUG [Lago Paranoa] Week -2492: cont_error</t>
  </si>
  <si>
    <t>DEBUG [Corumba IV] Week -2491: cont_error</t>
  </si>
  <si>
    <t>DEBUG [Lago Paranoa] Week -2491: cont_error</t>
  </si>
  <si>
    <t>DEBUG [Corumba IV] Week -2490: cont_error</t>
  </si>
  <si>
    <t>DEBUG [Lago Paranoa] Week -2490: cont_error</t>
  </si>
  <si>
    <t>DEBUG [Corumba IV] Week -2489: cont_error</t>
  </si>
  <si>
    <t>DEBUG [Lago Paranoa] Week -2489: cont_error</t>
  </si>
  <si>
    <t>DEBUG [Corumba IV] Week -2488: cont_error</t>
  </si>
  <si>
    <t>DEBUG [Lago Paranoa] Week -2488: cont_error</t>
  </si>
  <si>
    <t>DEBUG [Corumba IV] Week -2487: cont_error</t>
  </si>
  <si>
    <t>DEBUG [Lago Paranoa] Week -2487: cont_error</t>
  </si>
  <si>
    <t>DEBUG [Corumba IV] Week -2486: cont_error</t>
  </si>
  <si>
    <t>DEBUG [Lago Paranoa] Week -2486: cont_error</t>
  </si>
  <si>
    <t>DEBUG [Corumba IV] Week -2485: cont_error</t>
  </si>
  <si>
    <t>DEBUG [Lago Paranoa] Week -2485: cont_error</t>
  </si>
  <si>
    <t>DEBUG [Corumba IV] Week -2484: cont_error</t>
  </si>
  <si>
    <t>DEBUG [Lago Paranoa] Week -2484: cont_error</t>
  </si>
  <si>
    <t>DEBUG [Corumba IV] Week -2483: cont_error</t>
  </si>
  <si>
    <t>DEBUG [Lago Paranoa] Week -2483: cont_error</t>
  </si>
  <si>
    <t>DEBUG [Corumba IV] Week -2482: cont_error</t>
  </si>
  <si>
    <t>DEBUG [Lago Paranoa] Week -2482: cont_error</t>
  </si>
  <si>
    <t>DEBUG [Corumba IV] Week -2481: cont_error</t>
  </si>
  <si>
    <t>DEBUG [Lago Paranoa] Week -2481: cont_error</t>
  </si>
  <si>
    <t>DEBUG [Corumba IV] Week -2480: cont_error</t>
  </si>
  <si>
    <t>DEBUG [Lago Paranoa] Week -2480: cont_error</t>
  </si>
  <si>
    <t>DEBUG [Corumba IV] Week -2479: cont_error</t>
  </si>
  <si>
    <t>DEBUG [Lago Paranoa] Week -2479: cont_error</t>
  </si>
  <si>
    <t>DEBUG [Corumba IV] Week -2478: cont_error</t>
  </si>
  <si>
    <t>DEBUG [Lago Paranoa] Week -2478: cont_error</t>
  </si>
  <si>
    <t>DEBUG [Corumba IV] Week -2477: cont_error</t>
  </si>
  <si>
    <t>DEBUG [Lago Paranoa] Week -2477: cont_error</t>
  </si>
  <si>
    <t>DEBUG [Corumba IV] Week -2476: cont_error</t>
  </si>
  <si>
    <t>DEBUG [Lago Paranoa] Week -2476: cont_error</t>
  </si>
  <si>
    <t>DEBUG [Corumba IV] Week -2475: cont_error</t>
  </si>
  <si>
    <t>DEBUG [Lago Paranoa] Week -2475: cont_error</t>
  </si>
  <si>
    <t>DEBUG [Corumba IV] Week -2474: cont_error</t>
  </si>
  <si>
    <t>DEBUG [Lago Paranoa] Week -2474: cont_error</t>
  </si>
  <si>
    <t>DEBUG [Corumba IV] Week -2473: cont_error</t>
  </si>
  <si>
    <t>DEBUG [Lago Paranoa] Week -2473: cont_error</t>
  </si>
  <si>
    <t>DEBUG [Corumba IV] Week -2472: cont_error</t>
  </si>
  <si>
    <t>DEBUG [Lago Paranoa] Week -2472: cont_error</t>
  </si>
  <si>
    <t>DEBUG [Corumba IV] Week -2471: cont_error</t>
  </si>
  <si>
    <t>DEBUG [Lago Paranoa] Week -2471: cont_error</t>
  </si>
  <si>
    <t>DEBUG [Corumba IV] Week -2470: cont_error</t>
  </si>
  <si>
    <t>DEBUG [Lago Paranoa] Week -2470: cont_error</t>
  </si>
  <si>
    <t>DEBUG [Corumba IV] Week -2469: cont_error</t>
  </si>
  <si>
    <t>DEBUG [Lago Paranoa] Week -2469: cont_error</t>
  </si>
  <si>
    <t>DEBUG [Corumba IV] Week -2468: cont_error</t>
  </si>
  <si>
    <t>DEBUG [Lago Paranoa] Week -2468: cont_error</t>
  </si>
  <si>
    <t>DEBUG [Corumba IV] Week -2467: cont_error</t>
  </si>
  <si>
    <t>DEBUG [Lago Paranoa] Week -2467: cont_error</t>
  </si>
  <si>
    <t>DEBUG [Corumba IV] Week -2466: cont_error</t>
  </si>
  <si>
    <t>DEBUG [Lago Paranoa] Week -2466: cont_error</t>
  </si>
  <si>
    <t>DEBUG [Corumba IV] Week -2465: cont_error</t>
  </si>
  <si>
    <t>DEBUG [Lago Paranoa] Week -2465: cont_error</t>
  </si>
  <si>
    <t>DEBUG [Corumba IV] Week -2464: cont_error</t>
  </si>
  <si>
    <t>DEBUG [Lago Paranoa] Week -2464: cont_error</t>
  </si>
  <si>
    <t>DEBUG [Corumba IV] Week -2463: cont_error</t>
  </si>
  <si>
    <t>DEBUG [Lago Paranoa] Week -2463: cont_error</t>
  </si>
  <si>
    <t>DEBUG [Corumba IV] Week -2462: cont_error</t>
  </si>
  <si>
    <t>DEBUG [Lago Paranoa] Week -2462: cont_error</t>
  </si>
  <si>
    <t>DEBUG [Corumba IV] Week -2461: cont_error</t>
  </si>
  <si>
    <t>DEBUG [Lago Paranoa] Week -2461: cont_error</t>
  </si>
  <si>
    <t>DEBUG [Corumba IV] Week -2460: cont_error</t>
  </si>
  <si>
    <t>DEBUG [Lago Paranoa] Week -2460: cont_error</t>
  </si>
  <si>
    <t>DEBUG [Corumba IV] Week -2459: cont_error</t>
  </si>
  <si>
    <t>DEBUG [Lago Paranoa] Week -2459: cont_error</t>
  </si>
  <si>
    <t>DEBUG [Corumba IV] Week -2458: cont_error</t>
  </si>
  <si>
    <t>DEBUG [Lago Paranoa] Week -2458: cont_error</t>
  </si>
  <si>
    <t>DEBUG [Corumba IV] Week -2457: cont_error</t>
  </si>
  <si>
    <t>DEBUG [Lago Paranoa] Week -2457: cont_error</t>
  </si>
  <si>
    <t>DEBUG [Corumba IV] Week -2456: cont_error</t>
  </si>
  <si>
    <t>DEBUG [Lago Paranoa] Week -2456: cont_error</t>
  </si>
  <si>
    <t>DEBUG [Corumba IV] Week -2455: cont_error</t>
  </si>
  <si>
    <t>DEBUG [Lago Paranoa] Week -2455: cont_error</t>
  </si>
  <si>
    <t>DEBUG [Corumba IV] Week -2454: cont_error</t>
  </si>
  <si>
    <t>DEBUG [Lago Paranoa] Week -2454: cont_error</t>
  </si>
  <si>
    <t>DEBUG [Corumba IV] Week -2453: cont_error</t>
  </si>
  <si>
    <t>DEBUG [Lago Paranoa] Week -2453: cont_error</t>
  </si>
  <si>
    <t>DEBUG [Corumba IV] Week -2452: cont_error</t>
  </si>
  <si>
    <t>DEBUG [Lago Paranoa] Week -2452: cont_error</t>
  </si>
  <si>
    <t>DEBUG [Corumba IV] Week -2451: cont_error</t>
  </si>
  <si>
    <t>DEBUG [Lago Paranoa] Week -2451: cont_error</t>
  </si>
  <si>
    <t>DEBUG [Corumba IV] Week -2450: cont_error</t>
  </si>
  <si>
    <t>DEBUG [Lago Paranoa] Week -2450: cont_error</t>
  </si>
  <si>
    <t>DEBUG [Corumba IV] Week -2449: cont_error</t>
  </si>
  <si>
    <t>DEBUG [Lago Paranoa] Week -2449: cont_error</t>
  </si>
  <si>
    <t>DEBUG [Corumba IV] Week -2448: cont_error</t>
  </si>
  <si>
    <t>DEBUG [Lago Paranoa] Week -2448: cont_error</t>
  </si>
  <si>
    <t>DEBUG [Corumba IV] Week -2551: cont_error</t>
  </si>
  <si>
    <t>DEBUG [Lago Paranoa] Week -2551: cont_error</t>
  </si>
  <si>
    <t>DEBUG [Corumba IV] Week -2550: cont_error</t>
  </si>
  <si>
    <t>DEBUG [Lago Paranoa] Week -2550: cont_error</t>
  </si>
  <si>
    <t>DEBUG [Corumba IV] Week -2549: cont_error</t>
  </si>
  <si>
    <t>DEBUG [Lago Paranoa] Week -2549: cont_error</t>
  </si>
  <si>
    <t>DEBUG [Corumba IV] Week -2548: cont_error</t>
  </si>
  <si>
    <t>DEBUG [Lago Paranoa] Week -2548: cont_error</t>
  </si>
  <si>
    <t>DEBUG [Corumba IV] Week -2547: cont_error</t>
  </si>
  <si>
    <t>DEBUG [Lago Paranoa] Week -2547: cont_error</t>
  </si>
  <si>
    <t>DEBUG [Corumba IV] Week -2546: cont_error</t>
  </si>
  <si>
    <t>DEBUG [Lago Paranoa] Week -2546: cont_error</t>
  </si>
  <si>
    <t>DEBUG [Corumba IV] Week -2545: cont_error</t>
  </si>
  <si>
    <t>DEBUG [Lago Paranoa] Week -2545: cont_error</t>
  </si>
  <si>
    <t>DEBUG [Corumba IV] Week -2544: cont_error</t>
  </si>
  <si>
    <t>DEBUG [Lago Paranoa] Week -2544: cont_error</t>
  </si>
  <si>
    <t>DEBUG [Corumba IV] Week -2543: cont_error</t>
  </si>
  <si>
    <t>DEBUG [Lago Paranoa] Week -2543: cont_error</t>
  </si>
  <si>
    <t>DEBUG [Corumba IV] Week -2542: cont_error</t>
  </si>
  <si>
    <t>DEBUG [Lago Paranoa] Week -2542: cont_error</t>
  </si>
  <si>
    <t>DEBUG [Corumba IV] Week -2541: cont_error</t>
  </si>
  <si>
    <t>DEBUG [Lago Paranoa] Week -2541: cont_error</t>
  </si>
  <si>
    <t>DEBUG [Corumba IV] Week -2540: cont_error</t>
  </si>
  <si>
    <t>DEBUG [Lago Paranoa] Week -2540: cont_error</t>
  </si>
  <si>
    <t>DEBUG [Corumba IV] Week -2539: cont_error</t>
  </si>
  <si>
    <t>DEBUG [Lago Paranoa] Week -2539: cont_error</t>
  </si>
  <si>
    <t>DEBUG [Corumba IV] Week -2538: cont_error</t>
  </si>
  <si>
    <t>DEBUG [Lago Paranoa] Week -2538: cont_error</t>
  </si>
  <si>
    <t>DEBUG [Corumba IV] Week -2537: cont_error</t>
  </si>
  <si>
    <t>DEBUG [Lago Paranoa] Week -2537: cont_error</t>
  </si>
  <si>
    <t>DEBUG [Corumba IV] Week -2536: cont_error</t>
  </si>
  <si>
    <t>DEBUG [Lago Paranoa] Week -2536: cont_error</t>
  </si>
  <si>
    <t>DEBUG [Corumba IV] Week -2535: cont_error</t>
  </si>
  <si>
    <t>DEBUG [Lago Paranoa] Week -2535: cont_error</t>
  </si>
  <si>
    <t>DEBUG [Corumba IV] Week -2534: cont_error</t>
  </si>
  <si>
    <t>DEBUG [Lago Paranoa] Week -2534: cont_error</t>
  </si>
  <si>
    <t>DEBUG [Corumba IV] Week -2533: cont_error</t>
  </si>
  <si>
    <t>DEBUG [Lago Paranoa] Week -2533: cont_error</t>
  </si>
  <si>
    <t>DEBUG [Corumba IV] Week -2532: cont_error</t>
  </si>
  <si>
    <t>DEBUG [Lago Paranoa] Week -2532: cont_error</t>
  </si>
  <si>
    <t>DEBUG [Corumba IV] Week -2531: cont_error</t>
  </si>
  <si>
    <t>DEBUG [Lago Paranoa] Week -2531: cont_error</t>
  </si>
  <si>
    <t>DEBUG [Corumba IV] Week -2530: cont_error</t>
  </si>
  <si>
    <t>DEBUG [Lago Paranoa] Week -2530: cont_error</t>
  </si>
  <si>
    <t>DEBUG [Corumba IV] Week -2529: cont_error</t>
  </si>
  <si>
    <t>DEBUG [Lago Paranoa] Week -2529: cont_error</t>
  </si>
  <si>
    <t>DEBUG [Corumba IV] Week -2528: cont_error</t>
  </si>
  <si>
    <t>DEBUG [Lago Paranoa] Week -2528: cont_error</t>
  </si>
  <si>
    <t>DEBUG [Corumba IV] Week -2527: cont_error</t>
  </si>
  <si>
    <t>DEBUG [Lago Paranoa] Week -2527: cont_error</t>
  </si>
  <si>
    <t>DEBUG [Corumba IV] Week -2526: cont_error</t>
  </si>
  <si>
    <t>DEBUG [Lago Paranoa] Week -2526: cont_error</t>
  </si>
  <si>
    <t>DEBUG [Corumba IV] Week -2525: cont_error</t>
  </si>
  <si>
    <t>DEBUG [Lago Paranoa] Week -2525: cont_error</t>
  </si>
  <si>
    <t>DEBUG [Corumba IV] Week -2524: cont_error</t>
  </si>
  <si>
    <t>DEBUG [Lago Paranoa] Week -2524: cont_error</t>
  </si>
  <si>
    <t>DEBUG [Corumba IV] Week -2523: cont_error</t>
  </si>
  <si>
    <t>DEBUG [Lago Paranoa] Week -2523: cont_error</t>
  </si>
  <si>
    <t>DEBUG [Corumba IV] Week -2522: cont_error</t>
  </si>
  <si>
    <t>DEBUG [Lago Paranoa] Week -2522: cont_error</t>
  </si>
  <si>
    <t>DEBUG [Corumba IV] Week -2521: cont_error</t>
  </si>
  <si>
    <t>DEBUG [Lago Paranoa] Week -2521: cont_error</t>
  </si>
  <si>
    <t>DEBUG [Corumba IV] Week -2520: cont_error</t>
  </si>
  <si>
    <t>DEBUG [Lago Paranoa] Week -2520: cont_error</t>
  </si>
  <si>
    <t>DEBUG [Corumba IV] Week -2519: cont_error</t>
  </si>
  <si>
    <t>DEBUG [Lago Paranoa] Week -2519: cont_error</t>
  </si>
  <si>
    <t>DEBUG [Corumba IV] Week -2518: cont_error</t>
  </si>
  <si>
    <t>DEBUG [Lago Paranoa] Week -2518: cont_error</t>
  </si>
  <si>
    <t>DEBUG [Corumba IV] Week -2517: cont_error</t>
  </si>
  <si>
    <t>DEBUG [Lago Paranoa] Week -2517: cont_error</t>
  </si>
  <si>
    <t>DEBUG [Corumba IV] Week -2516: cont_error</t>
  </si>
  <si>
    <t>DEBUG [Lago Paranoa] Week -2516: cont_error</t>
  </si>
  <si>
    <t>DEBUG [Corumba IV] Week -2515: cont_error</t>
  </si>
  <si>
    <t>DEBUG [Lago Paranoa] Week -2515: cont_error</t>
  </si>
  <si>
    <t>DEBUG [Corumba IV] Week -2514: cont_error</t>
  </si>
  <si>
    <t>DEBUG [Lago Paranoa] Week -2514: cont_error</t>
  </si>
  <si>
    <t>DEBUG [Corumba IV] Week -2513: cont_error</t>
  </si>
  <si>
    <t>DEBUG [Lago Paranoa] Week -2513: cont_error</t>
  </si>
  <si>
    <t>DEBUG [Corumba IV] Week -2512: cont_error</t>
  </si>
  <si>
    <t>DEBUG [Lago Paranoa] Week -2512: cont_error</t>
  </si>
  <si>
    <t>DEBUG [Corumba IV] Week -2511: cont_error</t>
  </si>
  <si>
    <t>DEBUG [Lago Paranoa] Week -2511: cont_error</t>
  </si>
  <si>
    <t>DEBUG [Corumba IV] Week -2510: cont_error</t>
  </si>
  <si>
    <t>DEBUG [Lago Paranoa] Week -2510: cont_error</t>
  </si>
  <si>
    <t>DEBUG [Corumba IV] Week -2509: cont_error</t>
  </si>
  <si>
    <t>DEBUG [Lago Paranoa] Week -2509: cont_error</t>
  </si>
  <si>
    <t>DEBUG [Corumba IV] Week -2508: cont_error</t>
  </si>
  <si>
    <t>DEBUG [Lago Paranoa] Week -2508: cont_error</t>
  </si>
  <si>
    <t>DEBUG [Corumba IV] Week -2507: cont_error</t>
  </si>
  <si>
    <t>DEBUG [Lago Paranoa] Week -2507: cont_error</t>
  </si>
  <si>
    <t>DEBUG [Corumba IV] Week -2506: cont_error</t>
  </si>
  <si>
    <t>DEBUG [Lago Paranoa] Week -2506: cont_error</t>
  </si>
  <si>
    <t>DEBUG [Corumba IV] Week -2505: cont_error</t>
  </si>
  <si>
    <t>DEBUG [Lago Paranoa] Week -2505: cont_error</t>
  </si>
  <si>
    <t>DEBUG [Corumba IV] Week -2504: cont_error</t>
  </si>
  <si>
    <t>DEBUG [Lago Paranoa] Week -2504: cont_error</t>
  </si>
  <si>
    <t>DEBUG [Corumba IV] Week -2503: cont_error</t>
  </si>
  <si>
    <t>DEBUG [Lago Paranoa] Week -2503: cont_error</t>
  </si>
  <si>
    <t>DEBUG [Corumba IV] Week -2502: cont_error</t>
  </si>
  <si>
    <t>DEBUG [Lago Paranoa] Week -2502: cont_error</t>
  </si>
  <si>
    <t>DEBUG [Corumba IV] Week -2501: cont_error</t>
  </si>
  <si>
    <t>DEBUG [Lago Paranoa] Week -2501: cont_error</t>
  </si>
  <si>
    <t>DEBUG [Corumba IV] Week -2500: cont_error</t>
  </si>
  <si>
    <t>DEBUG [Lago Paranoa] Week -2500: cont_error</t>
  </si>
  <si>
    <t>count_error</t>
  </si>
  <si>
    <t>DEBUG [Lago Paranoa] Week -2118: cont_error</t>
  </si>
  <si>
    <t>DEBUG [Corumba IV] Week -2117: cont_error</t>
  </si>
  <si>
    <t>DEBUG [Lago Paranoa] Week -2117: cont_error</t>
  </si>
  <si>
    <t>DEBUG [Corumba IV] Week -2116: cont_error</t>
  </si>
  <si>
    <t>DEBUG [Lago Paranoa] Week -2116: cont_error</t>
  </si>
  <si>
    <t>DEBUG [Corumba IV] Week -2115: cont_error</t>
  </si>
  <si>
    <t>DEBUG [Lago Paranoa] Week -2115: cont_error</t>
  </si>
  <si>
    <t>DEBUG [Corumba IV] Week -2114: cont_error</t>
  </si>
  <si>
    <t>DEBUG [Lago Paranoa] Week -2114: cont_error</t>
  </si>
  <si>
    <t>DEBUG [Corumba IV] Week -2113: cont_error</t>
  </si>
  <si>
    <t>DEBUG [Lago Paranoa] Week -2113: cont_error</t>
  </si>
  <si>
    <t>DEBUG [Corumba IV] Week -2112: cont_error</t>
  </si>
  <si>
    <t>DEBUG [Lago Paranoa] Week -2112: cont_error</t>
  </si>
  <si>
    <t>DEBUG [Corumba IV] Week -2111: cont_error</t>
  </si>
  <si>
    <t>DEBUG [Lago Paranoa] Week -2111: cont_error</t>
  </si>
  <si>
    <t>DEBUG [Corumba IV] Week -2110: cont_error</t>
  </si>
  <si>
    <t>DEBUG [Lago Paranoa] Week -2110: cont_error</t>
  </si>
  <si>
    <t>DEBUG [Corumba IV] Week -2109: cont_error</t>
  </si>
  <si>
    <t>DEBUG [Lago Paranoa] Week -2109: cont_error</t>
  </si>
  <si>
    <t>DEBUG [Corumba IV] Week -2108: cont_error</t>
  </si>
  <si>
    <t>DEBUG [Lago Paranoa] Week -2108: cont_error</t>
  </si>
  <si>
    <t>DEBUG [Corumba IV] Week -2107: cont_error</t>
  </si>
  <si>
    <t>DEBUG [Lago Paranoa] Week -2107: cont_error</t>
  </si>
  <si>
    <t>DEBUG [Corumba IV] Week -2106: cont_error</t>
  </si>
  <si>
    <t>DEBUG [Lago Paranoa] Week -2106: cont_error</t>
  </si>
  <si>
    <t>DEBUG [Corumba IV] Week -2105: cont_error</t>
  </si>
  <si>
    <t>DEBUG [Lago Paranoa] Week -2105: cont_error</t>
  </si>
  <si>
    <t>DEBUG [Corumba IV] Week -2104: cont_error</t>
  </si>
  <si>
    <t>DEBUG [Lago Paranoa] Week -2104: cont_error</t>
  </si>
  <si>
    <t>DEBUG [Corumba IV] Week -2103: cont_error</t>
  </si>
  <si>
    <t>DEBUG [Lago Paranoa] Week -2103: cont_error</t>
  </si>
  <si>
    <t>DEBUG [Corumba IV] Week -2102: cont_error</t>
  </si>
  <si>
    <t>DEBUG [Lago Paranoa] Week -2102: cont_error</t>
  </si>
  <si>
    <t>DEBUG [Corumba IV] Week -2101: cont_error</t>
  </si>
  <si>
    <t>DEBUG [Lago Paranoa] Week -2101: cont_error</t>
  </si>
  <si>
    <t>DEBUG [Corumba IV] Week -2100: cont_error</t>
  </si>
  <si>
    <t>DEBUG [Lago Paranoa] Week -2100: cont_error</t>
  </si>
  <si>
    <t>DEBUG [Corumba IV] Week -2099: cont_error</t>
  </si>
  <si>
    <t>DEBUG [Lago Paranoa] Week -2099: cont_error</t>
  </si>
  <si>
    <t>DEBUG [Corumba IV] Week -2098: cont_error</t>
  </si>
  <si>
    <t>DEBUG [Lago Paranoa] Week -2098: cont_error</t>
  </si>
  <si>
    <t>DEBUG [Corumba IV] Week -2097: cont_error</t>
  </si>
  <si>
    <t>DEBUG [Lago Paranoa] Week -2097: cont_error</t>
  </si>
  <si>
    <t>DEBUG [Corumba IV] Week -2096: cont_error</t>
  </si>
  <si>
    <t>DEBUG [Lago Paranoa] Week -2096: cont_error</t>
  </si>
  <si>
    <t>DEBUG [Corumba IV] Week -2095: cont_error</t>
  </si>
  <si>
    <t>DEBUG [Lago Paranoa] Week -2095: cont_error</t>
  </si>
  <si>
    <t>DEBUG [Corumba IV] Week -2094: cont_error</t>
  </si>
  <si>
    <t>DEBUG [Lago Paranoa] Week -2094: cont_error</t>
  </si>
  <si>
    <t>DEBUG [Corumba IV] Week -2093: cont_error</t>
  </si>
  <si>
    <t>DEBUG [Lago Paranoa] Week -2093: cont_error</t>
  </si>
  <si>
    <t>DEBUG [Corumba IV] Week -2092: cont_error</t>
  </si>
  <si>
    <t>DEBUG [Lago Paranoa] Week -2092: cont_error</t>
  </si>
  <si>
    <t>DEBUG [Corumba IV] Week -2091: cont_error</t>
  </si>
  <si>
    <t>DEBUG [Lago Paranoa] Week -2091: cont_error</t>
  </si>
  <si>
    <t>DEBUG [Corumba IV] Week -2090: cont_error</t>
  </si>
  <si>
    <t>DEBUG [Lago Paranoa] Week -2090: cont_error</t>
  </si>
  <si>
    <t>DEBUG [Corumba IV] Week -2089: cont_error</t>
  </si>
  <si>
    <t>DEBUG [Lago Paranoa] Week -2089: cont_error</t>
  </si>
  <si>
    <t>DEBUG [Corumba IV] Week -2088: cont_error</t>
  </si>
  <si>
    <t>DEBUG [Lago Paranoa] Week -2088: cont_error</t>
  </si>
  <si>
    <t>DEBUG [Corumba IV] Week -2087: cont_error</t>
  </si>
  <si>
    <t>DEBUG [Lago Paranoa] Week -2087: cont_error</t>
  </si>
  <si>
    <t>DEBUG [Corumba IV] Week -2086: cont_error</t>
  </si>
  <si>
    <t>DEBUG [Lago Paranoa] Week -2086: cont_error</t>
  </si>
  <si>
    <t>DEBUG [Corumba IV] Week -2085: cont_error</t>
  </si>
  <si>
    <t>DEBUG [Lago Paranoa] Week -2085: cont_error</t>
  </si>
  <si>
    <t>DEBUG [Corumba IV] Week -2084: cont_error</t>
  </si>
  <si>
    <t>DEBUG [Lago Paranoa] Week -2084: cont_error</t>
  </si>
  <si>
    <t>DEBUG [Corumba IV] Week -2083: cont_error</t>
  </si>
  <si>
    <t>DEBUG [Lago Paranoa] Week -2083: cont_error</t>
  </si>
  <si>
    <t>DEBUG [Corumba IV] Week -2082: cont_error</t>
  </si>
  <si>
    <t>DEBUG [Lago Paranoa] Week -2082: cont_error</t>
  </si>
  <si>
    <t>DEBUG [Corumba IV] Week -2081: cont_error</t>
  </si>
  <si>
    <t>DEBUG [Lago Paranoa] Week -2081: cont_error</t>
  </si>
  <si>
    <t>DEBUG [Corumba IV] Week -2080: cont_error</t>
  </si>
  <si>
    <t>DEBUG [Lago Paranoa] Week -2080: cont_error</t>
  </si>
  <si>
    <t>DEBUG [Corumba IV] Week -2079: cont_error</t>
  </si>
  <si>
    <t>DEBUG [Lago Paranoa] Week -2079: cont_error</t>
  </si>
  <si>
    <t>DEBUG [Corumba IV] Week -2078: cont_error</t>
  </si>
  <si>
    <t>DEBUG [Lago Paranoa] Week -2078: cont_error</t>
  </si>
  <si>
    <t>DEBUG [Corumba IV] Week -2181: cont_error</t>
  </si>
  <si>
    <t>DEBUG [Lago Paranoa] Week -2181: cont_error</t>
  </si>
  <si>
    <t>DEBUG [Corumba IV] Week -2180: cont_error</t>
  </si>
  <si>
    <t>DEBUG [Lago Paranoa] Week -2180: cont_error</t>
  </si>
  <si>
    <t>DEBUG [Corumba IV] Week -2179: cont_error</t>
  </si>
  <si>
    <t>DEBUG [Lago Paranoa] Week -2179: cont_error</t>
  </si>
  <si>
    <t>DEBUG [Corumba IV] Week -2178: cont_error</t>
  </si>
  <si>
    <t>DEBUG [Lago Paranoa] Week -2178: cont_error</t>
  </si>
  <si>
    <t>DEBUG [Corumba IV] Week -2177: cont_error</t>
  </si>
  <si>
    <t>DEBUG [Lago Paranoa] Week -2177: cont_error</t>
  </si>
  <si>
    <t>DEBUG [Corumba IV] Week -2176: cont_error</t>
  </si>
  <si>
    <t>DEBUG [Lago Paranoa] Week -2176: cont_error</t>
  </si>
  <si>
    <t>DEBUG [Corumba IV] Week -2175: cont_error</t>
  </si>
  <si>
    <t>DEBUG [Lago Paranoa] Week -2175: cont_error</t>
  </si>
  <si>
    <t>DEBUG [Corumba IV] Week -2174: cont_error</t>
  </si>
  <si>
    <t>DEBUG [Lago Paranoa] Week -2174: cont_error</t>
  </si>
  <si>
    <t>DEBUG [Corumba IV] Week -2173: cont_error</t>
  </si>
  <si>
    <t>DEBUG [Lago Paranoa] Week -2173: cont_error</t>
  </si>
  <si>
    <t>DEBUG [Corumba IV] Week -2172: cont_error</t>
  </si>
  <si>
    <t>terminate called after throwing an instance of 'DEBUG [Lago Paranoa] Week -2172: cont_error</t>
  </si>
  <si>
    <t>DEBUG [Corumba IV] Week -2171: cont_error</t>
  </si>
  <si>
    <t>DEBUG [Lago Paranoa] Week -2171: cont_error</t>
  </si>
  <si>
    <t>DEBUG [Corumba IV] Week -2170: cont_error</t>
  </si>
  <si>
    <t>DEBUG [Lago Paranoa] Week -2170: cont_error</t>
  </si>
  <si>
    <t>DEBUG [Corumba IV] Week -2169: cont_error</t>
  </si>
  <si>
    <t>DEBUG [Lago Paranoa] Week -2169: cont_error</t>
  </si>
  <si>
    <t>DEBUG [Corumba IV] Week -2168: cont_error</t>
  </si>
  <si>
    <t>DEBUG [Lago Paranoa] Week -2168: cont_error</t>
  </si>
  <si>
    <t>DEBUG [Corumba IV] Week -2167: cont_error</t>
  </si>
  <si>
    <t>DEBUG [Lago Paranoa] Week -2167: cont_error</t>
  </si>
  <si>
    <t>DEBUG [Corumba IV] Week -2166: cont_error</t>
  </si>
  <si>
    <t>DEBUG [Lago Paranoa] Week -2166: cont_error</t>
  </si>
  <si>
    <t>DEBUG [Corumba IV] Week -2165: cont_error</t>
  </si>
  <si>
    <t>DEBUG [Lago Paranoa] Week -2165: cont_error</t>
  </si>
  <si>
    <t>DEBUG [Corumba IV] Week -2164: cont_error</t>
  </si>
  <si>
    <t>DEBUG [Lago Paranoa] Week -2164: cont_error</t>
  </si>
  <si>
    <t>DEBUG [Corumba IV] Week -2163: cont_error</t>
  </si>
  <si>
    <t>DEBUG [Lago Paranoa] Week -2163: cont_error</t>
  </si>
  <si>
    <t>DEBUG [Corumba IV] Week -2162: cont_error</t>
  </si>
  <si>
    <t>DEBUG [Lago Paranoa] Week -2162: cont_error</t>
  </si>
  <si>
    <t>DEBUG [Corumba IV] Week -2161: cont_error</t>
  </si>
  <si>
    <t>DEBUG [Lago Paranoa] Week -2161: cont_error</t>
  </si>
  <si>
    <t>DEBUG [Corumba IV] Week -2160: cont_error</t>
  </si>
  <si>
    <t>DEBUG [Lago Paranoa] Week -2160: cont_error</t>
  </si>
  <si>
    <t>DEBUG [Corumba IV] Week -2159: cont_error</t>
  </si>
  <si>
    <t>DEBUG [Lago Paranoa] Week -2159: cont_error</t>
  </si>
  <si>
    <t>DEBUG [Corumba IV] Week -2158: cont_error</t>
  </si>
  <si>
    <t>DEBUG [Lago Paranoa] Week -2158: cont_error</t>
  </si>
  <si>
    <t>DEBUG [Corumba IV] Week -2157: cont_error</t>
  </si>
  <si>
    <t>DEBUG [Lago Paranoa] Week -2157: cont_error</t>
  </si>
  <si>
    <t>DEBUG [Corumba IV] Week -2156: cont_error</t>
  </si>
  <si>
    <t>DEBUG [Lago Paranoa] Week -2156: cont_error</t>
  </si>
  <si>
    <t>DEBUG [Corumba IV] Week -2155: cont_error</t>
  </si>
  <si>
    <t>DEBUG [Lago Paranoa] Week -2155: cont_error</t>
  </si>
  <si>
    <t>DEBUG [Corumba IV] Week -2154: cont_error</t>
  </si>
  <si>
    <t>DEBUG [Lago Paranoa] Week -2154: cont_error</t>
  </si>
  <si>
    <t>DEBUG [Corumba IV] Week -2153: cont_error</t>
  </si>
  <si>
    <t>DEBUG [Lago Paranoa] Week -2153: cont_error</t>
  </si>
  <si>
    <t>DEBUG [Corumba IV] Week -2152: cont_error</t>
  </si>
  <si>
    <t>DEBUG [Lago Paranoa] Week -2152: cont_error</t>
  </si>
  <si>
    <t>DEBUG [Corumba IV] Week -2151: cont_error</t>
  </si>
  <si>
    <t>DEBUG [Lago Paranoa] Week -2151: cont_error</t>
  </si>
  <si>
    <t>DEBUG [Corumba IV] Week -2150: cont_error</t>
  </si>
  <si>
    <t>DEBUG [Lago Paranoa] Week -2150: cont_error</t>
  </si>
  <si>
    <t>DEBUG [Corumba IV] Week -2149: cont_error</t>
  </si>
  <si>
    <t>DEBUG [Lago Paranoa] Week -2149: cont_error</t>
  </si>
  <si>
    <t>DEBUG [Corumba IV] Week -2148: cont_error</t>
  </si>
  <si>
    <t>DEBUG [Lago Paranoa] Week -2148: cont_error</t>
  </si>
  <si>
    <t>DEBUG [Corumba IV] Week -2147: cont_error</t>
  </si>
  <si>
    <t>DEBUG [Lago Paranoa] Week -2147: cont_error</t>
  </si>
  <si>
    <t>DEBUG [Corumba IV] Week -2146: cont_error</t>
  </si>
  <si>
    <t>DEBUG [Lago Paranoa] Week -2146: cont_error</t>
  </si>
  <si>
    <t>DEBUG [Corumba IV] Week -2145: cont_error</t>
  </si>
  <si>
    <t>DEBUG [Lago Paranoa] Week -2145: cont_error</t>
  </si>
  <si>
    <t>DEBUG [Corumba IV] Week -2144: cont_error</t>
  </si>
  <si>
    <t>DEBUG [Lago Paranoa] Week -2144: cont_error</t>
  </si>
  <si>
    <t>DEBUG [Corumba IV] Week -2143: cont_error</t>
  </si>
  <si>
    <t>DEBUG [Lago Paranoa] Week -2143: cont_error</t>
  </si>
  <si>
    <t>DEBUG [Corumba IV] Week -2142: cont_error</t>
  </si>
  <si>
    <t>DEBUG [Lago Paranoa] Week -2142: cont_error</t>
  </si>
  <si>
    <t>DEBUG [Corumba IV] Week -2141: cont_error</t>
  </si>
  <si>
    <t>DEBUG [Lago Paranoa] Week -2141: cont_error</t>
  </si>
  <si>
    <t>DEBUG [Corumba IV] Week -2140: cont_error</t>
  </si>
  <si>
    <t>DEBUG [Lago Paranoa] Week -2140: cont_error</t>
  </si>
  <si>
    <t>DEBUG [Corumba IV] Week -2139: cont_error</t>
  </si>
  <si>
    <t>DEBUG [Lago Paranoa] Week -2139: cont_error</t>
  </si>
  <si>
    <t>DEBUG [Corumba IV] Week -2138: cont_error</t>
  </si>
  <si>
    <t>DEBUG [Lago Paranoa] Week -2138: cont_error</t>
  </si>
  <si>
    <t>DEBUG [Corumba IV] Week -2137: cont_error</t>
  </si>
  <si>
    <t>DEBUG [Lago Paranoa] Week -2137: cont_error</t>
  </si>
  <si>
    <t>DEBUG [Corumba IV] Week -2136: cont_error</t>
  </si>
  <si>
    <t>DEBUG [Lago Paranoa] Week -2136: cont_error</t>
  </si>
  <si>
    <t>DEBUG [Corumba IV] Week -2135: cont_error</t>
  </si>
  <si>
    <t>DEBUG [Lago Paranoa] Week -2135: cont_error</t>
  </si>
  <si>
    <t>DEBUG [Corumba IV] Week -2134: cont_error</t>
  </si>
  <si>
    <t>DEBUG [Lago Paranoa] Week -2134: cont_error</t>
  </si>
  <si>
    <t>DEBUG [Corumba IV] Week -2133: cont_error</t>
  </si>
  <si>
    <t>DEBUG [Lago Paranoa] Week -2133: cont_error</t>
  </si>
  <si>
    <t>DEBUG [Corumba IV] Week -2132: cont_error</t>
  </si>
  <si>
    <t>DEBUG [Lago Paranoa] Week -2132: cont_error</t>
  </si>
  <si>
    <t>DEBUG [Corumba IV] Week -2131: cont_error</t>
  </si>
  <si>
    <t>DEBUG [Lago Paranoa] Week -2131: cont_error</t>
  </si>
  <si>
    <t>DEBUG [Corumba IV] Week -2130: cont_error</t>
  </si>
  <si>
    <t>DEBUG [Lago Paranoa] Week -2130: cont_error</t>
  </si>
  <si>
    <t xml:space="preserve">  what():  DEBUG [Corumba IV] Week -2233: cont_error</t>
  </si>
  <si>
    <t>week: -1680</t>
  </si>
  <si>
    <t>sum_allocations: 0.000000</t>
  </si>
  <si>
    <t>available_volume_old: 0.000000</t>
  </si>
  <si>
    <t>available_volume 0.000000</t>
  </si>
  <si>
    <t>total_upstream_inflow: 0.362880</t>
  </si>
  <si>
    <t>upstream_catchment_inflow: 475.804810</t>
  </si>
  <si>
    <t>evaporation: 4.592145</t>
  </si>
  <si>
    <t>total_demand: 0.000000</t>
  </si>
  <si>
    <t>total_outflow: 476.340916</t>
  </si>
  <si>
    <t>DEBUG [Corumba IV] Week -2232: cont_error</t>
  </si>
  <si>
    <t>DEBUG [Lago Paranoa] Week -2232: cont_error</t>
  </si>
  <si>
    <t>DEBUG [Corumba IV] Week -2231: cont_error</t>
  </si>
  <si>
    <t>DEBUG [Lago Paranoa] Week -2231: cont_error</t>
  </si>
  <si>
    <t>DEBUG [Corumba IV] Week -2230: cont_error</t>
  </si>
  <si>
    <t>DEBUG [Lago Paranoa] Week -2230: cont_error</t>
  </si>
  <si>
    <t>DEBUG [Corumba IV] Week -2229: cont_error</t>
  </si>
  <si>
    <t>DEBUG [Lago Paranoa] Week -2229: cont_error</t>
  </si>
  <si>
    <t>DEBUG [Corumba IV] Week -2228: cont_error</t>
  </si>
  <si>
    <t>DEBUG [Lago Paranoa] Week -2228: cont_error</t>
  </si>
  <si>
    <t>DEBUG [Corumba IV] Week -2227: cont_error</t>
  </si>
  <si>
    <t>DEBUG [Lago Paranoa] Week -2227: cont_error</t>
  </si>
  <si>
    <t>DEBUG [Corumba IV] Week -2226: cont_error</t>
  </si>
  <si>
    <t>DEBUG [Lago Paranoa] Week -2226: cont_error</t>
  </si>
  <si>
    <t>DEBUG [Corumba IV] Week -2225: cont_error</t>
  </si>
  <si>
    <t>DEBUG [Lago Paranoa] Week -2225: cont_error</t>
  </si>
  <si>
    <t>DEBUG [Corumba IV] Week -2224: cont_error</t>
  </si>
  <si>
    <t>DEBUG [Lago Paranoa] Week -2224: cont_error</t>
  </si>
  <si>
    <t>DEBUG [Corumba IV] Week -2223: cont_error</t>
  </si>
  <si>
    <t>DEBUG [Lago Paranoa] Week -2223: cont_error</t>
  </si>
  <si>
    <t>DEBUG [Corumba IV] Week -2222: cont_error</t>
  </si>
  <si>
    <t>DEBUG [Lago Paranoa] Week -2222: cont_error</t>
  </si>
  <si>
    <t>DEBUG [Corumba IV] Week -2221: cont_error</t>
  </si>
  <si>
    <t>DEBUG [Lago Paranoa] Week -2221: cont_error</t>
  </si>
  <si>
    <t>DEBUG [Corumba IV] Week -2220: cont_error</t>
  </si>
  <si>
    <t>DEBUG [Lago Paranoa] Week -2220: cont_error</t>
  </si>
  <si>
    <t>DEBUG [Corumba IV] Week -2219: cont_error</t>
  </si>
  <si>
    <t>DEBUG [Lago Paranoa] Week -2219: cont_error</t>
  </si>
  <si>
    <t>DEBUG [Corumba IV] Week -2218: cont_error</t>
  </si>
  <si>
    <t>DEBUG [Lago Paranoa] Week -2218: cont_error</t>
  </si>
  <si>
    <t>DEBUG [Corumba IV] Week -2217: cont_error</t>
  </si>
  <si>
    <t>DEBUG [Lago Paranoa] Week -2217: cont_error</t>
  </si>
  <si>
    <t>DEBUG [Corumba IV] Week -2216: cont_error</t>
  </si>
  <si>
    <t>DEBUG [Lago Paranoa] Week -2216: cont_error</t>
  </si>
  <si>
    <t>DEBUG [Corumba IV] Week -2215: cont_error</t>
  </si>
  <si>
    <t>DEBUG [Lago Paranoa] Week -2215: cont_error</t>
  </si>
  <si>
    <t>DEBUG [Corumba IV] Week -2214: cont_error</t>
  </si>
  <si>
    <t>DEBUG [Lago Paranoa] Week -2214: cont_error</t>
  </si>
  <si>
    <t>DEBUG [Corumba IV] Week -2213: cont_error</t>
  </si>
  <si>
    <t>DEBUG [Lago Paranoa] Week -2213: cont_error</t>
  </si>
  <si>
    <t>DEBUG [Corumba IV] Week -2212: cont_error</t>
  </si>
  <si>
    <t>DEBUG [Lago Paranoa] Week -2212: cont_error</t>
  </si>
  <si>
    <t>DEBUG [Corumba IV] Week -2211: cont_error</t>
  </si>
  <si>
    <t>DEBUG [Lago Paranoa] Week -2211: cont_error</t>
  </si>
  <si>
    <t>DEBUG [Corumba IV] Week -2210: cont_error</t>
  </si>
  <si>
    <t>DEBUG [Lago Paranoa] Week -2210: cont_error</t>
  </si>
  <si>
    <t>DEBUG [Corumba IV] Week -2209: cont_error</t>
  </si>
  <si>
    <t>DEBUG [Lago Paranoa] Week -2209: cont_error</t>
  </si>
  <si>
    <t>DEBUG [Corumba IV] Week -2208: cont_error</t>
  </si>
  <si>
    <t>DEBUG [Lago Paranoa] Week -2208: cont_error</t>
  </si>
  <si>
    <t>DEBUG [Corumba IV] Week -2207: cont_error</t>
  </si>
  <si>
    <t>DEBUG [Lago Paranoa] Week -2207: cont_error</t>
  </si>
  <si>
    <t>DEBUG [Corumba IV] Week -2206: cont_error</t>
  </si>
  <si>
    <t>DEBUG [Lago Paranoa] Week -2206: cont_error</t>
  </si>
  <si>
    <t>DEBUG [Corumba IV] Week -2205: cont_error</t>
  </si>
  <si>
    <t>DEBUG [Lago Paranoa] Week -2205: cont_error</t>
  </si>
  <si>
    <t>DEBUG [Corumba IV] Week -2204: cont_error</t>
  </si>
  <si>
    <t>DEBUG [Lago Paranoa] Week -2204: cont_error</t>
  </si>
  <si>
    <t>DEBUG [Corumba IV] Week -2203: cont_error</t>
  </si>
  <si>
    <t>DEBUG [Lago Paranoa] Week -2203: cont_error</t>
  </si>
  <si>
    <t>DEBUG [Corumba IV] Week -2202: cont_error</t>
  </si>
  <si>
    <t>DEBUG [Lago Paranoa] Week -2202: cont_error</t>
  </si>
  <si>
    <t>DEBUG [Corumba IV] Week -2201: cont_error</t>
  </si>
  <si>
    <t>DEBUG [Lago Paranoa] Week -2201: cont_error</t>
  </si>
  <si>
    <t>DEBUG [Corumba IV] Week -2200: cont_error</t>
  </si>
  <si>
    <t>DEBUG [Lago Paranoa] Week -2200: cont_error</t>
  </si>
  <si>
    <t>DEBUG [Corumba IV] Week -2199: cont_error</t>
  </si>
  <si>
    <t>DEBUG [Lago Paranoa] Week -2199: cont_error</t>
  </si>
  <si>
    <t>DEBUG [Corumba IV] Week -2198: cont_error</t>
  </si>
  <si>
    <t>DEBUG [Lago Paranoa] Week -2198: cont_error</t>
  </si>
  <si>
    <t>DEBUG [Corumba IV] Week -2197: cont_error</t>
  </si>
  <si>
    <t>DEBUG [Lago Paranoa] Week -2197: cont_error</t>
  </si>
  <si>
    <t>DEBUG [Corumba IV] Week -2196: cont_error</t>
  </si>
  <si>
    <t>DEBUG [Lago Paranoa] Week -2196: cont_error</t>
  </si>
  <si>
    <t>DEBUG [Corumba IV] Week -2195: cont_error</t>
  </si>
  <si>
    <t>DEBUG [Lago Paranoa] Week -2195: cont_error</t>
  </si>
  <si>
    <t>DEBUG [Corumba IV] Week -2194: cont_error</t>
  </si>
  <si>
    <t>DEBUG [Lago Paranoa] Week -2194: cont_error</t>
  </si>
  <si>
    <t>DEBUG [Corumba IV] Week -2193: cont_error</t>
  </si>
  <si>
    <t>DEBUG [Lago Paranoa] Week -2193: cont_error</t>
  </si>
  <si>
    <t>DEBUG [Corumba IV] Week -2192: cont_error</t>
  </si>
  <si>
    <t>DEBUG [Lago Paranoa] Week -2192: cont_error</t>
  </si>
  <si>
    <t>DEBUG [Corumba IV] Week -2191: cont_error</t>
  </si>
  <si>
    <t>DEBUG [Lago Paranoa] Week -2191: cont_error</t>
  </si>
  <si>
    <t>DEBUG [Corumba IV] Week -2190: cont_error</t>
  </si>
  <si>
    <t>DEBUG [Lago Paranoa] Week -2190: cont_error</t>
  </si>
  <si>
    <t>DEBUG [Corumba IV] Week -2189: cont_error</t>
  </si>
  <si>
    <t>DEBUG [Lago Paranoa] Week -2189: cont_error</t>
  </si>
  <si>
    <t>DEBUG [Corumba IV] Week -2188: cont_error</t>
  </si>
  <si>
    <t>DEBUG [Lago Paranoa] Week -2188: cont_error</t>
  </si>
  <si>
    <t>DEBUG [Corumba IV] Week -2187: cont_error</t>
  </si>
  <si>
    <t>DEBUG [Lago Paranoa] Week -2187: cont_error</t>
  </si>
  <si>
    <t>DEBUG [Corumba IV] Week -2186: cont_error</t>
  </si>
  <si>
    <t>DEBUG [Lago Paranoa] Week -2186: cont_error</t>
  </si>
  <si>
    <t>DEBUG [Corumba IV] Week -2185: cont_error</t>
  </si>
  <si>
    <t>DEBUG [Lago Paranoa] Week -2185: cont_error</t>
  </si>
  <si>
    <t>DEBUG [Corumba IV] Week -2184: cont_error</t>
  </si>
  <si>
    <t>DEBUG [Lago Paranoa] Week -2184: cont_error</t>
  </si>
  <si>
    <t>DEBUG [Corumba IV] Week -2183: cont_error</t>
  </si>
  <si>
    <t>DEBUG [Lago Paranoa] Week -2183: cont_error</t>
  </si>
  <si>
    <t>DEBUG [Corumba IV] Week -2182: cont_error</t>
  </si>
  <si>
    <t>DEBUG [Lago Paranoa] Week -2182: cont_error</t>
  </si>
  <si>
    <t>DEBUG [Corumba IV] Week -2285: cont_error</t>
  </si>
  <si>
    <t>DEBUG [Lago Paranoa] Week -2285: cont_error</t>
  </si>
  <si>
    <t>DEBUG [Corumba IV] Week -2284: cont_error</t>
  </si>
  <si>
    <t>DEBUG [Lago Paranoa] Week -2284: cont_error</t>
  </si>
  <si>
    <t>DEBUG [Corumba IV] Week -2283: cont_error</t>
  </si>
  <si>
    <t>DEBUG [Lago Paranoa] Week -2283: cont_error</t>
  </si>
  <si>
    <t>DEBUG [Corumba IV] Week -2282: cont_error</t>
  </si>
  <si>
    <t>DEBUG [Lago Paranoa] Week -2282: cont_error</t>
  </si>
  <si>
    <t>DEBUG [Corumba IV] Week -2281: cont_error</t>
  </si>
  <si>
    <t>DEBUG [Lago Paranoa] Week -2281: cont_error</t>
  </si>
  <si>
    <t>DEBUG [Corumba IV] Week -2280: cont_error</t>
  </si>
  <si>
    <t>DEBUG [Lago Paranoa] Week -2280: cont_error</t>
  </si>
  <si>
    <t>DEBUG [Corumba IV] Week -2279: cont_error</t>
  </si>
  <si>
    <t>DEBUG [Lago Paranoa] Week -2279: cont_error</t>
  </si>
  <si>
    <t>DEBUG [Corumba IV] Week -2278: cont_error</t>
  </si>
  <si>
    <t>DEBUG [Lago Paranoa] Week -2278: cont_error</t>
  </si>
  <si>
    <t>DEBUG [Corumba IV] Week -2277: cont_error</t>
  </si>
  <si>
    <t>DEBUG [Lago Paranoa] Week -2277: cont_error</t>
  </si>
  <si>
    <t>DEBUG [Corumba IV] Week -2276: cont_error</t>
  </si>
  <si>
    <t>DEBUG [Lago Paranoa] Week -2276: cont_error</t>
  </si>
  <si>
    <t>DEBUG [Corumba IV] Week -2275: cont_error</t>
  </si>
  <si>
    <t>DEBUG [Lago Paranoa] Week -2275: cont_error</t>
  </si>
  <si>
    <t>DEBUG [Corumba IV] Week -2274: cont_error</t>
  </si>
  <si>
    <t>DEBUG [Lago Paranoa] Week -2274: cont_error</t>
  </si>
  <si>
    <t>DEBUG [Corumba IV] Week -2273: cont_error</t>
  </si>
  <si>
    <t>DEBUG [Lago Paranoa] Week -2273: cont_error</t>
  </si>
  <si>
    <t>DEBUG [Corumba IV] Week -2272: cont_error</t>
  </si>
  <si>
    <t>DEBUG [Lago Paranoa] Week -2272: cont_error</t>
  </si>
  <si>
    <t>DEBUG [Corumba IV] Week -2271: cont_error</t>
  </si>
  <si>
    <t>DEBUG [Lago Paranoa] Week -2271: cont_error</t>
  </si>
  <si>
    <t>DEBUG [Corumba IV] Week -2270: cont_error</t>
  </si>
  <si>
    <t>DEBUG [Lago Paranoa] Week -2270: cont_error</t>
  </si>
  <si>
    <t>DEBUG [Corumba IV] Week -2269: cont_error</t>
  </si>
  <si>
    <t>DEBUG [Lago Paranoa] Week -2269: cont_error</t>
  </si>
  <si>
    <t>DEBUG [Corumba IV] Week -2268: cont_error</t>
  </si>
  <si>
    <t>DEBUG [Lago Paranoa] Week -2268: cont_error</t>
  </si>
  <si>
    <t>DEBUG [Corumba IV] Week -2267: cont_error</t>
  </si>
  <si>
    <t>DEBUG [Lago Paranoa] Week -2267: cont_error</t>
  </si>
  <si>
    <t>DEBUG [Corumba IV] Week -2266: cont_error</t>
  </si>
  <si>
    <t>DEBUG [Lago Paranoa] Week -2266: cont_error</t>
  </si>
  <si>
    <t>DEBUG [Corumba IV] Week -2265: cont_error</t>
  </si>
  <si>
    <t>DEBUG [Lago Paranoa] Week -2265: cont_error</t>
  </si>
  <si>
    <t>DEBUG [Corumba IV] Week -2264: cont_error</t>
  </si>
  <si>
    <t>DEBUG [Lago Paranoa] Week -2264: cont_error</t>
  </si>
  <si>
    <t>DEBUG [Corumba IV] Week -2263: cont_error</t>
  </si>
  <si>
    <t>DEBUG [Lago Paranoa] Week -2263: cont_error</t>
  </si>
  <si>
    <t>DEBUG [Corumba IV] Week -2262: cont_error</t>
  </si>
  <si>
    <t>DEBUG [Lago Paranoa] Week -2262: cont_error</t>
  </si>
  <si>
    <t>DEBUG [Corumba IV] Week -2261: cont_error</t>
  </si>
  <si>
    <t>DEBUG [Lago Paranoa] Week -2261: cont_error</t>
  </si>
  <si>
    <t>DEBUG [Corumba IV] Week -2260: cont_error</t>
  </si>
  <si>
    <t>DEBUG [Lago Paranoa] Week -2260: cont_error</t>
  </si>
  <si>
    <t>DEBUG [Corumba IV] Week -2259: cont_error</t>
  </si>
  <si>
    <t>DEBUG [Lago Paranoa] Week -2259: cont_error</t>
  </si>
  <si>
    <t>DEBUG [Corumba IV] Week -2258: cont_error</t>
  </si>
  <si>
    <t>DEBUG [Lago Paranoa] Week -2258: cont_error</t>
  </si>
  <si>
    <t>DEBUG [Corumba IV] Week -2257: cont_error</t>
  </si>
  <si>
    <t>DEBUG [Lago Paranoa] Week -2257: cont_error</t>
  </si>
  <si>
    <t>DEBUG [Corumba IV] Week -2256: cont_error</t>
  </si>
  <si>
    <t>DEBUG [Lago Paranoa] Week -2256: cont_error</t>
  </si>
  <si>
    <t>DEBUG [Corumba IV] Week -2255: cont_error</t>
  </si>
  <si>
    <t>DEBUG [Lago Paranoa] Week -2255: cont_error</t>
  </si>
  <si>
    <t>DEBUG [Corumba IV] Week -2254: cont_error</t>
  </si>
  <si>
    <t>DEBUG [Lago Paranoa] Week -2254: cont_error</t>
  </si>
  <si>
    <t>DEBUG [Corumba IV] Week -2253: cont_error</t>
  </si>
  <si>
    <t>DEBUG [Lago Paranoa] Week -2253: cont_error</t>
  </si>
  <si>
    <t>DEBUG [Corumba IV] Week -2252: cont_error</t>
  </si>
  <si>
    <t>DEBUG [Lago Paranoa] Week -2252: cont_error</t>
  </si>
  <si>
    <t>DEBUG [Corumba IV] Week -2251: cont_error</t>
  </si>
  <si>
    <t>DEBUG [Lago Paranoa] Week -2251: cont_error</t>
  </si>
  <si>
    <t>DEBUG [Corumba IV] Week -2250: cont_error</t>
  </si>
  <si>
    <t>DEBUG [Lago Paranoa] Week -2250: cont_error</t>
  </si>
  <si>
    <t>DEBUG [Corumba IV] Week -2249: cont_error</t>
  </si>
  <si>
    <t>DEBUG [Lago Paranoa] Week -2249: cont_error</t>
  </si>
  <si>
    <t>DEBUG [Corumba IV] Week -2248: cont_error</t>
  </si>
  <si>
    <t>DEBUG [Lago Paranoa] Week -2248: cont_error</t>
  </si>
  <si>
    <t>DEBUG [Corumba IV] Week -2247: cont_error</t>
  </si>
  <si>
    <t>DEBUG [Lago Paranoa] Week -2247: cont_error</t>
  </si>
  <si>
    <t>DEBUG [Corumba IV] Week -2246: cont_error</t>
  </si>
  <si>
    <t>DEBUG [Lago Paranoa] Week -2246: cont_error</t>
  </si>
  <si>
    <t>DEBUG [Corumba IV] Week -2245: cont_error</t>
  </si>
  <si>
    <t>DEBUG [Lago Paranoa] Week -2245: cont_error</t>
  </si>
  <si>
    <t>DEBUG [Corumba IV] Week -2244: cont_error</t>
  </si>
  <si>
    <t>DEBUG [Lago Paranoa] Week -2244: cont_error</t>
  </si>
  <si>
    <t>DEBUG [Corumba IV] Week -2243: cont_error</t>
  </si>
  <si>
    <t>DEBUG [Lago Paranoa] Week -2243: cont_error</t>
  </si>
  <si>
    <t>DEBUG [Corumba IV] Week -2242: cont_error</t>
  </si>
  <si>
    <t>DEBUG [Lago Paranoa] Week -2242: cont_error</t>
  </si>
  <si>
    <t>DEBUG [Corumba IV] Week -2241: cont_error</t>
  </si>
  <si>
    <t>DEBUG [Lago Paranoa] Week -2241: cont_error</t>
  </si>
  <si>
    <t>DEBUG [Corumba IV] Week -2240: cont_error</t>
  </si>
  <si>
    <t>DEBUG [Lago Paranoa] Week -2240: cont_error</t>
  </si>
  <si>
    <t>DEBUG [Corumba IV] Week -2239: cont_error</t>
  </si>
  <si>
    <t>DEBUG [Lago Paranoa] Week -2239: cont_error</t>
  </si>
  <si>
    <t>DEBUG [Corumba IV] Week -2238: cont_error</t>
  </si>
  <si>
    <t>DEBUG [Lago Paranoa] Week -2238: cont_error</t>
  </si>
  <si>
    <t>DEBUG [Corumba IV] Week -2237: cont_error</t>
  </si>
  <si>
    <t>DEBUG [Lago Paranoa] Week -2237: cont_error</t>
  </si>
  <si>
    <t>DEBUG [Corumba IV] Week -2236: cont_error</t>
  </si>
  <si>
    <t>DEBUG [Lago Paranoa] Week -2236: cont_error</t>
  </si>
  <si>
    <t>DEBUG [Corumba IV] Week -2235: cont_error</t>
  </si>
  <si>
    <t>DEBUG [Lago Paranoa] Week -2235: cont_error</t>
  </si>
  <si>
    <t>DEBUG [Corumba IV] Week -2234: cont_error</t>
  </si>
  <si>
    <t>DEBUG [Lago Paranoa] Week -2234: cont_error</t>
  </si>
  <si>
    <t>DEBUG [Corumba IV] Week -2337: cont_error</t>
  </si>
  <si>
    <t>DEBUG [Lago Paranoa] Week -2337: cont_error</t>
  </si>
  <si>
    <t>DEBUG [Corumba IV] Week -2336: cont_error</t>
  </si>
  <si>
    <t>DEBUG [Corumba IV] Week -2291: cont_error</t>
  </si>
  <si>
    <t>DEBUG [Lago Paranoa] Week -2291: cont_error</t>
  </si>
  <si>
    <t>DEBUG [Corumba IV] Week -2290: cont_error</t>
  </si>
  <si>
    <t>DEBUG [Lago Paranoa] Week -2290: cont_error</t>
  </si>
  <si>
    <t>DEBUG [Corumba IV] Week -2289: cont_error</t>
  </si>
  <si>
    <t>DEBUG [Lago Paranoa] Week -2289: cont_error</t>
  </si>
  <si>
    <t>DEBUG [Corumba IV] Week -2288: cont_error</t>
  </si>
  <si>
    <t>DEBUG [Lago Paranoa] Week -2288: cont_error</t>
  </si>
  <si>
    <t>DEBUG [Corumba IV] Week -2287: cont_error</t>
  </si>
  <si>
    <t>DEBUG [Lago Paranoa] Week -2287: cont_error</t>
  </si>
  <si>
    <t>DEBUG [Corumba IV] Week -2286: cont_error</t>
  </si>
  <si>
    <t>DEBUG [Lago Paranoa] Week -2286: cont_error</t>
  </si>
  <si>
    <t>continuity error: 3.205440</t>
  </si>
  <si>
    <t>DEBUG [Lago Paranoa] Week -2233: cont_error</t>
  </si>
  <si>
    <t>DEBUG [Corumba IV] Week -1609: cont_error</t>
  </si>
  <si>
    <t>DEBUG [Lago Paranoa] Week -1609: cont_error</t>
  </si>
  <si>
    <t>DEBUG [Corumba IV] Week -1608: cont_error</t>
  </si>
  <si>
    <t>DEBUG [Lago Paranoa] Week -1608: cont_error</t>
  </si>
  <si>
    <t>DEBUG [Corumba IV] Week -1607: cont_error</t>
  </si>
  <si>
    <t>DEBUG [Lago Paranoa] Week -1607: cont_error</t>
  </si>
  <si>
    <t>DEBUG [Corumba IV] Week -1606: cont_error</t>
  </si>
  <si>
    <t>DEBUG [Lago Paranoa] Week -1606: cont_error</t>
  </si>
  <si>
    <t>DEBUG [Corumba IV] Week -1605: cont_error</t>
  </si>
  <si>
    <t>DEBUG [Lago Paranoa] Week -1605: cont_error</t>
  </si>
  <si>
    <t>DEBUG [Corumba IV] Week -1604: cont_error</t>
  </si>
  <si>
    <t>DEBUG [Lago Paranoa] Week -1604: cont_error</t>
  </si>
  <si>
    <t>DEBUG [Corumba IV] Week -1603: cont_error</t>
  </si>
  <si>
    <t>DEBUG [Lago Paranoa] Week -1603: cont_error</t>
  </si>
  <si>
    <t>DEBUG [Corumba IV] Week -1602: cont_error</t>
  </si>
  <si>
    <t>DEBUG [Lago Paranoa] Week -1602: cont_error</t>
  </si>
  <si>
    <t>DEBUG [Corumba IV] Week -1601: cont_error</t>
  </si>
  <si>
    <t>DEBUG [Lago Paranoa] Week -1601: cont_error</t>
  </si>
  <si>
    <t>DEBUG [Corumba IV] Week -1600: cont_error</t>
  </si>
  <si>
    <t>DEBUG [Lago Paranoa] Week -1600: cont_error</t>
  </si>
  <si>
    <t>DEBUG [Corumba IV] Week -1599: cont_error</t>
  </si>
  <si>
    <t>DEBUG [Lago Paranoa] Week -1599: cont_error</t>
  </si>
  <si>
    <t>DEBUG [Corumba IV] Week -1598: cont_error</t>
  </si>
  <si>
    <t>DEBUG [Lago Paranoa] Week -1598: cont_error</t>
  </si>
  <si>
    <t>DEBUG [Corumba IV] Week -1597: cont_error</t>
  </si>
  <si>
    <t>DEBUG [Lago Paranoa] Week -1597: cont_error</t>
  </si>
  <si>
    <t>DEBUG [Corumba IV] Week -1596: cont_error</t>
  </si>
  <si>
    <t>DEBUG [Lago Paranoa] Week -1596: cont_error</t>
  </si>
  <si>
    <t>DEBUG [Corumba IV] Week -1595: cont_error</t>
  </si>
  <si>
    <t>DEBUG [Lago Paranoa] Week -1595: cont_error</t>
  </si>
  <si>
    <t>DEBUG [Corumba IV] Week -1594: cont_error</t>
  </si>
  <si>
    <t>DEBUG [Lago Paranoa] Week -1594: cont_error</t>
  </si>
  <si>
    <t>DEBUG [Corumba IV] Week -1593: cont_error</t>
  </si>
  <si>
    <t>DEBUG [Lago Paranoa] Week -1593: cont_error</t>
  </si>
  <si>
    <t>DEBUG [Corumba IV] Week -1592: cont_error</t>
  </si>
  <si>
    <t>DEBUG [Lago Paranoa] Week -1592: cont_error</t>
  </si>
  <si>
    <t>DEBUG [Corumba IV] Week -1591: cont_error</t>
  </si>
  <si>
    <t>DEBUG [Lago Paranoa] Week -1591: cont_error</t>
  </si>
  <si>
    <t>DEBUG [Corumba IV] Week -1590: cont_error</t>
  </si>
  <si>
    <t>DEBUG [Lago Paranoa] Week -1590: cont_error</t>
  </si>
  <si>
    <t>DEBUG [Corumba IV] Week -1589: cont_error</t>
  </si>
  <si>
    <t>DEBUG [Lago Paranoa] Week -1589: cont_error</t>
  </si>
  <si>
    <t>DEBUG [Corumba IV] Week -1588: cont_error</t>
  </si>
  <si>
    <t>DEBUG [Lago Paranoa] Week -1588: cont_error</t>
  </si>
  <si>
    <t>DEBUG [Corumba IV] Week -1587: cont_error</t>
  </si>
  <si>
    <t>DEBUG [Lago Paranoa] Week -1587: cont_error</t>
  </si>
  <si>
    <t>DEBUG [Corumba IV] Week -1716: cont_error</t>
  </si>
  <si>
    <t>DEBUG [Lago Paranoa] Week -1716: cont_error</t>
  </si>
  <si>
    <t>DEBUG [Corumba IV] Week -1715: cont_error</t>
  </si>
  <si>
    <t>DEBUG [Lago Paranoa] Week -1715: cont_error</t>
  </si>
  <si>
    <t>DEBUG [Corumba IV] Week -1714: cont_error</t>
  </si>
  <si>
    <t>DEBUG [Lago Paranoa] Week -1714: cont_error</t>
  </si>
  <si>
    <t>DEBUG [Corumba IV] Week -1713: cont_error</t>
  </si>
  <si>
    <t>DEBUG [Lago Paranoa] Week -1713: cont_error</t>
  </si>
  <si>
    <t>DEBUG [Corumba IV] Week -1712: cont_error</t>
  </si>
  <si>
    <t>DEBUG [Lago Paranoa] Week -1712: cont_error</t>
  </si>
  <si>
    <t>DEBUG [Corumba IV] Week -1711: cont_error</t>
  </si>
  <si>
    <t>DEBUG [Lago Paranoa] Week -1711: cont_error</t>
  </si>
  <si>
    <t>DEBUG [Corumba IV] Week -1710: cont_error</t>
  </si>
  <si>
    <t>DEBUG [Lago Paranoa] Week -1710: cont_error</t>
  </si>
  <si>
    <t>DEBUG [Corumba IV] Week -1709: cont_error</t>
  </si>
  <si>
    <t>DEBUG [Lago Paranoa] Week -1709: cont_error</t>
  </si>
  <si>
    <t>DEBUG [Corumba IV] Week -1708: cont_error</t>
  </si>
  <si>
    <t>DEBUG [Lago Paranoa] Week -1708: cont_error</t>
  </si>
  <si>
    <t>DEBUG [Corumba IV] Week -1707: cont_error</t>
  </si>
  <si>
    <t>DEBUG [Lago Paranoa] Week -1707: cont_error</t>
  </si>
  <si>
    <t>DEBUG [Corumba IV] Week -1706: cont_error</t>
  </si>
  <si>
    <t>DEBUG [Lago Paranoa] Week -1706: cont_error</t>
  </si>
  <si>
    <t>DEBUG [Corumba IV] Week -1705: cont_error</t>
  </si>
  <si>
    <t>DEBUG [Lago Paranoa] Week -1705: cont_error</t>
  </si>
  <si>
    <t>DEBUG [Corumba IV] Week -1704: cont_error</t>
  </si>
  <si>
    <t>DEBUG [Lago Paranoa] Week -1704: cont_error</t>
  </si>
  <si>
    <t>DEBUG [Corumba IV] Week -1703: cont_error</t>
  </si>
  <si>
    <t>DEBUG [Lago Paranoa] Week -1703: cont_error</t>
  </si>
  <si>
    <t>DEBUG [Corumba IV] Week -1702: cont_error</t>
  </si>
  <si>
    <t>DEBUG [Lago Paranoa] Week -1702: cont_error</t>
  </si>
  <si>
    <t>DEBUG [Corumba IV] Week -1701: cont_error</t>
  </si>
  <si>
    <t>DEBUG [Lago Paranoa] Week -1701: cont_error</t>
  </si>
  <si>
    <t>DEBUG [Corumba IV] Week -1700: cont_error</t>
  </si>
  <si>
    <t>DEBUG [Lago Paranoa] Week -1700: cont_error</t>
  </si>
  <si>
    <t>DEBUG [Corumba IV] Week -1699: cont_error</t>
  </si>
  <si>
    <t>DEBUG [Lago Paranoa] Week -1699: cont_error</t>
  </si>
  <si>
    <t>DEBUG [Corumba IV] Week -1698: cont_error</t>
  </si>
  <si>
    <t>DEBUG [Lago Paranoa] Week -1698: cont_error</t>
  </si>
  <si>
    <t>DEBUG [Corumba IV] Week -1697: cont_error</t>
  </si>
  <si>
    <t>DEBUG [Lago Paranoa] Week -1697: cont_error</t>
  </si>
  <si>
    <t>DEBUG [Corumba IV] Week -1696: cont_error</t>
  </si>
  <si>
    <t>DEBUG [Lago Paranoa] Week -1696: cont_error</t>
  </si>
  <si>
    <t>DEBUG [Corumba IV] Week -1695: cont_error</t>
  </si>
  <si>
    <t>DEBUG [Lago Paranoa] Week -1695: cont_error</t>
  </si>
  <si>
    <t>DEBUG [Corumba IV] Week -1694: cont_error</t>
  </si>
  <si>
    <t>DEBUG [Lago Paranoa] Week -1694: cont_error</t>
  </si>
  <si>
    <t>DEBUG [Corumba IV] Week -1693: cont_error</t>
  </si>
  <si>
    <t>DEBUG [Lago Paranoa] Week -1693: cont_error</t>
  </si>
  <si>
    <t>DEBUG [Corumba IV] Week -1692: cont_error</t>
  </si>
  <si>
    <t>DEBUG [Lago Paranoa] Week -1692: cont_error</t>
  </si>
  <si>
    <t>DEBUG [Corumba IV] Week -1691: cont_error</t>
  </si>
  <si>
    <t>DEBUG [Lago Paranoa] Week -1691: cont_error</t>
  </si>
  <si>
    <t>DEBUG [Corumba IV] Week -1690: cont_error</t>
  </si>
  <si>
    <t>DEBUG [Lago Paranoa] Week -1690: cont_error</t>
  </si>
  <si>
    <t>DEBUG [Corumba IV] Week -1689: cont_error</t>
  </si>
  <si>
    <t>DEBUG [Lago Paranoa] Week -1689: cont_error</t>
  </si>
  <si>
    <t>DEBUG [Corumba IV] Week -1688: cont_error</t>
  </si>
  <si>
    <t>DEBUG [Lago Paranoa] Week -1688: cont_error</t>
  </si>
  <si>
    <t>DEBUG [Corumba IV] Week -1687: cont_error</t>
  </si>
  <si>
    <t>DEBUG [Lago Paranoa] Week -1687: cont_error</t>
  </si>
  <si>
    <t>DEBUG [Corumba IV] Week -1686: cont_error</t>
  </si>
  <si>
    <t>DEBUG [Lago Paranoa] Week -1686: cont_error</t>
  </si>
  <si>
    <t>DEBUG [Corumba IV] Week -1685: cont_error</t>
  </si>
  <si>
    <t>DEBUG [Lago Paranoa] Week -1685: cont_error</t>
  </si>
  <si>
    <t>DEBUG [Corumba IV] Week -1684: cont_error</t>
  </si>
  <si>
    <t>DEBUG [Lago Paranoa] Week -1684: cont_error</t>
  </si>
  <si>
    <t>DEBUG [Corumba IV] Week -1683: cont_error</t>
  </si>
  <si>
    <t>DEBUG [Lago Paranoa] Week -1683: cont_error</t>
  </si>
  <si>
    <t>DEBUG [Corumba IV] Week -1682: cont_error</t>
  </si>
  <si>
    <t>DEBUG [Lago Paranoa] Week -1682: cont_error</t>
  </si>
  <si>
    <t>DEBUG [Corumba IV] Week -1681: cont_error</t>
  </si>
  <si>
    <t>DEBUG [Lago Paranoa] Week -1681: cont_error</t>
  </si>
  <si>
    <t>DEBUG [Corumba IV] Week -1680: cont_error</t>
  </si>
  <si>
    <t>DEBUG [Lago Paranoa] Week -1680: cont_error</t>
  </si>
  <si>
    <t>DEBUG [Corumba IV] Week -1679: cont_error</t>
  </si>
  <si>
    <t>DEBUG [Lago Paranoa] Week -1679: cont_error</t>
  </si>
  <si>
    <t>DEBUG [Corumba IV] Week -1678: cont_error</t>
  </si>
  <si>
    <t>DEBUG [Lago Paranoa] Week -1678: cont_error</t>
  </si>
  <si>
    <t>DEBUG [Corumba IV] Week -1677: cont_error</t>
  </si>
  <si>
    <t>DEBUG [Lago Paranoa] Week -1677: cont_error</t>
  </si>
  <si>
    <t>DEBUG [Corumba IV] Week -1676: cont_error</t>
  </si>
  <si>
    <t>DEBUG [Lago Paranoa] Week -1676: cont_error</t>
  </si>
  <si>
    <t>DEBUG [Corumba IV] Week -1675: cont_error</t>
  </si>
  <si>
    <t>DEBUG [Lago Paranoa] Week -1675: cont_error</t>
  </si>
  <si>
    <t>DEBUG [Corumba IV] Week -1674: cont_error</t>
  </si>
  <si>
    <t>DEBUG [Lago Paranoa] Week -1674: cont_error</t>
  </si>
  <si>
    <t>DEBUG [Corumba IV] Week -1673: cont_error</t>
  </si>
  <si>
    <t>DEBUG [Lago Paranoa] Week -1673: cont_error</t>
  </si>
  <si>
    <t>DEBUG [Corumba IV] Week -1672: cont_error</t>
  </si>
  <si>
    <t>DEBUG [Lago Paranoa] Week -1672: cont_error</t>
  </si>
  <si>
    <t>DEBUG [Corumba IV] Week -1671: cont_error</t>
  </si>
  <si>
    <t>DEBUG [Lago Paranoa] Week -1671: cont_error</t>
  </si>
  <si>
    <t>DEBUG [Corumba IV] Week -1670: cont_error</t>
  </si>
  <si>
    <t>DEBUG [Lago Paranoa] Week -1670: cont_error</t>
  </si>
  <si>
    <t>DEBUG [Corumba IV] Week -1669: cont_error</t>
  </si>
  <si>
    <t>DEBUG [Lago Paranoa] Week -1669: cont_error</t>
  </si>
  <si>
    <t>DEBUG [Corumba IV] Week -1668: cont_error</t>
  </si>
  <si>
    <t>DEBUG [Lago Paranoa] Week -1668: cont_error</t>
  </si>
  <si>
    <t>DEBUG [Corumba IV] Week -1667: cont_error</t>
  </si>
  <si>
    <t>DEBUG [Lago Paranoa] Week -1667: cont_error</t>
  </si>
  <si>
    <t>DEBUG [Corumba IV] Week -1666: cont_error</t>
  </si>
  <si>
    <t>DEBUG [Lago Paranoa] Week -1666: cont_error</t>
  </si>
  <si>
    <t>DEBUG [Corumba IV] Week -1665: cont_error</t>
  </si>
  <si>
    <t>DEBUG [Lago Paranoa] Week -1665: cont_error</t>
  </si>
  <si>
    <t>DEBUG [Corumba IV] Week -1664: cont_error</t>
  </si>
  <si>
    <t>DEBUG [Lago Paranoa] Week -1664: cont_error</t>
  </si>
  <si>
    <t>DEBUG [Corumba IV] Week -1663: cont_error</t>
  </si>
  <si>
    <t>DEBUG [Lago Paranoa] Week -1663: cont_error</t>
  </si>
  <si>
    <t>DEBUG [Corumba IV] Week -1662: cont_error</t>
  </si>
  <si>
    <t>DEBUG [Lago Paranoa] Week -1662: cont_error</t>
  </si>
  <si>
    <t>DEBUG [Corumba IV] Week -1661: cont_error</t>
  </si>
  <si>
    <t>DEBUG [Lago Paranoa] Week -1661: cont_error</t>
  </si>
  <si>
    <t>DEBUG [Corumba IV] Week -1660: cont_error</t>
  </si>
  <si>
    <t>DEBUG [Lago Paranoa] Week -1660: cont_error</t>
  </si>
  <si>
    <t>DEBUG [Corumba IV] Week -1659: cont_error</t>
  </si>
  <si>
    <t>DEBUG [Lago Paranoa] Week -1659: cont_error</t>
  </si>
  <si>
    <t>DEBUG [Corumba IV] Week -1658: cont_error</t>
  </si>
  <si>
    <t>DEBUG [Lago Paranoa] Week -1658: cont_error</t>
  </si>
  <si>
    <t>DEBUG [Corumba IV] Week -1657: cont_error</t>
  </si>
  <si>
    <t>DEBUG [Lago Paranoa] Week -1657: cont_error</t>
  </si>
  <si>
    <t>DEBUG [Corumba IV] Week -1656: cont_error</t>
  </si>
  <si>
    <t>DEBUG [Lago Paranoa] Week -1656: cont_error</t>
  </si>
  <si>
    <t>DEBUG [Corumba IV] Week -1655: cont_error</t>
  </si>
  <si>
    <t>DEBUG [Lago Paranoa] Week -1655: cont_error</t>
  </si>
  <si>
    <t>DEBUG [Corumba IV] Week -1654: cont_error</t>
  </si>
  <si>
    <t>DEBUG [Lago Paranoa] Week -1654: cont_error</t>
  </si>
  <si>
    <t>DEBUG [Corumba IV] Week -1653: cont_error</t>
  </si>
  <si>
    <t>DEBUG [Lago Paranoa] Week -1653: cont_error</t>
  </si>
  <si>
    <t>DEBUG [Corumba IV] Week -1652: cont_error</t>
  </si>
  <si>
    <t>DEBUG [Lago Paranoa] Week -1652: cont_error</t>
  </si>
  <si>
    <t>DEBUG [Corumba IV] Week -1651: cont_error</t>
  </si>
  <si>
    <t>DEBUG [Lago Paranoa] Week -1651: cont_error</t>
  </si>
  <si>
    <t>DEBUG [Corumba IV] Week -1650: cont_error</t>
  </si>
  <si>
    <t>DEBUG [Lago Paranoa] Week -1650: cont_error</t>
  </si>
  <si>
    <t>DEBUG [Corumba IV] Week -1649: cont_error</t>
  </si>
  <si>
    <t>DEBUG [Lago Paranoa] Week -1649: cont_error</t>
  </si>
  <si>
    <t>DEBUG [Corumba IV] Week -1648: cont_error</t>
  </si>
  <si>
    <t>DEBUG [Lago Paranoa] Week -1648: cont_error</t>
  </si>
  <si>
    <t>DEBUG [Corumba IV] Week -1647: cont_error</t>
  </si>
  <si>
    <t>DEBUG [Lago Paranoa] Week -1647: cont_error</t>
  </si>
  <si>
    <t>DEBUG [Corumba IV] Week -1646: cont_error</t>
  </si>
  <si>
    <t>DEBUG [Lago Paranoa] Week -1646: cont_error</t>
  </si>
  <si>
    <t>DEBUG [Corumba IV] Week -1645: cont_error</t>
  </si>
  <si>
    <t>DEBUG [Lago Paranoa] Week -1645: cont_error</t>
  </si>
  <si>
    <t>DEBUG [Corumba IV] Week -1644: cont_error</t>
  </si>
  <si>
    <t>DEBUG [Lago Paranoa] Week -1644: cont_error</t>
  </si>
  <si>
    <t>DEBUG [Corumba IV] Week -1643: cont_error</t>
  </si>
  <si>
    <t>DEBUG [Lago Paranoa] Week -1643: cont_error</t>
  </si>
  <si>
    <t>DEBUG [Corumba IV] Week -1642: cont_error</t>
  </si>
  <si>
    <t>DEBUG [Lago Paranoa] Week -1642: cont_error</t>
  </si>
  <si>
    <t>DEBUG [Corumba IV] Week -1641: cont_error</t>
  </si>
  <si>
    <t>DEBUG [Lago Paranoa] Week -1641: cont_error</t>
  </si>
  <si>
    <t>DEBUG [Corumba IV] Week -1640: cont_error</t>
  </si>
  <si>
    <t>DEBUG [Lago Paranoa] Week -1640: cont_error</t>
  </si>
  <si>
    <t>DEBUG [Corumba IV] Week -1639: cont_error</t>
  </si>
  <si>
    <t>DEBUG [Lago Paranoa] Week -1639: cont_error</t>
  </si>
  <si>
    <t>DEBUG [Corumba IV] Week -1768: cont_error</t>
  </si>
  <si>
    <t>DEBUG [Lago Paranoa] Week -1768: cont_error</t>
  </si>
  <si>
    <t>DEBUG [Corumba IV] Week -1767: cont_error</t>
  </si>
  <si>
    <t>DEBUG [Lago Paranoa] Week -1767: cont_error</t>
  </si>
  <si>
    <t>DEBUG [Corumba IV] Week -1766: cont_error</t>
  </si>
  <si>
    <t>DEBUG [Lago Paranoa] Week -1766: cont_error</t>
  </si>
  <si>
    <t>DEBUG [Corumba IV] Week -1765: cont_error</t>
  </si>
  <si>
    <t>DEBUG [Lago Paranoa] Week -1765: cont_error</t>
  </si>
  <si>
    <t>DEBUG [Corumba IV] Week -1764: cont_error</t>
  </si>
  <si>
    <t>DEBUG [Lago Paranoa] Week -1764: cont_error</t>
  </si>
  <si>
    <t>DEBUG [Corumba IV] Week -1763: cont_error</t>
  </si>
  <si>
    <t>DEBUG [Lago Paranoa] Week -1763: cont_error</t>
  </si>
  <si>
    <t>DEBUG [Corumba IV] Week -1762: cont_error</t>
  </si>
  <si>
    <t>DEBUG [Lago Paranoa] Week -1762: cont_error</t>
  </si>
  <si>
    <t>DEBUG [Corumba IV] Week -1761: cont_error</t>
  </si>
  <si>
    <t>DEBUG [Lago Paranoa] Week -1761: cont_error</t>
  </si>
  <si>
    <t>DEBUG [Corumba IV] Week -1760: cont_error</t>
  </si>
  <si>
    <t>DEBUG [Lago Paranoa] Week -1760: cont_error</t>
  </si>
  <si>
    <t>DEBUG [Corumba IV] Week -1759: cont_error</t>
  </si>
  <si>
    <t>DEBUG [Lago Paranoa] Week -1759: cont_error</t>
  </si>
  <si>
    <t>DEBUG [Corumba IV] Week -1758: cont_error</t>
  </si>
  <si>
    <t>DEBUG [Lago Paranoa] Week -1758: cont_error</t>
  </si>
  <si>
    <t>DEBUG [Corumba IV] Week -1757: cont_error</t>
  </si>
  <si>
    <t>DEBUG [Lago Paranoa] Week -1757: cont_error</t>
  </si>
  <si>
    <t>DEBUG [Corumba IV] Week -1756: cont_error</t>
  </si>
  <si>
    <t>DEBUG [Lago Paranoa] Week -1756: cont_error</t>
  </si>
  <si>
    <t>DEBUG [Corumba IV] Week -1755: cont_error</t>
  </si>
  <si>
    <t>DEBUG [Lago Paranoa] Week -1755: cont_error</t>
  </si>
  <si>
    <t>DEBUG [Corumba IV] Week -1754: cont_error</t>
  </si>
  <si>
    <t>DEBUG [Lago Paranoa] Week -1754: cont_error</t>
  </si>
  <si>
    <t>DEBUG [Corumba IV] Week -1753: cont_error</t>
  </si>
  <si>
    <t>DEBUG [Lago Paranoa] Week -1753: cont_error</t>
  </si>
  <si>
    <t>DEBUG [Corumba IV] Week -1752: cont_error</t>
  </si>
  <si>
    <t>DEBUG [Lago Paranoa] Week -1752: cont_error</t>
  </si>
  <si>
    <t>DEBUG [Corumba IV] Week -1751: cont_error</t>
  </si>
  <si>
    <t>DEBUG [Lago Paranoa] Week -1751: cont_error</t>
  </si>
  <si>
    <t>DEBUG [Corumba IV] Week -1750: cont_error</t>
  </si>
  <si>
    <t>DEBUG [Lago Paranoa] Week -1750: cont_error</t>
  </si>
  <si>
    <t>DEBUG [Corumba IV] Week -1749: cont_error</t>
  </si>
  <si>
    <t>DEBUG [Lago Paranoa] Week -1749: cont_error</t>
  </si>
  <si>
    <t>DEBUG [Corumba IV] Week -1748: cont_error</t>
  </si>
  <si>
    <t>DEBUG [Lago Paranoa] Week -1748: cont_error</t>
  </si>
  <si>
    <t>DEBUG [Corumba IV] Week -1747: cont_error</t>
  </si>
  <si>
    <t>DEBUG [Lago Paranoa] Week -1747: cont_error</t>
  </si>
  <si>
    <t>DEBUG [Corumba IV] Week -1746: cont_error</t>
  </si>
  <si>
    <t>DEBUG [Lago Paranoa] Week -1746: cont_error</t>
  </si>
  <si>
    <t>DEBUG [Corumba IV] Week -1745: cont_error</t>
  </si>
  <si>
    <t>DEBUG [Lago Paranoa] Week -1745: cont_error</t>
  </si>
  <si>
    <t>DEBUG [Corumba IV] Week -1744: cont_error</t>
  </si>
  <si>
    <t>DEBUG [Lago Paranoa] Week -1744: cont_error</t>
  </si>
  <si>
    <t>DEBUG [Corumba IV] Week -1743: cont_error</t>
  </si>
  <si>
    <t>DEBUG [Lago Paranoa] Week -1743: cont_error</t>
  </si>
  <si>
    <t>DEBUG [Corumba IV] Week -1742: cont_error</t>
  </si>
  <si>
    <t>DEBUG [Lago Paranoa] Week -1742: cont_error</t>
  </si>
  <si>
    <t>DEBUG [Corumba IV] Week -1741: cont_error</t>
  </si>
  <si>
    <t>DEBUG [Lago Paranoa] Week -1741: cont_error</t>
  </si>
  <si>
    <t>DEBUG [Corumba IV] Week -1740: cont_error</t>
  </si>
  <si>
    <t>DEBUG [Lago Paranoa] Week -1740: cont_error</t>
  </si>
  <si>
    <t>DEBUG [Corumba IV] Week -1739: cont_error</t>
  </si>
  <si>
    <t>DEBUG [Lago Paranoa] Week -1739: cont_error</t>
  </si>
  <si>
    <t>DEBUG [Corumba IV] Week -1738: cont_error</t>
  </si>
  <si>
    <t>DEBUG [Lago Paranoa] Week -1738: cont_error</t>
  </si>
  <si>
    <t>DEBUG [Corumba IV] Week -1737: cont_error</t>
  </si>
  <si>
    <t>DEBUG [Lago Paranoa] Week -1737: cont_error</t>
  </si>
  <si>
    <t>DEBUG [Corumba IV] Week -1736: cont_error</t>
  </si>
  <si>
    <t>DEBUG [Lago Paranoa] Week -1736: cont_error</t>
  </si>
  <si>
    <t>DEBUG [Corumba IV] Week -1735: cont_error</t>
  </si>
  <si>
    <t>DEBUG [Lago Paranoa] Week -1735: cont_error</t>
  </si>
  <si>
    <t>DEBUG [Corumba IV] Week -1734: cont_error</t>
  </si>
  <si>
    <t>DEBUG [Lago Paranoa] Week -1734: cont_error</t>
  </si>
  <si>
    <t>DEBUG [Corumba IV] Week -1733: cont_error</t>
  </si>
  <si>
    <t>DEBUG [Lago Paranoa] Week -1733: cont_error</t>
  </si>
  <si>
    <t>DEBUG [Corumba IV] Week -1732: cont_error</t>
  </si>
  <si>
    <t>DEBUG [Lago Paranoa] Week -1732: cont_error</t>
  </si>
  <si>
    <t>DEBUG [Corumba IV] Week -1731: cont_error</t>
  </si>
  <si>
    <t>DEBUG [Lago Paranoa] Week -1731: cont_error</t>
  </si>
  <si>
    <t>DEBUG [Corumba IV] Week -1730: cont_error</t>
  </si>
  <si>
    <t>DEBUG [Lago Paranoa] Week -1730: cont_error</t>
  </si>
  <si>
    <t>DEBUG [Corumba IV] Week -1729: cont_error</t>
  </si>
  <si>
    <t>DEBUG [Lago Paranoa] Week -1729: cont_error</t>
  </si>
  <si>
    <t>DEBUG [Corumba IV] Week -1728: cont_error</t>
  </si>
  <si>
    <t>DEBUG [Lago Paranoa] Week -1728: cont_error</t>
  </si>
  <si>
    <t>DEBUG [Corumba IV] Week -1727: cont_error</t>
  </si>
  <si>
    <t>DEBUG [Lago Paranoa] Week -1727: cont_error</t>
  </si>
  <si>
    <t>DEBUG [Corumba IV] Week -1726: cont_error</t>
  </si>
  <si>
    <t>DEBUG [Lago Paranoa] Week -1726: cont_error</t>
  </si>
  <si>
    <t>DEBUG [Corumba IV] Week -1725: cont_error</t>
  </si>
  <si>
    <t>DEBUG [Lago Paranoa] Week -1725: cont_error</t>
  </si>
  <si>
    <t>DEBUG [Corumba IV] Week -1724: cont_error</t>
  </si>
  <si>
    <t>DEBUG [Lago Paranoa] Week -1724: cont_error</t>
  </si>
  <si>
    <t>DEBUG [Corumba IV] Week -1723: cont_error</t>
  </si>
  <si>
    <t>DEBUG [Lago Paranoa] Week -1723: cont_error</t>
  </si>
  <si>
    <t>DEBUG [Corumba IV] Week -1722: cont_error</t>
  </si>
  <si>
    <t>DEBUG [Lago Paranoa] Week -1722: cont_error</t>
  </si>
  <si>
    <t>DEBUG [Corumba IV] Week -1721: cont_error</t>
  </si>
  <si>
    <t>DEBUG [Lago Paranoa] Week -1721: cont_error</t>
  </si>
  <si>
    <t>DEBUG [Corumba IV] Week -1720: cont_error</t>
  </si>
  <si>
    <t>DEBUG [Lago Paranoa] Week -1720: cont_error</t>
  </si>
  <si>
    <t>DEBUG [Corumba IV] Week -1719: cont_error</t>
  </si>
  <si>
    <t>DEBUG [Lago Paranoa] Week -1719: cont_error</t>
  </si>
  <si>
    <t>DEBUG [Corumba IV] Week -1718: cont_error</t>
  </si>
  <si>
    <t>DEBUG [Lago Paranoa] Week -1718: cont_error</t>
  </si>
  <si>
    <t>DEBUG [Corumba IV] Week -1717: cont_error</t>
  </si>
  <si>
    <t>DEBUG [Lago Paranoa] Week -1717: cont_error</t>
  </si>
  <si>
    <t>DEBUG [Corumba IV] Week -1820: cont_error</t>
  </si>
  <si>
    <t>DEBUG [Lago Paranoa] Week -1820: cont_error</t>
  </si>
  <si>
    <t>DEBUG [Corumba IV] Week -1819: cont_error</t>
  </si>
  <si>
    <t>DEBUG [Lago Paranoa] Week -1819: cont_error</t>
  </si>
  <si>
    <t>DEBUG [Corumba IV] Week -1818: cont_error</t>
  </si>
  <si>
    <t>DEBUG [Lago Paranoa] Week -1818: cont_error</t>
  </si>
  <si>
    <t>DEBUG [Corumba IV] Week -1817: cont_error</t>
  </si>
  <si>
    <t>DEBUG [Lago Paranoa] Week -1817: cont_error</t>
  </si>
  <si>
    <t>DEBUG [Corumba IV] Week -1816: cont_error</t>
  </si>
  <si>
    <t>DEBUG [Lago Paranoa] Week -1816: cont_error</t>
  </si>
  <si>
    <t>DEBUG [Corumba IV] Week -1815: cont_error</t>
  </si>
  <si>
    <t>DEBUG [Lago Paranoa] Week -1815: cont_error</t>
  </si>
  <si>
    <t>DEBUG [Corumba IV] Week -1814: cont_error</t>
  </si>
  <si>
    <t>DEBUG [Lago Paranoa] Week -1814: cont_error</t>
  </si>
  <si>
    <t>DEBUG [Corumba IV] Week -1813: cont_error</t>
  </si>
  <si>
    <t>DEBUG [Lago Paranoa] Week -1813: cont_error</t>
  </si>
  <si>
    <t>DEBUG [Corumba IV] Week -1812: cont_error</t>
  </si>
  <si>
    <t>DEBUG [Lago Paranoa] Week -1812: cont_error</t>
  </si>
  <si>
    <t>DEBUG [Corumba IV] Week -1811: cont_error</t>
  </si>
  <si>
    <t>DEBUG [Lago Paranoa] Week -1811: cont_error</t>
  </si>
  <si>
    <t>DEBUG [Corumba IV] Week -1810: cont_error</t>
  </si>
  <si>
    <t>DEBUG [Lago Paranoa] Week -1810: cont_error</t>
  </si>
  <si>
    <t>DEBUG [Corumba IV] Week -1809: cont_error</t>
  </si>
  <si>
    <t>DEBUG [Lago Paranoa] Week -1809: cont_error</t>
  </si>
  <si>
    <t>DEBUG [Corumba IV] Week -1808: cont_error</t>
  </si>
  <si>
    <t>DEBUG [Lago Paranoa] Week -1808: cont_error</t>
  </si>
  <si>
    <t>DEBUG [Corumba IV] Week -1807: cont_error</t>
  </si>
  <si>
    <t>DEBUG [Lago Paranoa] Week -1807: cont_error</t>
  </si>
  <si>
    <t>DEBUG [Corumba IV] Week -1806: cont_error</t>
  </si>
  <si>
    <t>DEBUG [Lago Paranoa] Week -1806: cont_error</t>
  </si>
  <si>
    <t>DEBUG [Corumba IV] Week -1805: cont_error</t>
  </si>
  <si>
    <t>DEBUG [Lago Paranoa] Week -1805: cont_error</t>
  </si>
  <si>
    <t>DEBUG [Corumba IV] Week -1804: cont_error</t>
  </si>
  <si>
    <t>DEBUG [Lago Paranoa] Week -1804: cont_error</t>
  </si>
  <si>
    <t>DEBUG [Corumba IV] Week -1803: cont_error</t>
  </si>
  <si>
    <t>DEBUG [Lago Paranoa] Week -1803: cont_error</t>
  </si>
  <si>
    <t>DEBUG [Corumba IV] Week -1802: cont_error</t>
  </si>
  <si>
    <t>DEBUG [Lago Paranoa] Week -1802: cont_error</t>
  </si>
  <si>
    <t>DEBUG [Corumba IV] Week -1801: cont_error</t>
  </si>
  <si>
    <t>DEBUG [Lago Paranoa] Week -1801: cont_error</t>
  </si>
  <si>
    <t>DEBUG [Corumba IV] Week -1800: cont_error</t>
  </si>
  <si>
    <t>DEBUG [Lago Paranoa] Week -1800: cont_error</t>
  </si>
  <si>
    <t>DEBUG [Corumba IV] Week -1799: cont_error</t>
  </si>
  <si>
    <t>DEBUG [Lago Paranoa] Week -1799: cont_error</t>
  </si>
  <si>
    <t>DEBUG [Corumba IV] Week -1798: cont_error</t>
  </si>
  <si>
    <t>DEBUG [Lago Paranoa] Week -1798: cont_error</t>
  </si>
  <si>
    <t>DEBUG [Corumba IV] Week -1797: cont_error</t>
  </si>
  <si>
    <t>DEBUG [Lago Paranoa] Week -1797: cont_error</t>
  </si>
  <si>
    <t>DEBUG [Corumba IV] Week -1796: cont_error</t>
  </si>
  <si>
    <t>DEBUG [Lago Paranoa] Week -1796: cont_error</t>
  </si>
  <si>
    <t>DEBUG [Corumba IV] Week -1795: cont_error</t>
  </si>
  <si>
    <t>DEBUG [Lago Paranoa] Week -1795: cont_error</t>
  </si>
  <si>
    <t>DEBUG [Corumba IV] Week -1794: cont_error</t>
  </si>
  <si>
    <t>DEBUG [Lago Paranoa] Week -1794: cont_error</t>
  </si>
  <si>
    <t>DEBUG [Corumba IV] Week -1793: cont_error</t>
  </si>
  <si>
    <t>DEBUG [Lago Paranoa] Week -1793: cont_error</t>
  </si>
  <si>
    <t>DEBUG [Corumba IV] Week -1792: cont_error</t>
  </si>
  <si>
    <t>DEBUG [Lago Paranoa] Week -1792: cont_error</t>
  </si>
  <si>
    <t>DEBUG [Corumba IV] Week -1791: cont_error</t>
  </si>
  <si>
    <t>DEBUG [Lago Paranoa] Week -1791: cont_error</t>
  </si>
  <si>
    <t>DEBUG [Corumba IV] Week -1790: cont_error</t>
  </si>
  <si>
    <t>DEBUG [Lago Paranoa] Week -1790: cont_error</t>
  </si>
  <si>
    <t>DEBUG [Corumba IV] Week -1789: cont_error</t>
  </si>
  <si>
    <t>DEBUG [Lago Paranoa] Week -1789: cont_error</t>
  </si>
  <si>
    <t>DEBUG [Corumba IV] Week -1788: cont_error</t>
  </si>
  <si>
    <t>DEBUG [Lago Paranoa] Week -1788: cont_error</t>
  </si>
  <si>
    <t>DEBUG [Corumba IV] Week -1787: cont_error</t>
  </si>
  <si>
    <t>DEBUG [Lago Paranoa] Week -1787: cont_error</t>
  </si>
  <si>
    <t>DEBUG [Corumba IV] Week -1786: cont_error</t>
  </si>
  <si>
    <t>DEBUG [Lago Paranoa] Week -1786: cont_error</t>
  </si>
  <si>
    <t>DEBUG [Corumba IV] Week -1785: cont_error</t>
  </si>
  <si>
    <t>DEBUG [Lago Paranoa] Week -1785: cont_error</t>
  </si>
  <si>
    <t>DEBUG [Corumba IV] Week -1784: cont_error</t>
  </si>
  <si>
    <t>DEBUG [Lago Paranoa] Week -1784: cont_error</t>
  </si>
  <si>
    <t>DEBUG [Corumba IV] Week -1783: cont_error</t>
  </si>
  <si>
    <t>DEBUG [Lago Paranoa] Week -1783: cont_error</t>
  </si>
  <si>
    <t>DEBUG [Corumba IV] Week -1782: cont_error</t>
  </si>
  <si>
    <t>DEBUG [Lago Paranoa] Week -1782: cont_error</t>
  </si>
  <si>
    <t>DEBUG [Corumba IV] Week -1781: cont_error</t>
  </si>
  <si>
    <t>DEBUG [Lago Paranoa] Week -1781: cont_error</t>
  </si>
  <si>
    <t>DEBUG [Corumba IV] Week -1780: cont_error</t>
  </si>
  <si>
    <t>DEBUG [Lago Paranoa] Week -1780: cont_error</t>
  </si>
  <si>
    <t>DEBUG [Corumba IV] Week -1779: cont_error</t>
  </si>
  <si>
    <t>DEBUG [Lago Paranoa] Week -1779: cont_error</t>
  </si>
  <si>
    <t>DEBUG [Corumba IV] Week -1778: cont_error</t>
  </si>
  <si>
    <t>DEBUG [Lago Paranoa] Week -1778: cont_error</t>
  </si>
  <si>
    <t>DEBUG [Corumba IV] Week -1777: cont_error</t>
  </si>
  <si>
    <t>DEBUG [Lago Paranoa] Week -1777: cont_error</t>
  </si>
  <si>
    <t>DEBUG [Corumba IV] Week -1776: cont_error</t>
  </si>
  <si>
    <t>DEBUG [Lago Paranoa] Week -1776: cont_error</t>
  </si>
  <si>
    <t>DEBUG [Corumba IV] Week -1775: cont_error</t>
  </si>
  <si>
    <t>DEBUG [Lago Paranoa] Week -1775: cont_error</t>
  </si>
  <si>
    <t>DEBUG [Corumba IV] Week -1774: cont_error</t>
  </si>
  <si>
    <t>DEBUG [Lago Paranoa] Week -1774: cont_error</t>
  </si>
  <si>
    <t>DEBUG [Corumba IV] Week -1773: cont_error</t>
  </si>
  <si>
    <t>DEBUG [Lago Paranoa] Week -1773: cont_error</t>
  </si>
  <si>
    <t>DEBUG [Corumba IV] Week -1772: cont_error</t>
  </si>
  <si>
    <t>DEBUG [Lago Paranoa] Week -1772: cont_error</t>
  </si>
  <si>
    <t>DEBUG [Corumba IV] Week -1771: cont_error</t>
  </si>
  <si>
    <t>DEBUG [Lago Paranoa] Week -1771: cont_error</t>
  </si>
  <si>
    <t>DEBUG [Corumba IV] Week -1770: cont_error</t>
  </si>
  <si>
    <t>DEBUG [Lago Paranoa] Week -1770: cont_error</t>
  </si>
  <si>
    <t>DEBUG [Corumba IV] Week -1769: cont_error</t>
  </si>
  <si>
    <t>DEBUG [Lago Paranoa] Week -1769: cont_error</t>
  </si>
  <si>
    <t>Original</t>
  </si>
  <si>
    <t>WSS</t>
  </si>
  <si>
    <t>Difference</t>
  </si>
  <si>
    <t>munmap_chunk(): invalid pointer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</si>
</sst>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Fill="1"/>
    <xf numFmtId="0" fontId="3" fillId="0" borderId="0" xfId="0" applyFont="1" applyFill="1"/>
    <xf numFmtId="0" fontId="3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Original!$C$1</c:f>
              <c:strCache>
                <c:ptCount val="1"/>
                <c:pt idx="0">
                  <c:v>Week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Original!$C$2:$C$507</c:f>
              <c:numCache>
                <c:formatCode>General</c:formatCode>
                <c:ptCount val="253"/>
                <c:pt idx="0">
                  <c:v>-2336</c:v>
                </c:pt>
                <c:pt idx="1">
                  <c:v>-2335</c:v>
                </c:pt>
                <c:pt idx="2">
                  <c:v>-2334</c:v>
                </c:pt>
                <c:pt idx="3">
                  <c:v>-2333</c:v>
                </c:pt>
                <c:pt idx="4">
                  <c:v>-2332</c:v>
                </c:pt>
                <c:pt idx="5">
                  <c:v>-2331</c:v>
                </c:pt>
                <c:pt idx="6">
                  <c:v>-2330</c:v>
                </c:pt>
                <c:pt idx="7">
                  <c:v>-2329</c:v>
                </c:pt>
                <c:pt idx="8">
                  <c:v>-2328</c:v>
                </c:pt>
                <c:pt idx="9">
                  <c:v>-2327</c:v>
                </c:pt>
                <c:pt idx="10">
                  <c:v>-2326</c:v>
                </c:pt>
                <c:pt idx="11">
                  <c:v>-2325</c:v>
                </c:pt>
                <c:pt idx="12">
                  <c:v>-2324</c:v>
                </c:pt>
                <c:pt idx="13">
                  <c:v>-2323</c:v>
                </c:pt>
                <c:pt idx="14">
                  <c:v>-2322</c:v>
                </c:pt>
                <c:pt idx="15">
                  <c:v>-2321</c:v>
                </c:pt>
                <c:pt idx="16">
                  <c:v>-2320</c:v>
                </c:pt>
                <c:pt idx="17">
                  <c:v>-2319</c:v>
                </c:pt>
                <c:pt idx="18">
                  <c:v>-2318</c:v>
                </c:pt>
                <c:pt idx="19">
                  <c:v>-2317</c:v>
                </c:pt>
                <c:pt idx="20">
                  <c:v>-2316</c:v>
                </c:pt>
                <c:pt idx="21">
                  <c:v>-2315</c:v>
                </c:pt>
                <c:pt idx="22">
                  <c:v>-2314</c:v>
                </c:pt>
                <c:pt idx="23">
                  <c:v>-2313</c:v>
                </c:pt>
                <c:pt idx="24">
                  <c:v>-2312</c:v>
                </c:pt>
                <c:pt idx="25">
                  <c:v>-2311</c:v>
                </c:pt>
                <c:pt idx="26">
                  <c:v>-2310</c:v>
                </c:pt>
                <c:pt idx="27">
                  <c:v>-2309</c:v>
                </c:pt>
                <c:pt idx="28">
                  <c:v>-2308</c:v>
                </c:pt>
                <c:pt idx="29">
                  <c:v>-2307</c:v>
                </c:pt>
                <c:pt idx="30">
                  <c:v>-2306</c:v>
                </c:pt>
                <c:pt idx="31">
                  <c:v>-2305</c:v>
                </c:pt>
                <c:pt idx="32">
                  <c:v>-2304</c:v>
                </c:pt>
                <c:pt idx="33">
                  <c:v>-2303</c:v>
                </c:pt>
                <c:pt idx="34">
                  <c:v>-2302</c:v>
                </c:pt>
                <c:pt idx="35">
                  <c:v>-2301</c:v>
                </c:pt>
                <c:pt idx="36">
                  <c:v>-2300</c:v>
                </c:pt>
                <c:pt idx="37">
                  <c:v>-2299</c:v>
                </c:pt>
                <c:pt idx="38">
                  <c:v>-2298</c:v>
                </c:pt>
                <c:pt idx="39">
                  <c:v>-2297</c:v>
                </c:pt>
                <c:pt idx="40">
                  <c:v>-2296</c:v>
                </c:pt>
                <c:pt idx="41">
                  <c:v>-2295</c:v>
                </c:pt>
                <c:pt idx="42">
                  <c:v>-2294</c:v>
                </c:pt>
                <c:pt idx="43">
                  <c:v>-2293</c:v>
                </c:pt>
                <c:pt idx="44">
                  <c:v>-2292</c:v>
                </c:pt>
                <c:pt idx="45">
                  <c:v>-2395</c:v>
                </c:pt>
                <c:pt idx="46">
                  <c:v>-2394</c:v>
                </c:pt>
                <c:pt idx="47">
                  <c:v>-2393</c:v>
                </c:pt>
                <c:pt idx="48">
                  <c:v>-2392</c:v>
                </c:pt>
                <c:pt idx="49">
                  <c:v>-2391</c:v>
                </c:pt>
                <c:pt idx="50">
                  <c:v>-2390</c:v>
                </c:pt>
                <c:pt idx="51">
                  <c:v>-2389</c:v>
                </c:pt>
                <c:pt idx="52">
                  <c:v>-2388</c:v>
                </c:pt>
                <c:pt idx="53">
                  <c:v>-2387</c:v>
                </c:pt>
                <c:pt idx="54">
                  <c:v>-2386</c:v>
                </c:pt>
                <c:pt idx="55">
                  <c:v>-2385</c:v>
                </c:pt>
                <c:pt idx="56">
                  <c:v>-2384</c:v>
                </c:pt>
                <c:pt idx="57">
                  <c:v>-2383</c:v>
                </c:pt>
                <c:pt idx="58">
                  <c:v>-2382</c:v>
                </c:pt>
                <c:pt idx="59">
                  <c:v>-2381</c:v>
                </c:pt>
                <c:pt idx="60">
                  <c:v>-2380</c:v>
                </c:pt>
                <c:pt idx="61">
                  <c:v>-2379</c:v>
                </c:pt>
                <c:pt idx="62">
                  <c:v>-2378</c:v>
                </c:pt>
                <c:pt idx="63">
                  <c:v>-2377</c:v>
                </c:pt>
                <c:pt idx="64">
                  <c:v>-2376</c:v>
                </c:pt>
                <c:pt idx="65">
                  <c:v>-2375</c:v>
                </c:pt>
                <c:pt idx="66">
                  <c:v>-2374</c:v>
                </c:pt>
                <c:pt idx="67">
                  <c:v>-2373</c:v>
                </c:pt>
                <c:pt idx="68">
                  <c:v>-2372</c:v>
                </c:pt>
                <c:pt idx="69">
                  <c:v>-2371</c:v>
                </c:pt>
                <c:pt idx="70">
                  <c:v>-2370</c:v>
                </c:pt>
                <c:pt idx="71">
                  <c:v>-2369</c:v>
                </c:pt>
                <c:pt idx="72">
                  <c:v>-2368</c:v>
                </c:pt>
                <c:pt idx="73">
                  <c:v>-2367</c:v>
                </c:pt>
                <c:pt idx="74">
                  <c:v>-2366</c:v>
                </c:pt>
                <c:pt idx="75">
                  <c:v>-2365</c:v>
                </c:pt>
                <c:pt idx="76">
                  <c:v>-2364</c:v>
                </c:pt>
                <c:pt idx="77">
                  <c:v>-2363</c:v>
                </c:pt>
                <c:pt idx="78">
                  <c:v>-2362</c:v>
                </c:pt>
                <c:pt idx="79">
                  <c:v>-2361</c:v>
                </c:pt>
                <c:pt idx="80">
                  <c:v>-2360</c:v>
                </c:pt>
                <c:pt idx="81">
                  <c:v>-2359</c:v>
                </c:pt>
                <c:pt idx="82">
                  <c:v>-2358</c:v>
                </c:pt>
                <c:pt idx="83">
                  <c:v>-2357</c:v>
                </c:pt>
                <c:pt idx="84">
                  <c:v>-2356</c:v>
                </c:pt>
                <c:pt idx="85">
                  <c:v>-2355</c:v>
                </c:pt>
                <c:pt idx="86">
                  <c:v>-2354</c:v>
                </c:pt>
                <c:pt idx="87">
                  <c:v>-2353</c:v>
                </c:pt>
                <c:pt idx="88">
                  <c:v>-2352</c:v>
                </c:pt>
                <c:pt idx="89">
                  <c:v>-2351</c:v>
                </c:pt>
                <c:pt idx="90">
                  <c:v>-2350</c:v>
                </c:pt>
                <c:pt idx="91">
                  <c:v>-2349</c:v>
                </c:pt>
                <c:pt idx="92">
                  <c:v>-2348</c:v>
                </c:pt>
                <c:pt idx="93">
                  <c:v>-2347</c:v>
                </c:pt>
                <c:pt idx="94">
                  <c:v>-2346</c:v>
                </c:pt>
                <c:pt idx="95">
                  <c:v>-2345</c:v>
                </c:pt>
                <c:pt idx="96">
                  <c:v>-2344</c:v>
                </c:pt>
                <c:pt idx="97">
                  <c:v>-2447</c:v>
                </c:pt>
                <c:pt idx="98">
                  <c:v>-2446</c:v>
                </c:pt>
                <c:pt idx="99">
                  <c:v>-2445</c:v>
                </c:pt>
                <c:pt idx="100">
                  <c:v>-2444</c:v>
                </c:pt>
                <c:pt idx="101">
                  <c:v>-2443</c:v>
                </c:pt>
                <c:pt idx="102">
                  <c:v>-2442</c:v>
                </c:pt>
                <c:pt idx="103">
                  <c:v>-2441</c:v>
                </c:pt>
                <c:pt idx="104">
                  <c:v>-2440</c:v>
                </c:pt>
                <c:pt idx="105">
                  <c:v>-2439</c:v>
                </c:pt>
                <c:pt idx="106">
                  <c:v>-2438</c:v>
                </c:pt>
                <c:pt idx="107">
                  <c:v>-2437</c:v>
                </c:pt>
                <c:pt idx="108">
                  <c:v>-2436</c:v>
                </c:pt>
                <c:pt idx="109">
                  <c:v>-2435</c:v>
                </c:pt>
                <c:pt idx="110">
                  <c:v>-2434</c:v>
                </c:pt>
                <c:pt idx="111">
                  <c:v>-2433</c:v>
                </c:pt>
                <c:pt idx="112">
                  <c:v>-2432</c:v>
                </c:pt>
                <c:pt idx="113">
                  <c:v>-2431</c:v>
                </c:pt>
                <c:pt idx="114">
                  <c:v>-2430</c:v>
                </c:pt>
                <c:pt idx="115">
                  <c:v>-2429</c:v>
                </c:pt>
                <c:pt idx="116">
                  <c:v>-2428</c:v>
                </c:pt>
                <c:pt idx="117">
                  <c:v>-2427</c:v>
                </c:pt>
                <c:pt idx="118">
                  <c:v>-2426</c:v>
                </c:pt>
                <c:pt idx="119">
                  <c:v>-2425</c:v>
                </c:pt>
                <c:pt idx="120">
                  <c:v>-2424</c:v>
                </c:pt>
                <c:pt idx="121">
                  <c:v>-2423</c:v>
                </c:pt>
                <c:pt idx="122">
                  <c:v>-2422</c:v>
                </c:pt>
                <c:pt idx="123">
                  <c:v>-2421</c:v>
                </c:pt>
                <c:pt idx="124">
                  <c:v>-2420</c:v>
                </c:pt>
                <c:pt idx="125">
                  <c:v>-2419</c:v>
                </c:pt>
                <c:pt idx="126">
                  <c:v>-2418</c:v>
                </c:pt>
                <c:pt idx="127">
                  <c:v>-2417</c:v>
                </c:pt>
                <c:pt idx="128">
                  <c:v>-2416</c:v>
                </c:pt>
                <c:pt idx="129">
                  <c:v>-2415</c:v>
                </c:pt>
                <c:pt idx="130">
                  <c:v>-2414</c:v>
                </c:pt>
                <c:pt idx="131">
                  <c:v>-2413</c:v>
                </c:pt>
                <c:pt idx="132">
                  <c:v>-2412</c:v>
                </c:pt>
                <c:pt idx="133">
                  <c:v>-2411</c:v>
                </c:pt>
                <c:pt idx="134">
                  <c:v>-2410</c:v>
                </c:pt>
                <c:pt idx="135">
                  <c:v>-2409</c:v>
                </c:pt>
                <c:pt idx="136">
                  <c:v>-2408</c:v>
                </c:pt>
                <c:pt idx="137">
                  <c:v>-2407</c:v>
                </c:pt>
                <c:pt idx="138">
                  <c:v>-2406</c:v>
                </c:pt>
                <c:pt idx="139">
                  <c:v>-2405</c:v>
                </c:pt>
                <c:pt idx="140">
                  <c:v>-2404</c:v>
                </c:pt>
                <c:pt idx="141">
                  <c:v>-2403</c:v>
                </c:pt>
                <c:pt idx="142">
                  <c:v>-2402</c:v>
                </c:pt>
                <c:pt idx="143">
                  <c:v>-2401</c:v>
                </c:pt>
                <c:pt idx="144">
                  <c:v>-2400</c:v>
                </c:pt>
                <c:pt idx="145">
                  <c:v>-2399</c:v>
                </c:pt>
                <c:pt idx="146">
                  <c:v>-2398</c:v>
                </c:pt>
                <c:pt idx="147">
                  <c:v>-2397</c:v>
                </c:pt>
                <c:pt idx="148">
                  <c:v>-2396</c:v>
                </c:pt>
                <c:pt idx="149">
                  <c:v>-2499</c:v>
                </c:pt>
                <c:pt idx="150">
                  <c:v>-2498</c:v>
                </c:pt>
                <c:pt idx="151">
                  <c:v>-2497</c:v>
                </c:pt>
                <c:pt idx="152">
                  <c:v>-2496</c:v>
                </c:pt>
                <c:pt idx="153">
                  <c:v>-2495</c:v>
                </c:pt>
                <c:pt idx="154">
                  <c:v>-2494</c:v>
                </c:pt>
                <c:pt idx="155">
                  <c:v>-2493</c:v>
                </c:pt>
                <c:pt idx="156">
                  <c:v>-2492</c:v>
                </c:pt>
                <c:pt idx="157">
                  <c:v>-2491</c:v>
                </c:pt>
                <c:pt idx="158">
                  <c:v>-2490</c:v>
                </c:pt>
                <c:pt idx="159">
                  <c:v>-2489</c:v>
                </c:pt>
                <c:pt idx="160">
                  <c:v>-2488</c:v>
                </c:pt>
                <c:pt idx="161">
                  <c:v>-2487</c:v>
                </c:pt>
                <c:pt idx="162">
                  <c:v>-2486</c:v>
                </c:pt>
                <c:pt idx="163">
                  <c:v>-2485</c:v>
                </c:pt>
                <c:pt idx="164">
                  <c:v>-2484</c:v>
                </c:pt>
                <c:pt idx="165">
                  <c:v>-2483</c:v>
                </c:pt>
                <c:pt idx="166">
                  <c:v>-2482</c:v>
                </c:pt>
                <c:pt idx="167">
                  <c:v>-2481</c:v>
                </c:pt>
                <c:pt idx="168">
                  <c:v>-2480</c:v>
                </c:pt>
                <c:pt idx="169">
                  <c:v>-2479</c:v>
                </c:pt>
                <c:pt idx="170">
                  <c:v>-2478</c:v>
                </c:pt>
                <c:pt idx="171">
                  <c:v>-2477</c:v>
                </c:pt>
                <c:pt idx="172">
                  <c:v>-2476</c:v>
                </c:pt>
                <c:pt idx="173">
                  <c:v>-2475</c:v>
                </c:pt>
                <c:pt idx="174">
                  <c:v>-2474</c:v>
                </c:pt>
                <c:pt idx="175">
                  <c:v>-2473</c:v>
                </c:pt>
                <c:pt idx="176">
                  <c:v>-2472</c:v>
                </c:pt>
                <c:pt idx="177">
                  <c:v>-2471</c:v>
                </c:pt>
                <c:pt idx="178">
                  <c:v>-2470</c:v>
                </c:pt>
                <c:pt idx="179">
                  <c:v>-2469</c:v>
                </c:pt>
                <c:pt idx="180">
                  <c:v>-2468</c:v>
                </c:pt>
                <c:pt idx="181">
                  <c:v>-2467</c:v>
                </c:pt>
                <c:pt idx="182">
                  <c:v>-2466</c:v>
                </c:pt>
                <c:pt idx="183">
                  <c:v>-2465</c:v>
                </c:pt>
                <c:pt idx="184">
                  <c:v>-2464</c:v>
                </c:pt>
                <c:pt idx="185">
                  <c:v>-2463</c:v>
                </c:pt>
                <c:pt idx="186">
                  <c:v>-2462</c:v>
                </c:pt>
                <c:pt idx="187">
                  <c:v>-2461</c:v>
                </c:pt>
                <c:pt idx="188">
                  <c:v>-2460</c:v>
                </c:pt>
                <c:pt idx="189">
                  <c:v>-2459</c:v>
                </c:pt>
                <c:pt idx="190">
                  <c:v>-2458</c:v>
                </c:pt>
                <c:pt idx="191">
                  <c:v>-2457</c:v>
                </c:pt>
                <c:pt idx="192">
                  <c:v>-2456</c:v>
                </c:pt>
                <c:pt idx="193">
                  <c:v>-2455</c:v>
                </c:pt>
                <c:pt idx="194">
                  <c:v>-2454</c:v>
                </c:pt>
                <c:pt idx="195">
                  <c:v>-2453</c:v>
                </c:pt>
                <c:pt idx="196">
                  <c:v>-2452</c:v>
                </c:pt>
                <c:pt idx="197">
                  <c:v>-2451</c:v>
                </c:pt>
                <c:pt idx="198">
                  <c:v>-2450</c:v>
                </c:pt>
                <c:pt idx="199">
                  <c:v>-2449</c:v>
                </c:pt>
                <c:pt idx="200">
                  <c:v>-2448</c:v>
                </c:pt>
                <c:pt idx="201">
                  <c:v>-2551</c:v>
                </c:pt>
                <c:pt idx="202">
                  <c:v>-2550</c:v>
                </c:pt>
                <c:pt idx="203">
                  <c:v>-2549</c:v>
                </c:pt>
                <c:pt idx="204">
                  <c:v>-2548</c:v>
                </c:pt>
                <c:pt idx="205">
                  <c:v>-2547</c:v>
                </c:pt>
                <c:pt idx="206">
                  <c:v>-2546</c:v>
                </c:pt>
                <c:pt idx="207">
                  <c:v>-2545</c:v>
                </c:pt>
                <c:pt idx="208">
                  <c:v>-2544</c:v>
                </c:pt>
                <c:pt idx="209">
                  <c:v>-2543</c:v>
                </c:pt>
                <c:pt idx="210">
                  <c:v>-2542</c:v>
                </c:pt>
                <c:pt idx="211">
                  <c:v>-2541</c:v>
                </c:pt>
                <c:pt idx="212">
                  <c:v>-2540</c:v>
                </c:pt>
                <c:pt idx="213">
                  <c:v>-2539</c:v>
                </c:pt>
                <c:pt idx="214">
                  <c:v>-2538</c:v>
                </c:pt>
                <c:pt idx="215">
                  <c:v>-2537</c:v>
                </c:pt>
                <c:pt idx="216">
                  <c:v>-2536</c:v>
                </c:pt>
                <c:pt idx="217">
                  <c:v>-2535</c:v>
                </c:pt>
                <c:pt idx="218">
                  <c:v>-2534</c:v>
                </c:pt>
                <c:pt idx="219">
                  <c:v>-2533</c:v>
                </c:pt>
                <c:pt idx="220">
                  <c:v>-2532</c:v>
                </c:pt>
                <c:pt idx="221">
                  <c:v>-2531</c:v>
                </c:pt>
                <c:pt idx="222">
                  <c:v>-2530</c:v>
                </c:pt>
                <c:pt idx="223">
                  <c:v>-2529</c:v>
                </c:pt>
                <c:pt idx="224">
                  <c:v>-2528</c:v>
                </c:pt>
                <c:pt idx="225">
                  <c:v>-2527</c:v>
                </c:pt>
                <c:pt idx="226">
                  <c:v>-2526</c:v>
                </c:pt>
                <c:pt idx="227">
                  <c:v>-2525</c:v>
                </c:pt>
                <c:pt idx="228">
                  <c:v>-2524</c:v>
                </c:pt>
                <c:pt idx="229">
                  <c:v>-2523</c:v>
                </c:pt>
                <c:pt idx="230">
                  <c:v>-2522</c:v>
                </c:pt>
                <c:pt idx="231">
                  <c:v>-2521</c:v>
                </c:pt>
                <c:pt idx="232">
                  <c:v>-2520</c:v>
                </c:pt>
                <c:pt idx="233">
                  <c:v>-2519</c:v>
                </c:pt>
                <c:pt idx="234">
                  <c:v>-2518</c:v>
                </c:pt>
                <c:pt idx="235">
                  <c:v>-2517</c:v>
                </c:pt>
                <c:pt idx="236">
                  <c:v>-2516</c:v>
                </c:pt>
                <c:pt idx="237">
                  <c:v>-2515</c:v>
                </c:pt>
                <c:pt idx="238">
                  <c:v>-2514</c:v>
                </c:pt>
                <c:pt idx="239">
                  <c:v>-2513</c:v>
                </c:pt>
                <c:pt idx="240">
                  <c:v>-2512</c:v>
                </c:pt>
                <c:pt idx="241">
                  <c:v>-2511</c:v>
                </c:pt>
                <c:pt idx="242">
                  <c:v>-2510</c:v>
                </c:pt>
                <c:pt idx="243">
                  <c:v>-2509</c:v>
                </c:pt>
                <c:pt idx="244">
                  <c:v>-2508</c:v>
                </c:pt>
                <c:pt idx="245">
                  <c:v>-2507</c:v>
                </c:pt>
                <c:pt idx="246">
                  <c:v>-2506</c:v>
                </c:pt>
                <c:pt idx="247">
                  <c:v>-2505</c:v>
                </c:pt>
                <c:pt idx="248">
                  <c:v>-2504</c:v>
                </c:pt>
                <c:pt idx="249">
                  <c:v>-2503</c:v>
                </c:pt>
                <c:pt idx="250">
                  <c:v>-2502</c:v>
                </c:pt>
                <c:pt idx="251">
                  <c:v>-2501</c:v>
                </c:pt>
                <c:pt idx="252">
                  <c:v>-2500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1F-4107-8EDF-46B4B6092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471504"/>
        <c:axId val="1461861552"/>
      </c:lineChart>
      <c:catAx>
        <c:axId val="1408471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861552"/>
        <c:crosses val="autoZero"/>
        <c:auto val="1"/>
        <c:lblAlgn val="ctr"/>
        <c:lblOffset val="100"/>
        <c:noMultiLvlLbl val="0"/>
      </c:catAx>
      <c:valAx>
        <c:axId val="146186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47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WSS!$C$3:$C$497</c:f>
              <c:numCache>
                <c:formatCode>General</c:formatCode>
                <c:ptCount val="248"/>
                <c:pt idx="0">
                  <c:v>-2117</c:v>
                </c:pt>
                <c:pt idx="1">
                  <c:v>-2116</c:v>
                </c:pt>
                <c:pt idx="2">
                  <c:v>-2115</c:v>
                </c:pt>
                <c:pt idx="3">
                  <c:v>-2114</c:v>
                </c:pt>
                <c:pt idx="4">
                  <c:v>-2113</c:v>
                </c:pt>
                <c:pt idx="5">
                  <c:v>-2112</c:v>
                </c:pt>
                <c:pt idx="6">
                  <c:v>-2111</c:v>
                </c:pt>
                <c:pt idx="7">
                  <c:v>-2110</c:v>
                </c:pt>
                <c:pt idx="8">
                  <c:v>-2109</c:v>
                </c:pt>
                <c:pt idx="9">
                  <c:v>-2108</c:v>
                </c:pt>
                <c:pt idx="10">
                  <c:v>-2107</c:v>
                </c:pt>
                <c:pt idx="11">
                  <c:v>-2106</c:v>
                </c:pt>
                <c:pt idx="12">
                  <c:v>-2105</c:v>
                </c:pt>
                <c:pt idx="13">
                  <c:v>-2104</c:v>
                </c:pt>
                <c:pt idx="14">
                  <c:v>-2103</c:v>
                </c:pt>
                <c:pt idx="15">
                  <c:v>-2102</c:v>
                </c:pt>
                <c:pt idx="16">
                  <c:v>-2101</c:v>
                </c:pt>
                <c:pt idx="17">
                  <c:v>-2100</c:v>
                </c:pt>
                <c:pt idx="18">
                  <c:v>-2099</c:v>
                </c:pt>
                <c:pt idx="19">
                  <c:v>-2098</c:v>
                </c:pt>
                <c:pt idx="20">
                  <c:v>-2097</c:v>
                </c:pt>
                <c:pt idx="21">
                  <c:v>-2096</c:v>
                </c:pt>
                <c:pt idx="22">
                  <c:v>-2095</c:v>
                </c:pt>
                <c:pt idx="23">
                  <c:v>-2094</c:v>
                </c:pt>
                <c:pt idx="24">
                  <c:v>-2093</c:v>
                </c:pt>
                <c:pt idx="25">
                  <c:v>-2092</c:v>
                </c:pt>
                <c:pt idx="26">
                  <c:v>-2091</c:v>
                </c:pt>
                <c:pt idx="27">
                  <c:v>-2090</c:v>
                </c:pt>
                <c:pt idx="28">
                  <c:v>-2089</c:v>
                </c:pt>
                <c:pt idx="29">
                  <c:v>-2088</c:v>
                </c:pt>
                <c:pt idx="30">
                  <c:v>-2087</c:v>
                </c:pt>
                <c:pt idx="31">
                  <c:v>-2086</c:v>
                </c:pt>
                <c:pt idx="32">
                  <c:v>-2085</c:v>
                </c:pt>
                <c:pt idx="33">
                  <c:v>-2084</c:v>
                </c:pt>
                <c:pt idx="34">
                  <c:v>-2083</c:v>
                </c:pt>
                <c:pt idx="35">
                  <c:v>-2082</c:v>
                </c:pt>
                <c:pt idx="36">
                  <c:v>-2081</c:v>
                </c:pt>
                <c:pt idx="37">
                  <c:v>-2080</c:v>
                </c:pt>
                <c:pt idx="38">
                  <c:v>-2079</c:v>
                </c:pt>
                <c:pt idx="39">
                  <c:v>-2078</c:v>
                </c:pt>
                <c:pt idx="40">
                  <c:v>-2181</c:v>
                </c:pt>
                <c:pt idx="41">
                  <c:v>-2180</c:v>
                </c:pt>
                <c:pt idx="42">
                  <c:v>-2179</c:v>
                </c:pt>
                <c:pt idx="43">
                  <c:v>-2178</c:v>
                </c:pt>
                <c:pt idx="44">
                  <c:v>-2177</c:v>
                </c:pt>
                <c:pt idx="45">
                  <c:v>-2176</c:v>
                </c:pt>
                <c:pt idx="46">
                  <c:v>-2175</c:v>
                </c:pt>
                <c:pt idx="47">
                  <c:v>-2174</c:v>
                </c:pt>
                <c:pt idx="48">
                  <c:v>-2173</c:v>
                </c:pt>
                <c:pt idx="49">
                  <c:v>-2172</c:v>
                </c:pt>
                <c:pt idx="50">
                  <c:v>-2171</c:v>
                </c:pt>
                <c:pt idx="51">
                  <c:v>-2170</c:v>
                </c:pt>
                <c:pt idx="52">
                  <c:v>-2169</c:v>
                </c:pt>
                <c:pt idx="53">
                  <c:v>-2168</c:v>
                </c:pt>
                <c:pt idx="54">
                  <c:v>-2167</c:v>
                </c:pt>
                <c:pt idx="55">
                  <c:v>-2166</c:v>
                </c:pt>
                <c:pt idx="56">
                  <c:v>-2165</c:v>
                </c:pt>
                <c:pt idx="57">
                  <c:v>-2164</c:v>
                </c:pt>
                <c:pt idx="58">
                  <c:v>-2163</c:v>
                </c:pt>
                <c:pt idx="59">
                  <c:v>-2162</c:v>
                </c:pt>
                <c:pt idx="60">
                  <c:v>-2161</c:v>
                </c:pt>
                <c:pt idx="61">
                  <c:v>-2160</c:v>
                </c:pt>
                <c:pt idx="62">
                  <c:v>-2159</c:v>
                </c:pt>
                <c:pt idx="63">
                  <c:v>-2158</c:v>
                </c:pt>
                <c:pt idx="64">
                  <c:v>-2157</c:v>
                </c:pt>
                <c:pt idx="65">
                  <c:v>-2156</c:v>
                </c:pt>
                <c:pt idx="66">
                  <c:v>-2155</c:v>
                </c:pt>
                <c:pt idx="67">
                  <c:v>-2154</c:v>
                </c:pt>
                <c:pt idx="68">
                  <c:v>-2153</c:v>
                </c:pt>
                <c:pt idx="69">
                  <c:v>-2152</c:v>
                </c:pt>
                <c:pt idx="70">
                  <c:v>-2151</c:v>
                </c:pt>
                <c:pt idx="71">
                  <c:v>-2150</c:v>
                </c:pt>
                <c:pt idx="72">
                  <c:v>-2149</c:v>
                </c:pt>
                <c:pt idx="73">
                  <c:v>-2148</c:v>
                </c:pt>
                <c:pt idx="74">
                  <c:v>-2147</c:v>
                </c:pt>
                <c:pt idx="75">
                  <c:v>-2146</c:v>
                </c:pt>
                <c:pt idx="76">
                  <c:v>-2145</c:v>
                </c:pt>
                <c:pt idx="77">
                  <c:v>-2144</c:v>
                </c:pt>
                <c:pt idx="78">
                  <c:v>-2143</c:v>
                </c:pt>
                <c:pt idx="79">
                  <c:v>-2142</c:v>
                </c:pt>
                <c:pt idx="80">
                  <c:v>-2141</c:v>
                </c:pt>
                <c:pt idx="81">
                  <c:v>-2140</c:v>
                </c:pt>
                <c:pt idx="82">
                  <c:v>-2139</c:v>
                </c:pt>
                <c:pt idx="83">
                  <c:v>-2138</c:v>
                </c:pt>
                <c:pt idx="84">
                  <c:v>-2137</c:v>
                </c:pt>
                <c:pt idx="85">
                  <c:v>-2136</c:v>
                </c:pt>
                <c:pt idx="86">
                  <c:v>-2135</c:v>
                </c:pt>
                <c:pt idx="87">
                  <c:v>-2134</c:v>
                </c:pt>
                <c:pt idx="88">
                  <c:v>-2133</c:v>
                </c:pt>
                <c:pt idx="89">
                  <c:v>-2132</c:v>
                </c:pt>
                <c:pt idx="90">
                  <c:v>-2131</c:v>
                </c:pt>
                <c:pt idx="91">
                  <c:v>-2130</c:v>
                </c:pt>
                <c:pt idx="92">
                  <c:v>-2233</c:v>
                </c:pt>
                <c:pt idx="93">
                  <c:v>-2232</c:v>
                </c:pt>
                <c:pt idx="94">
                  <c:v>-2231</c:v>
                </c:pt>
                <c:pt idx="95">
                  <c:v>-2230</c:v>
                </c:pt>
                <c:pt idx="96">
                  <c:v>-2229</c:v>
                </c:pt>
                <c:pt idx="97">
                  <c:v>-2228</c:v>
                </c:pt>
                <c:pt idx="98">
                  <c:v>-2227</c:v>
                </c:pt>
                <c:pt idx="99">
                  <c:v>-2226</c:v>
                </c:pt>
                <c:pt idx="100">
                  <c:v>-2225</c:v>
                </c:pt>
                <c:pt idx="101">
                  <c:v>-2224</c:v>
                </c:pt>
                <c:pt idx="102">
                  <c:v>-2223</c:v>
                </c:pt>
                <c:pt idx="103">
                  <c:v>-2222</c:v>
                </c:pt>
                <c:pt idx="104">
                  <c:v>-2221</c:v>
                </c:pt>
                <c:pt idx="105">
                  <c:v>-2220</c:v>
                </c:pt>
                <c:pt idx="106">
                  <c:v>-2219</c:v>
                </c:pt>
                <c:pt idx="107">
                  <c:v>-2218</c:v>
                </c:pt>
                <c:pt idx="108">
                  <c:v>-2217</c:v>
                </c:pt>
                <c:pt idx="109">
                  <c:v>-2216</c:v>
                </c:pt>
                <c:pt idx="110">
                  <c:v>-2215</c:v>
                </c:pt>
                <c:pt idx="111">
                  <c:v>-2214</c:v>
                </c:pt>
                <c:pt idx="112">
                  <c:v>-2213</c:v>
                </c:pt>
                <c:pt idx="113">
                  <c:v>-2212</c:v>
                </c:pt>
                <c:pt idx="114">
                  <c:v>-2211</c:v>
                </c:pt>
                <c:pt idx="115">
                  <c:v>-2210</c:v>
                </c:pt>
                <c:pt idx="116">
                  <c:v>-2209</c:v>
                </c:pt>
                <c:pt idx="117">
                  <c:v>-2208</c:v>
                </c:pt>
                <c:pt idx="118">
                  <c:v>-2207</c:v>
                </c:pt>
                <c:pt idx="119">
                  <c:v>-2206</c:v>
                </c:pt>
                <c:pt idx="120">
                  <c:v>-2205</c:v>
                </c:pt>
                <c:pt idx="121">
                  <c:v>-2204</c:v>
                </c:pt>
                <c:pt idx="122">
                  <c:v>-2203</c:v>
                </c:pt>
                <c:pt idx="123">
                  <c:v>-2202</c:v>
                </c:pt>
                <c:pt idx="124">
                  <c:v>-2201</c:v>
                </c:pt>
                <c:pt idx="125">
                  <c:v>-2200</c:v>
                </c:pt>
                <c:pt idx="126">
                  <c:v>-2199</c:v>
                </c:pt>
                <c:pt idx="127">
                  <c:v>-2198</c:v>
                </c:pt>
                <c:pt idx="128">
                  <c:v>-2197</c:v>
                </c:pt>
                <c:pt idx="129">
                  <c:v>-2196</c:v>
                </c:pt>
                <c:pt idx="130">
                  <c:v>-2195</c:v>
                </c:pt>
                <c:pt idx="131">
                  <c:v>-2194</c:v>
                </c:pt>
                <c:pt idx="132">
                  <c:v>-2193</c:v>
                </c:pt>
                <c:pt idx="133">
                  <c:v>-2192</c:v>
                </c:pt>
                <c:pt idx="134">
                  <c:v>-2191</c:v>
                </c:pt>
                <c:pt idx="135">
                  <c:v>-2190</c:v>
                </c:pt>
                <c:pt idx="136">
                  <c:v>-2189</c:v>
                </c:pt>
                <c:pt idx="137">
                  <c:v>-2188</c:v>
                </c:pt>
                <c:pt idx="138">
                  <c:v>-2187</c:v>
                </c:pt>
                <c:pt idx="139">
                  <c:v>-2186</c:v>
                </c:pt>
                <c:pt idx="140">
                  <c:v>-2185</c:v>
                </c:pt>
                <c:pt idx="141">
                  <c:v>-2184</c:v>
                </c:pt>
                <c:pt idx="142">
                  <c:v>-2183</c:v>
                </c:pt>
                <c:pt idx="143">
                  <c:v>-2182</c:v>
                </c:pt>
                <c:pt idx="144">
                  <c:v>-2285</c:v>
                </c:pt>
                <c:pt idx="145">
                  <c:v>-2284</c:v>
                </c:pt>
                <c:pt idx="146">
                  <c:v>-2283</c:v>
                </c:pt>
                <c:pt idx="147">
                  <c:v>-2282</c:v>
                </c:pt>
                <c:pt idx="148">
                  <c:v>-2281</c:v>
                </c:pt>
                <c:pt idx="149">
                  <c:v>-2280</c:v>
                </c:pt>
                <c:pt idx="150">
                  <c:v>-2279</c:v>
                </c:pt>
                <c:pt idx="151">
                  <c:v>-2278</c:v>
                </c:pt>
                <c:pt idx="152">
                  <c:v>-2277</c:v>
                </c:pt>
                <c:pt idx="153">
                  <c:v>-2276</c:v>
                </c:pt>
                <c:pt idx="154">
                  <c:v>-2275</c:v>
                </c:pt>
                <c:pt idx="155">
                  <c:v>-2274</c:v>
                </c:pt>
                <c:pt idx="156">
                  <c:v>-2273</c:v>
                </c:pt>
                <c:pt idx="157">
                  <c:v>-2272</c:v>
                </c:pt>
                <c:pt idx="158">
                  <c:v>-2271</c:v>
                </c:pt>
                <c:pt idx="159">
                  <c:v>-2270</c:v>
                </c:pt>
                <c:pt idx="160">
                  <c:v>-2269</c:v>
                </c:pt>
                <c:pt idx="161">
                  <c:v>-2268</c:v>
                </c:pt>
                <c:pt idx="162">
                  <c:v>-2267</c:v>
                </c:pt>
                <c:pt idx="163">
                  <c:v>-2266</c:v>
                </c:pt>
                <c:pt idx="164">
                  <c:v>-2265</c:v>
                </c:pt>
                <c:pt idx="165">
                  <c:v>-2264</c:v>
                </c:pt>
                <c:pt idx="166">
                  <c:v>-2263</c:v>
                </c:pt>
                <c:pt idx="167">
                  <c:v>-2262</c:v>
                </c:pt>
                <c:pt idx="168">
                  <c:v>-2261</c:v>
                </c:pt>
                <c:pt idx="169">
                  <c:v>-2260</c:v>
                </c:pt>
                <c:pt idx="170">
                  <c:v>-2259</c:v>
                </c:pt>
                <c:pt idx="171">
                  <c:v>-2258</c:v>
                </c:pt>
                <c:pt idx="172">
                  <c:v>-2257</c:v>
                </c:pt>
                <c:pt idx="173">
                  <c:v>-2256</c:v>
                </c:pt>
                <c:pt idx="174">
                  <c:v>-2255</c:v>
                </c:pt>
                <c:pt idx="175">
                  <c:v>-2254</c:v>
                </c:pt>
                <c:pt idx="176">
                  <c:v>-2253</c:v>
                </c:pt>
                <c:pt idx="177">
                  <c:v>-2252</c:v>
                </c:pt>
                <c:pt idx="178">
                  <c:v>-2251</c:v>
                </c:pt>
                <c:pt idx="179">
                  <c:v>-2250</c:v>
                </c:pt>
                <c:pt idx="180">
                  <c:v>-2249</c:v>
                </c:pt>
                <c:pt idx="181">
                  <c:v>-2248</c:v>
                </c:pt>
                <c:pt idx="182">
                  <c:v>-2247</c:v>
                </c:pt>
                <c:pt idx="183">
                  <c:v>-2246</c:v>
                </c:pt>
                <c:pt idx="184">
                  <c:v>-2245</c:v>
                </c:pt>
                <c:pt idx="185">
                  <c:v>-2244</c:v>
                </c:pt>
                <c:pt idx="186">
                  <c:v>-2243</c:v>
                </c:pt>
                <c:pt idx="187">
                  <c:v>-2242</c:v>
                </c:pt>
                <c:pt idx="188">
                  <c:v>-2241</c:v>
                </c:pt>
                <c:pt idx="189">
                  <c:v>-2240</c:v>
                </c:pt>
                <c:pt idx="190">
                  <c:v>-2239</c:v>
                </c:pt>
                <c:pt idx="191">
                  <c:v>-2238</c:v>
                </c:pt>
                <c:pt idx="192">
                  <c:v>-2237</c:v>
                </c:pt>
                <c:pt idx="193">
                  <c:v>-2236</c:v>
                </c:pt>
                <c:pt idx="194">
                  <c:v>-2235</c:v>
                </c:pt>
                <c:pt idx="195">
                  <c:v>-2234</c:v>
                </c:pt>
                <c:pt idx="196">
                  <c:v>-2337</c:v>
                </c:pt>
                <c:pt idx="197">
                  <c:v>-2336</c:v>
                </c:pt>
                <c:pt idx="198">
                  <c:v>-2335</c:v>
                </c:pt>
                <c:pt idx="199">
                  <c:v>-2334</c:v>
                </c:pt>
                <c:pt idx="200">
                  <c:v>-2333</c:v>
                </c:pt>
                <c:pt idx="201">
                  <c:v>-2332</c:v>
                </c:pt>
                <c:pt idx="202">
                  <c:v>-2331</c:v>
                </c:pt>
                <c:pt idx="203">
                  <c:v>-2330</c:v>
                </c:pt>
                <c:pt idx="204">
                  <c:v>-2329</c:v>
                </c:pt>
                <c:pt idx="205">
                  <c:v>-2328</c:v>
                </c:pt>
                <c:pt idx="206">
                  <c:v>-2327</c:v>
                </c:pt>
                <c:pt idx="207">
                  <c:v>-2326</c:v>
                </c:pt>
                <c:pt idx="208">
                  <c:v>-2325</c:v>
                </c:pt>
                <c:pt idx="209">
                  <c:v>-2324</c:v>
                </c:pt>
                <c:pt idx="210">
                  <c:v>-2323</c:v>
                </c:pt>
                <c:pt idx="211">
                  <c:v>-2322</c:v>
                </c:pt>
                <c:pt idx="212">
                  <c:v>-2321</c:v>
                </c:pt>
                <c:pt idx="213">
                  <c:v>-2320</c:v>
                </c:pt>
                <c:pt idx="214">
                  <c:v>-2319</c:v>
                </c:pt>
                <c:pt idx="215">
                  <c:v>-2318</c:v>
                </c:pt>
                <c:pt idx="216">
                  <c:v>-2317</c:v>
                </c:pt>
                <c:pt idx="217">
                  <c:v>-2316</c:v>
                </c:pt>
                <c:pt idx="218">
                  <c:v>-2315</c:v>
                </c:pt>
                <c:pt idx="219">
                  <c:v>-2314</c:v>
                </c:pt>
                <c:pt idx="220">
                  <c:v>-2313</c:v>
                </c:pt>
                <c:pt idx="221">
                  <c:v>-2312</c:v>
                </c:pt>
                <c:pt idx="222">
                  <c:v>-2311</c:v>
                </c:pt>
                <c:pt idx="223">
                  <c:v>-2310</c:v>
                </c:pt>
                <c:pt idx="224">
                  <c:v>-2309</c:v>
                </c:pt>
                <c:pt idx="225">
                  <c:v>-2308</c:v>
                </c:pt>
                <c:pt idx="226">
                  <c:v>-2307</c:v>
                </c:pt>
                <c:pt idx="227">
                  <c:v>-2306</c:v>
                </c:pt>
                <c:pt idx="228">
                  <c:v>-2305</c:v>
                </c:pt>
                <c:pt idx="229">
                  <c:v>-2304</c:v>
                </c:pt>
                <c:pt idx="230">
                  <c:v>-2303</c:v>
                </c:pt>
                <c:pt idx="231">
                  <c:v>-2302</c:v>
                </c:pt>
                <c:pt idx="232">
                  <c:v>-2301</c:v>
                </c:pt>
                <c:pt idx="233">
                  <c:v>-2300</c:v>
                </c:pt>
                <c:pt idx="234">
                  <c:v>-2299</c:v>
                </c:pt>
                <c:pt idx="235">
                  <c:v>-2298</c:v>
                </c:pt>
                <c:pt idx="236">
                  <c:v>-2297</c:v>
                </c:pt>
                <c:pt idx="237">
                  <c:v>-2296</c:v>
                </c:pt>
                <c:pt idx="238">
                  <c:v>-2295</c:v>
                </c:pt>
                <c:pt idx="239">
                  <c:v>-2294</c:v>
                </c:pt>
                <c:pt idx="240">
                  <c:v>-2293</c:v>
                </c:pt>
                <c:pt idx="241">
                  <c:v>-2292</c:v>
                </c:pt>
                <c:pt idx="242">
                  <c:v>-2291</c:v>
                </c:pt>
                <c:pt idx="243">
                  <c:v>-2290</c:v>
                </c:pt>
                <c:pt idx="244">
                  <c:v>-2289</c:v>
                </c:pt>
                <c:pt idx="245">
                  <c:v>-2288</c:v>
                </c:pt>
                <c:pt idx="246">
                  <c:v>-2287</c:v>
                </c:pt>
                <c:pt idx="247">
                  <c:v>-2286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DB-47BF-9582-20BEF669E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1863952"/>
        <c:axId val="1461874992"/>
      </c:lineChart>
      <c:catAx>
        <c:axId val="1461863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874992"/>
        <c:crosses val="autoZero"/>
        <c:auto val="1"/>
        <c:lblAlgn val="ctr"/>
        <c:lblOffset val="100"/>
        <c:noMultiLvlLbl val="0"/>
      </c:catAx>
      <c:valAx>
        <c:axId val="146187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86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Sheet6!$C$2:$C$255</c:f>
              <c:numCache>
                <c:formatCode>General</c:formatCode>
                <c:ptCount val="254"/>
                <c:pt idx="0">
                  <c:v>-219</c:v>
                </c:pt>
                <c:pt idx="1">
                  <c:v>-219</c:v>
                </c:pt>
                <c:pt idx="2">
                  <c:v>-219</c:v>
                </c:pt>
                <c:pt idx="3">
                  <c:v>-219</c:v>
                </c:pt>
                <c:pt idx="4">
                  <c:v>-219</c:v>
                </c:pt>
                <c:pt idx="5">
                  <c:v>-219</c:v>
                </c:pt>
                <c:pt idx="6">
                  <c:v>-219</c:v>
                </c:pt>
                <c:pt idx="7">
                  <c:v>-219</c:v>
                </c:pt>
                <c:pt idx="8">
                  <c:v>-219</c:v>
                </c:pt>
                <c:pt idx="9">
                  <c:v>-219</c:v>
                </c:pt>
                <c:pt idx="10">
                  <c:v>-219</c:v>
                </c:pt>
                <c:pt idx="11">
                  <c:v>-219</c:v>
                </c:pt>
                <c:pt idx="12">
                  <c:v>-219</c:v>
                </c:pt>
                <c:pt idx="13">
                  <c:v>-219</c:v>
                </c:pt>
                <c:pt idx="14">
                  <c:v>-219</c:v>
                </c:pt>
                <c:pt idx="15">
                  <c:v>-219</c:v>
                </c:pt>
                <c:pt idx="16">
                  <c:v>-219</c:v>
                </c:pt>
                <c:pt idx="17">
                  <c:v>-219</c:v>
                </c:pt>
                <c:pt idx="18">
                  <c:v>-219</c:v>
                </c:pt>
                <c:pt idx="19">
                  <c:v>-219</c:v>
                </c:pt>
                <c:pt idx="20">
                  <c:v>-219</c:v>
                </c:pt>
                <c:pt idx="21">
                  <c:v>-219</c:v>
                </c:pt>
                <c:pt idx="22">
                  <c:v>-219</c:v>
                </c:pt>
                <c:pt idx="23">
                  <c:v>-219</c:v>
                </c:pt>
                <c:pt idx="24">
                  <c:v>-219</c:v>
                </c:pt>
                <c:pt idx="25">
                  <c:v>-219</c:v>
                </c:pt>
                <c:pt idx="26">
                  <c:v>-219</c:v>
                </c:pt>
                <c:pt idx="27">
                  <c:v>-219</c:v>
                </c:pt>
                <c:pt idx="28">
                  <c:v>-219</c:v>
                </c:pt>
                <c:pt idx="29">
                  <c:v>-219</c:v>
                </c:pt>
                <c:pt idx="30">
                  <c:v>-219</c:v>
                </c:pt>
                <c:pt idx="31">
                  <c:v>-219</c:v>
                </c:pt>
                <c:pt idx="32">
                  <c:v>-219</c:v>
                </c:pt>
                <c:pt idx="33">
                  <c:v>-219</c:v>
                </c:pt>
                <c:pt idx="34">
                  <c:v>-219</c:v>
                </c:pt>
                <c:pt idx="35">
                  <c:v>-219</c:v>
                </c:pt>
                <c:pt idx="36">
                  <c:v>-219</c:v>
                </c:pt>
                <c:pt idx="37">
                  <c:v>-219</c:v>
                </c:pt>
                <c:pt idx="38">
                  <c:v>-219</c:v>
                </c:pt>
                <c:pt idx="39">
                  <c:v>-219</c:v>
                </c:pt>
                <c:pt idx="40">
                  <c:v>-115</c:v>
                </c:pt>
                <c:pt idx="41">
                  <c:v>-115</c:v>
                </c:pt>
                <c:pt idx="42">
                  <c:v>-115</c:v>
                </c:pt>
                <c:pt idx="43">
                  <c:v>-115</c:v>
                </c:pt>
                <c:pt idx="44">
                  <c:v>-115</c:v>
                </c:pt>
                <c:pt idx="45">
                  <c:v>-219</c:v>
                </c:pt>
                <c:pt idx="46">
                  <c:v>-219</c:v>
                </c:pt>
                <c:pt idx="47">
                  <c:v>-219</c:v>
                </c:pt>
                <c:pt idx="48">
                  <c:v>-219</c:v>
                </c:pt>
                <c:pt idx="49">
                  <c:v>-219</c:v>
                </c:pt>
                <c:pt idx="50">
                  <c:v>-219</c:v>
                </c:pt>
                <c:pt idx="51">
                  <c:v>-219</c:v>
                </c:pt>
                <c:pt idx="52">
                  <c:v>-219</c:v>
                </c:pt>
                <c:pt idx="53">
                  <c:v>-219</c:v>
                </c:pt>
                <c:pt idx="54">
                  <c:v>-219</c:v>
                </c:pt>
                <c:pt idx="55">
                  <c:v>-219</c:v>
                </c:pt>
                <c:pt idx="56">
                  <c:v>-219</c:v>
                </c:pt>
                <c:pt idx="57">
                  <c:v>-219</c:v>
                </c:pt>
                <c:pt idx="58">
                  <c:v>-219</c:v>
                </c:pt>
                <c:pt idx="59">
                  <c:v>-219</c:v>
                </c:pt>
                <c:pt idx="60">
                  <c:v>-219</c:v>
                </c:pt>
                <c:pt idx="61">
                  <c:v>-219</c:v>
                </c:pt>
                <c:pt idx="62">
                  <c:v>-219</c:v>
                </c:pt>
                <c:pt idx="63">
                  <c:v>-219</c:v>
                </c:pt>
                <c:pt idx="64">
                  <c:v>-219</c:v>
                </c:pt>
                <c:pt idx="65">
                  <c:v>-219</c:v>
                </c:pt>
                <c:pt idx="66">
                  <c:v>-219</c:v>
                </c:pt>
                <c:pt idx="67">
                  <c:v>-219</c:v>
                </c:pt>
                <c:pt idx="68">
                  <c:v>-219</c:v>
                </c:pt>
                <c:pt idx="69">
                  <c:v>-219</c:v>
                </c:pt>
                <c:pt idx="70">
                  <c:v>-219</c:v>
                </c:pt>
                <c:pt idx="71">
                  <c:v>-219</c:v>
                </c:pt>
                <c:pt idx="72">
                  <c:v>-219</c:v>
                </c:pt>
                <c:pt idx="73">
                  <c:v>-219</c:v>
                </c:pt>
                <c:pt idx="74">
                  <c:v>-219</c:v>
                </c:pt>
                <c:pt idx="75">
                  <c:v>-219</c:v>
                </c:pt>
                <c:pt idx="76">
                  <c:v>-219</c:v>
                </c:pt>
                <c:pt idx="77">
                  <c:v>-219</c:v>
                </c:pt>
                <c:pt idx="78">
                  <c:v>-219</c:v>
                </c:pt>
                <c:pt idx="79">
                  <c:v>-219</c:v>
                </c:pt>
                <c:pt idx="80">
                  <c:v>-219</c:v>
                </c:pt>
                <c:pt idx="81">
                  <c:v>-219</c:v>
                </c:pt>
                <c:pt idx="82">
                  <c:v>-219</c:v>
                </c:pt>
                <c:pt idx="83">
                  <c:v>-219</c:v>
                </c:pt>
                <c:pt idx="84">
                  <c:v>-219</c:v>
                </c:pt>
                <c:pt idx="85">
                  <c:v>-219</c:v>
                </c:pt>
                <c:pt idx="86">
                  <c:v>-219</c:v>
                </c:pt>
                <c:pt idx="87">
                  <c:v>-219</c:v>
                </c:pt>
                <c:pt idx="88">
                  <c:v>-219</c:v>
                </c:pt>
                <c:pt idx="89">
                  <c:v>-219</c:v>
                </c:pt>
                <c:pt idx="90">
                  <c:v>-219</c:v>
                </c:pt>
                <c:pt idx="91">
                  <c:v>-219</c:v>
                </c:pt>
                <c:pt idx="92">
                  <c:v>-115</c:v>
                </c:pt>
                <c:pt idx="93">
                  <c:v>-115</c:v>
                </c:pt>
                <c:pt idx="94">
                  <c:v>-115</c:v>
                </c:pt>
                <c:pt idx="95">
                  <c:v>-115</c:v>
                </c:pt>
                <c:pt idx="96">
                  <c:v>-115</c:v>
                </c:pt>
                <c:pt idx="97">
                  <c:v>-219</c:v>
                </c:pt>
                <c:pt idx="98">
                  <c:v>-219</c:v>
                </c:pt>
                <c:pt idx="99">
                  <c:v>-219</c:v>
                </c:pt>
                <c:pt idx="100">
                  <c:v>-219</c:v>
                </c:pt>
                <c:pt idx="101">
                  <c:v>-219</c:v>
                </c:pt>
                <c:pt idx="102">
                  <c:v>-219</c:v>
                </c:pt>
                <c:pt idx="103">
                  <c:v>-219</c:v>
                </c:pt>
                <c:pt idx="104">
                  <c:v>-219</c:v>
                </c:pt>
                <c:pt idx="105">
                  <c:v>-219</c:v>
                </c:pt>
                <c:pt idx="106">
                  <c:v>-219</c:v>
                </c:pt>
                <c:pt idx="107">
                  <c:v>-219</c:v>
                </c:pt>
                <c:pt idx="108">
                  <c:v>-219</c:v>
                </c:pt>
                <c:pt idx="109">
                  <c:v>-219</c:v>
                </c:pt>
                <c:pt idx="110">
                  <c:v>-219</c:v>
                </c:pt>
                <c:pt idx="111">
                  <c:v>-219</c:v>
                </c:pt>
                <c:pt idx="112">
                  <c:v>-219</c:v>
                </c:pt>
                <c:pt idx="113">
                  <c:v>-219</c:v>
                </c:pt>
                <c:pt idx="114">
                  <c:v>-219</c:v>
                </c:pt>
                <c:pt idx="115">
                  <c:v>-219</c:v>
                </c:pt>
                <c:pt idx="116">
                  <c:v>-219</c:v>
                </c:pt>
                <c:pt idx="117">
                  <c:v>-219</c:v>
                </c:pt>
                <c:pt idx="118">
                  <c:v>-219</c:v>
                </c:pt>
                <c:pt idx="119">
                  <c:v>-219</c:v>
                </c:pt>
                <c:pt idx="120">
                  <c:v>-219</c:v>
                </c:pt>
                <c:pt idx="121">
                  <c:v>-219</c:v>
                </c:pt>
                <c:pt idx="122">
                  <c:v>-219</c:v>
                </c:pt>
                <c:pt idx="123">
                  <c:v>-219</c:v>
                </c:pt>
                <c:pt idx="124">
                  <c:v>-219</c:v>
                </c:pt>
                <c:pt idx="125">
                  <c:v>-219</c:v>
                </c:pt>
                <c:pt idx="126">
                  <c:v>-219</c:v>
                </c:pt>
                <c:pt idx="127">
                  <c:v>-219</c:v>
                </c:pt>
                <c:pt idx="128">
                  <c:v>-219</c:v>
                </c:pt>
                <c:pt idx="129">
                  <c:v>-219</c:v>
                </c:pt>
                <c:pt idx="130">
                  <c:v>-219</c:v>
                </c:pt>
                <c:pt idx="131">
                  <c:v>-219</c:v>
                </c:pt>
                <c:pt idx="132">
                  <c:v>-219</c:v>
                </c:pt>
                <c:pt idx="133">
                  <c:v>-219</c:v>
                </c:pt>
                <c:pt idx="134">
                  <c:v>-219</c:v>
                </c:pt>
                <c:pt idx="135">
                  <c:v>-219</c:v>
                </c:pt>
                <c:pt idx="136">
                  <c:v>-219</c:v>
                </c:pt>
                <c:pt idx="137">
                  <c:v>-219</c:v>
                </c:pt>
                <c:pt idx="138">
                  <c:v>-219</c:v>
                </c:pt>
                <c:pt idx="139">
                  <c:v>-219</c:v>
                </c:pt>
                <c:pt idx="140">
                  <c:v>-219</c:v>
                </c:pt>
                <c:pt idx="141">
                  <c:v>-219</c:v>
                </c:pt>
                <c:pt idx="142">
                  <c:v>-219</c:v>
                </c:pt>
                <c:pt idx="143">
                  <c:v>-219</c:v>
                </c:pt>
                <c:pt idx="144">
                  <c:v>-115</c:v>
                </c:pt>
                <c:pt idx="145">
                  <c:v>-115</c:v>
                </c:pt>
                <c:pt idx="146">
                  <c:v>-115</c:v>
                </c:pt>
                <c:pt idx="147">
                  <c:v>-115</c:v>
                </c:pt>
                <c:pt idx="148">
                  <c:v>-115</c:v>
                </c:pt>
                <c:pt idx="149">
                  <c:v>-219</c:v>
                </c:pt>
                <c:pt idx="150">
                  <c:v>-219</c:v>
                </c:pt>
                <c:pt idx="151">
                  <c:v>-219</c:v>
                </c:pt>
                <c:pt idx="152">
                  <c:v>-219</c:v>
                </c:pt>
                <c:pt idx="153">
                  <c:v>-219</c:v>
                </c:pt>
                <c:pt idx="154">
                  <c:v>-219</c:v>
                </c:pt>
                <c:pt idx="155">
                  <c:v>-219</c:v>
                </c:pt>
                <c:pt idx="156">
                  <c:v>-219</c:v>
                </c:pt>
                <c:pt idx="157">
                  <c:v>-219</c:v>
                </c:pt>
                <c:pt idx="158">
                  <c:v>-219</c:v>
                </c:pt>
                <c:pt idx="159">
                  <c:v>-219</c:v>
                </c:pt>
                <c:pt idx="160">
                  <c:v>-219</c:v>
                </c:pt>
                <c:pt idx="161">
                  <c:v>-219</c:v>
                </c:pt>
                <c:pt idx="162">
                  <c:v>-219</c:v>
                </c:pt>
                <c:pt idx="163">
                  <c:v>-219</c:v>
                </c:pt>
                <c:pt idx="164">
                  <c:v>-219</c:v>
                </c:pt>
                <c:pt idx="165">
                  <c:v>-219</c:v>
                </c:pt>
                <c:pt idx="166">
                  <c:v>-219</c:v>
                </c:pt>
                <c:pt idx="167">
                  <c:v>-219</c:v>
                </c:pt>
                <c:pt idx="168">
                  <c:v>-219</c:v>
                </c:pt>
                <c:pt idx="169">
                  <c:v>-219</c:v>
                </c:pt>
                <c:pt idx="170">
                  <c:v>-219</c:v>
                </c:pt>
                <c:pt idx="171">
                  <c:v>-219</c:v>
                </c:pt>
                <c:pt idx="172">
                  <c:v>-219</c:v>
                </c:pt>
                <c:pt idx="173">
                  <c:v>-219</c:v>
                </c:pt>
                <c:pt idx="174">
                  <c:v>-219</c:v>
                </c:pt>
                <c:pt idx="175">
                  <c:v>-219</c:v>
                </c:pt>
                <c:pt idx="176">
                  <c:v>-219</c:v>
                </c:pt>
                <c:pt idx="177">
                  <c:v>-219</c:v>
                </c:pt>
                <c:pt idx="178">
                  <c:v>-219</c:v>
                </c:pt>
                <c:pt idx="179">
                  <c:v>-219</c:v>
                </c:pt>
                <c:pt idx="180">
                  <c:v>-219</c:v>
                </c:pt>
                <c:pt idx="181">
                  <c:v>-219</c:v>
                </c:pt>
                <c:pt idx="182">
                  <c:v>-219</c:v>
                </c:pt>
                <c:pt idx="183">
                  <c:v>-219</c:v>
                </c:pt>
                <c:pt idx="184">
                  <c:v>-219</c:v>
                </c:pt>
                <c:pt idx="185">
                  <c:v>-219</c:v>
                </c:pt>
                <c:pt idx="186">
                  <c:v>-219</c:v>
                </c:pt>
                <c:pt idx="187">
                  <c:v>-219</c:v>
                </c:pt>
                <c:pt idx="188">
                  <c:v>-219</c:v>
                </c:pt>
                <c:pt idx="189">
                  <c:v>-219</c:v>
                </c:pt>
                <c:pt idx="190">
                  <c:v>-219</c:v>
                </c:pt>
                <c:pt idx="191">
                  <c:v>-219</c:v>
                </c:pt>
                <c:pt idx="192">
                  <c:v>-219</c:v>
                </c:pt>
                <c:pt idx="193">
                  <c:v>-219</c:v>
                </c:pt>
                <c:pt idx="194">
                  <c:v>-219</c:v>
                </c:pt>
                <c:pt idx="195">
                  <c:v>-219</c:v>
                </c:pt>
                <c:pt idx="196">
                  <c:v>-115</c:v>
                </c:pt>
                <c:pt idx="197">
                  <c:v>-115</c:v>
                </c:pt>
                <c:pt idx="198">
                  <c:v>-115</c:v>
                </c:pt>
                <c:pt idx="199">
                  <c:v>-115</c:v>
                </c:pt>
                <c:pt idx="200">
                  <c:v>-115</c:v>
                </c:pt>
                <c:pt idx="201">
                  <c:v>-219</c:v>
                </c:pt>
                <c:pt idx="202">
                  <c:v>-219</c:v>
                </c:pt>
                <c:pt idx="203">
                  <c:v>-219</c:v>
                </c:pt>
                <c:pt idx="204">
                  <c:v>-219</c:v>
                </c:pt>
                <c:pt idx="205">
                  <c:v>-219</c:v>
                </c:pt>
                <c:pt idx="206">
                  <c:v>-219</c:v>
                </c:pt>
                <c:pt idx="207">
                  <c:v>-219</c:v>
                </c:pt>
                <c:pt idx="208">
                  <c:v>-219</c:v>
                </c:pt>
                <c:pt idx="209">
                  <c:v>-219</c:v>
                </c:pt>
                <c:pt idx="210">
                  <c:v>-219</c:v>
                </c:pt>
                <c:pt idx="211">
                  <c:v>-219</c:v>
                </c:pt>
                <c:pt idx="212">
                  <c:v>-219</c:v>
                </c:pt>
                <c:pt idx="213">
                  <c:v>-219</c:v>
                </c:pt>
                <c:pt idx="214">
                  <c:v>-219</c:v>
                </c:pt>
                <c:pt idx="215">
                  <c:v>-219</c:v>
                </c:pt>
                <c:pt idx="216">
                  <c:v>-219</c:v>
                </c:pt>
                <c:pt idx="217">
                  <c:v>-219</c:v>
                </c:pt>
                <c:pt idx="218">
                  <c:v>-219</c:v>
                </c:pt>
                <c:pt idx="219">
                  <c:v>-219</c:v>
                </c:pt>
                <c:pt idx="220">
                  <c:v>-219</c:v>
                </c:pt>
                <c:pt idx="221">
                  <c:v>-219</c:v>
                </c:pt>
                <c:pt idx="222">
                  <c:v>-219</c:v>
                </c:pt>
                <c:pt idx="223">
                  <c:v>-219</c:v>
                </c:pt>
                <c:pt idx="224">
                  <c:v>-219</c:v>
                </c:pt>
                <c:pt idx="225">
                  <c:v>-219</c:v>
                </c:pt>
                <c:pt idx="226">
                  <c:v>-219</c:v>
                </c:pt>
                <c:pt idx="227">
                  <c:v>-219</c:v>
                </c:pt>
                <c:pt idx="228">
                  <c:v>-219</c:v>
                </c:pt>
                <c:pt idx="229">
                  <c:v>-219</c:v>
                </c:pt>
                <c:pt idx="230">
                  <c:v>-219</c:v>
                </c:pt>
                <c:pt idx="231">
                  <c:v>-219</c:v>
                </c:pt>
                <c:pt idx="232">
                  <c:v>-219</c:v>
                </c:pt>
                <c:pt idx="233">
                  <c:v>-219</c:v>
                </c:pt>
                <c:pt idx="234">
                  <c:v>-219</c:v>
                </c:pt>
                <c:pt idx="235">
                  <c:v>-219</c:v>
                </c:pt>
                <c:pt idx="236">
                  <c:v>-219</c:v>
                </c:pt>
                <c:pt idx="237">
                  <c:v>-219</c:v>
                </c:pt>
                <c:pt idx="238">
                  <c:v>-219</c:v>
                </c:pt>
                <c:pt idx="239">
                  <c:v>-219</c:v>
                </c:pt>
                <c:pt idx="240">
                  <c:v>-219</c:v>
                </c:pt>
                <c:pt idx="241">
                  <c:v>-219</c:v>
                </c:pt>
                <c:pt idx="242">
                  <c:v>-219</c:v>
                </c:pt>
                <c:pt idx="243">
                  <c:v>-219</c:v>
                </c:pt>
                <c:pt idx="244">
                  <c:v>-219</c:v>
                </c:pt>
                <c:pt idx="245">
                  <c:v>-219</c:v>
                </c:pt>
                <c:pt idx="246">
                  <c:v>-219</c:v>
                </c:pt>
                <c:pt idx="247">
                  <c:v>-219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1D-4BC9-905B-FCD38B7B7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8847248"/>
        <c:axId val="1458847728"/>
      </c:scatterChart>
      <c:valAx>
        <c:axId val="145884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847728"/>
        <c:crosses val="autoZero"/>
        <c:crossBetween val="midCat"/>
      </c:valAx>
      <c:valAx>
        <c:axId val="145884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847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Sheet6!$A$1</c:f>
              <c:strCache>
                <c:ptCount val="1"/>
                <c:pt idx="0">
                  <c:v>Original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Sheet6!$A$2:$A$254</c:f>
              <c:numCache>
                <c:formatCode>General</c:formatCode>
                <c:ptCount val="253"/>
                <c:pt idx="0">
                  <c:v>-2336</c:v>
                </c:pt>
                <c:pt idx="1">
                  <c:v>-2335</c:v>
                </c:pt>
                <c:pt idx="2">
                  <c:v>-2334</c:v>
                </c:pt>
                <c:pt idx="3">
                  <c:v>-2333</c:v>
                </c:pt>
                <c:pt idx="4">
                  <c:v>-2332</c:v>
                </c:pt>
                <c:pt idx="5">
                  <c:v>-2331</c:v>
                </c:pt>
                <c:pt idx="6">
                  <c:v>-2330</c:v>
                </c:pt>
                <c:pt idx="7">
                  <c:v>-2329</c:v>
                </c:pt>
                <c:pt idx="8">
                  <c:v>-2328</c:v>
                </c:pt>
                <c:pt idx="9">
                  <c:v>-2327</c:v>
                </c:pt>
                <c:pt idx="10">
                  <c:v>-2326</c:v>
                </c:pt>
                <c:pt idx="11">
                  <c:v>-2325</c:v>
                </c:pt>
                <c:pt idx="12">
                  <c:v>-2324</c:v>
                </c:pt>
                <c:pt idx="13">
                  <c:v>-2323</c:v>
                </c:pt>
                <c:pt idx="14">
                  <c:v>-2322</c:v>
                </c:pt>
                <c:pt idx="15">
                  <c:v>-2321</c:v>
                </c:pt>
                <c:pt idx="16">
                  <c:v>-2320</c:v>
                </c:pt>
                <c:pt idx="17">
                  <c:v>-2319</c:v>
                </c:pt>
                <c:pt idx="18">
                  <c:v>-2318</c:v>
                </c:pt>
                <c:pt idx="19">
                  <c:v>-2317</c:v>
                </c:pt>
                <c:pt idx="20">
                  <c:v>-2316</c:v>
                </c:pt>
                <c:pt idx="21">
                  <c:v>-2315</c:v>
                </c:pt>
                <c:pt idx="22">
                  <c:v>-2314</c:v>
                </c:pt>
                <c:pt idx="23">
                  <c:v>-2313</c:v>
                </c:pt>
                <c:pt idx="24">
                  <c:v>-2312</c:v>
                </c:pt>
                <c:pt idx="25">
                  <c:v>-2311</c:v>
                </c:pt>
                <c:pt idx="26">
                  <c:v>-2310</c:v>
                </c:pt>
                <c:pt idx="27">
                  <c:v>-2309</c:v>
                </c:pt>
                <c:pt idx="28">
                  <c:v>-2308</c:v>
                </c:pt>
                <c:pt idx="29">
                  <c:v>-2307</c:v>
                </c:pt>
                <c:pt idx="30">
                  <c:v>-2306</c:v>
                </c:pt>
                <c:pt idx="31">
                  <c:v>-2305</c:v>
                </c:pt>
                <c:pt idx="32">
                  <c:v>-2304</c:v>
                </c:pt>
                <c:pt idx="33">
                  <c:v>-2303</c:v>
                </c:pt>
                <c:pt idx="34">
                  <c:v>-2302</c:v>
                </c:pt>
                <c:pt idx="35">
                  <c:v>-2301</c:v>
                </c:pt>
                <c:pt idx="36">
                  <c:v>-2300</c:v>
                </c:pt>
                <c:pt idx="37">
                  <c:v>-2299</c:v>
                </c:pt>
                <c:pt idx="38">
                  <c:v>-2298</c:v>
                </c:pt>
                <c:pt idx="39">
                  <c:v>-2297</c:v>
                </c:pt>
                <c:pt idx="40">
                  <c:v>-2296</c:v>
                </c:pt>
                <c:pt idx="41">
                  <c:v>-2295</c:v>
                </c:pt>
                <c:pt idx="42">
                  <c:v>-2294</c:v>
                </c:pt>
                <c:pt idx="43">
                  <c:v>-2293</c:v>
                </c:pt>
                <c:pt idx="44">
                  <c:v>-2292</c:v>
                </c:pt>
                <c:pt idx="45">
                  <c:v>-2395</c:v>
                </c:pt>
                <c:pt idx="46">
                  <c:v>-2394</c:v>
                </c:pt>
                <c:pt idx="47">
                  <c:v>-2393</c:v>
                </c:pt>
                <c:pt idx="48">
                  <c:v>-2392</c:v>
                </c:pt>
                <c:pt idx="49">
                  <c:v>-2391</c:v>
                </c:pt>
                <c:pt idx="50">
                  <c:v>-2390</c:v>
                </c:pt>
                <c:pt idx="51">
                  <c:v>-2389</c:v>
                </c:pt>
                <c:pt idx="52">
                  <c:v>-2388</c:v>
                </c:pt>
                <c:pt idx="53">
                  <c:v>-2387</c:v>
                </c:pt>
                <c:pt idx="54">
                  <c:v>-2386</c:v>
                </c:pt>
                <c:pt idx="55">
                  <c:v>-2385</c:v>
                </c:pt>
                <c:pt idx="56">
                  <c:v>-2384</c:v>
                </c:pt>
                <c:pt idx="57">
                  <c:v>-2383</c:v>
                </c:pt>
                <c:pt idx="58">
                  <c:v>-2382</c:v>
                </c:pt>
                <c:pt idx="59">
                  <c:v>-2381</c:v>
                </c:pt>
                <c:pt idx="60">
                  <c:v>-2380</c:v>
                </c:pt>
                <c:pt idx="61">
                  <c:v>-2379</c:v>
                </c:pt>
                <c:pt idx="62">
                  <c:v>-2378</c:v>
                </c:pt>
                <c:pt idx="63">
                  <c:v>-2377</c:v>
                </c:pt>
                <c:pt idx="64">
                  <c:v>-2376</c:v>
                </c:pt>
                <c:pt idx="65">
                  <c:v>-2375</c:v>
                </c:pt>
                <c:pt idx="66">
                  <c:v>-2374</c:v>
                </c:pt>
                <c:pt idx="67">
                  <c:v>-2373</c:v>
                </c:pt>
                <c:pt idx="68">
                  <c:v>-2372</c:v>
                </c:pt>
                <c:pt idx="69">
                  <c:v>-2371</c:v>
                </c:pt>
                <c:pt idx="70">
                  <c:v>-2370</c:v>
                </c:pt>
                <c:pt idx="71">
                  <c:v>-2369</c:v>
                </c:pt>
                <c:pt idx="72">
                  <c:v>-2368</c:v>
                </c:pt>
                <c:pt idx="73">
                  <c:v>-2367</c:v>
                </c:pt>
                <c:pt idx="74">
                  <c:v>-2366</c:v>
                </c:pt>
                <c:pt idx="75">
                  <c:v>-2365</c:v>
                </c:pt>
                <c:pt idx="76">
                  <c:v>-2364</c:v>
                </c:pt>
                <c:pt idx="77">
                  <c:v>-2363</c:v>
                </c:pt>
                <c:pt idx="78">
                  <c:v>-2362</c:v>
                </c:pt>
                <c:pt idx="79">
                  <c:v>-2361</c:v>
                </c:pt>
                <c:pt idx="80">
                  <c:v>-2360</c:v>
                </c:pt>
                <c:pt idx="81">
                  <c:v>-2359</c:v>
                </c:pt>
                <c:pt idx="82">
                  <c:v>-2358</c:v>
                </c:pt>
                <c:pt idx="83">
                  <c:v>-2357</c:v>
                </c:pt>
                <c:pt idx="84">
                  <c:v>-2356</c:v>
                </c:pt>
                <c:pt idx="85">
                  <c:v>-2355</c:v>
                </c:pt>
                <c:pt idx="86">
                  <c:v>-2354</c:v>
                </c:pt>
                <c:pt idx="87">
                  <c:v>-2353</c:v>
                </c:pt>
                <c:pt idx="88">
                  <c:v>-2352</c:v>
                </c:pt>
                <c:pt idx="89">
                  <c:v>-2351</c:v>
                </c:pt>
                <c:pt idx="90">
                  <c:v>-2350</c:v>
                </c:pt>
                <c:pt idx="91">
                  <c:v>-2349</c:v>
                </c:pt>
                <c:pt idx="92">
                  <c:v>-2348</c:v>
                </c:pt>
                <c:pt idx="93">
                  <c:v>-2347</c:v>
                </c:pt>
                <c:pt idx="94">
                  <c:v>-2346</c:v>
                </c:pt>
                <c:pt idx="95">
                  <c:v>-2345</c:v>
                </c:pt>
                <c:pt idx="96">
                  <c:v>-2344</c:v>
                </c:pt>
                <c:pt idx="97">
                  <c:v>-2447</c:v>
                </c:pt>
                <c:pt idx="98">
                  <c:v>-2446</c:v>
                </c:pt>
                <c:pt idx="99">
                  <c:v>-2445</c:v>
                </c:pt>
                <c:pt idx="100">
                  <c:v>-2444</c:v>
                </c:pt>
                <c:pt idx="101">
                  <c:v>-2443</c:v>
                </c:pt>
                <c:pt idx="102">
                  <c:v>-2442</c:v>
                </c:pt>
                <c:pt idx="103">
                  <c:v>-2441</c:v>
                </c:pt>
                <c:pt idx="104">
                  <c:v>-2440</c:v>
                </c:pt>
                <c:pt idx="105">
                  <c:v>-2439</c:v>
                </c:pt>
                <c:pt idx="106">
                  <c:v>-2438</c:v>
                </c:pt>
                <c:pt idx="107">
                  <c:v>-2437</c:v>
                </c:pt>
                <c:pt idx="108">
                  <c:v>-2436</c:v>
                </c:pt>
                <c:pt idx="109">
                  <c:v>-2435</c:v>
                </c:pt>
                <c:pt idx="110">
                  <c:v>-2434</c:v>
                </c:pt>
                <c:pt idx="111">
                  <c:v>-2433</c:v>
                </c:pt>
                <c:pt idx="112">
                  <c:v>-2432</c:v>
                </c:pt>
                <c:pt idx="113">
                  <c:v>-2431</c:v>
                </c:pt>
                <c:pt idx="114">
                  <c:v>-2430</c:v>
                </c:pt>
                <c:pt idx="115">
                  <c:v>-2429</c:v>
                </c:pt>
                <c:pt idx="116">
                  <c:v>-2428</c:v>
                </c:pt>
                <c:pt idx="117">
                  <c:v>-2427</c:v>
                </c:pt>
                <c:pt idx="118">
                  <c:v>-2426</c:v>
                </c:pt>
                <c:pt idx="119">
                  <c:v>-2425</c:v>
                </c:pt>
                <c:pt idx="120">
                  <c:v>-2424</c:v>
                </c:pt>
                <c:pt idx="121">
                  <c:v>-2423</c:v>
                </c:pt>
                <c:pt idx="122">
                  <c:v>-2422</c:v>
                </c:pt>
                <c:pt idx="123">
                  <c:v>-2421</c:v>
                </c:pt>
                <c:pt idx="124">
                  <c:v>-2420</c:v>
                </c:pt>
                <c:pt idx="125">
                  <c:v>-2419</c:v>
                </c:pt>
                <c:pt idx="126">
                  <c:v>-2418</c:v>
                </c:pt>
                <c:pt idx="127">
                  <c:v>-2417</c:v>
                </c:pt>
                <c:pt idx="128">
                  <c:v>-2416</c:v>
                </c:pt>
                <c:pt idx="129">
                  <c:v>-2415</c:v>
                </c:pt>
                <c:pt idx="130">
                  <c:v>-2414</c:v>
                </c:pt>
                <c:pt idx="131">
                  <c:v>-2413</c:v>
                </c:pt>
                <c:pt idx="132">
                  <c:v>-2412</c:v>
                </c:pt>
                <c:pt idx="133">
                  <c:v>-2411</c:v>
                </c:pt>
                <c:pt idx="134">
                  <c:v>-2410</c:v>
                </c:pt>
                <c:pt idx="135">
                  <c:v>-2409</c:v>
                </c:pt>
                <c:pt idx="136">
                  <c:v>-2408</c:v>
                </c:pt>
                <c:pt idx="137">
                  <c:v>-2407</c:v>
                </c:pt>
                <c:pt idx="138">
                  <c:v>-2406</c:v>
                </c:pt>
                <c:pt idx="139">
                  <c:v>-2405</c:v>
                </c:pt>
                <c:pt idx="140">
                  <c:v>-2404</c:v>
                </c:pt>
                <c:pt idx="141">
                  <c:v>-2403</c:v>
                </c:pt>
                <c:pt idx="142">
                  <c:v>-2402</c:v>
                </c:pt>
                <c:pt idx="143">
                  <c:v>-2401</c:v>
                </c:pt>
                <c:pt idx="144">
                  <c:v>-2400</c:v>
                </c:pt>
                <c:pt idx="145">
                  <c:v>-2399</c:v>
                </c:pt>
                <c:pt idx="146">
                  <c:v>-2398</c:v>
                </c:pt>
                <c:pt idx="147">
                  <c:v>-2397</c:v>
                </c:pt>
                <c:pt idx="148">
                  <c:v>-2396</c:v>
                </c:pt>
                <c:pt idx="149">
                  <c:v>-2499</c:v>
                </c:pt>
                <c:pt idx="150">
                  <c:v>-2498</c:v>
                </c:pt>
                <c:pt idx="151">
                  <c:v>-2497</c:v>
                </c:pt>
                <c:pt idx="152">
                  <c:v>-2496</c:v>
                </c:pt>
                <c:pt idx="153">
                  <c:v>-2495</c:v>
                </c:pt>
                <c:pt idx="154">
                  <c:v>-2494</c:v>
                </c:pt>
                <c:pt idx="155">
                  <c:v>-2493</c:v>
                </c:pt>
                <c:pt idx="156">
                  <c:v>-2492</c:v>
                </c:pt>
                <c:pt idx="157">
                  <c:v>-2491</c:v>
                </c:pt>
                <c:pt idx="158">
                  <c:v>-2490</c:v>
                </c:pt>
                <c:pt idx="159">
                  <c:v>-2489</c:v>
                </c:pt>
                <c:pt idx="160">
                  <c:v>-2488</c:v>
                </c:pt>
                <c:pt idx="161">
                  <c:v>-2487</c:v>
                </c:pt>
                <c:pt idx="162">
                  <c:v>-2486</c:v>
                </c:pt>
                <c:pt idx="163">
                  <c:v>-2485</c:v>
                </c:pt>
                <c:pt idx="164">
                  <c:v>-2484</c:v>
                </c:pt>
                <c:pt idx="165">
                  <c:v>-2483</c:v>
                </c:pt>
                <c:pt idx="166">
                  <c:v>-2482</c:v>
                </c:pt>
                <c:pt idx="167">
                  <c:v>-2481</c:v>
                </c:pt>
                <c:pt idx="168">
                  <c:v>-2480</c:v>
                </c:pt>
                <c:pt idx="169">
                  <c:v>-2479</c:v>
                </c:pt>
                <c:pt idx="170">
                  <c:v>-2478</c:v>
                </c:pt>
                <c:pt idx="171">
                  <c:v>-2477</c:v>
                </c:pt>
                <c:pt idx="172">
                  <c:v>-2476</c:v>
                </c:pt>
                <c:pt idx="173">
                  <c:v>-2475</c:v>
                </c:pt>
                <c:pt idx="174">
                  <c:v>-2474</c:v>
                </c:pt>
                <c:pt idx="175">
                  <c:v>-2473</c:v>
                </c:pt>
                <c:pt idx="176">
                  <c:v>-2472</c:v>
                </c:pt>
                <c:pt idx="177">
                  <c:v>-2471</c:v>
                </c:pt>
                <c:pt idx="178">
                  <c:v>-2470</c:v>
                </c:pt>
                <c:pt idx="179">
                  <c:v>-2469</c:v>
                </c:pt>
                <c:pt idx="180">
                  <c:v>-2468</c:v>
                </c:pt>
                <c:pt idx="181">
                  <c:v>-2467</c:v>
                </c:pt>
                <c:pt idx="182">
                  <c:v>-2466</c:v>
                </c:pt>
                <c:pt idx="183">
                  <c:v>-2465</c:v>
                </c:pt>
                <c:pt idx="184">
                  <c:v>-2464</c:v>
                </c:pt>
                <c:pt idx="185">
                  <c:v>-2463</c:v>
                </c:pt>
                <c:pt idx="186">
                  <c:v>-2462</c:v>
                </c:pt>
                <c:pt idx="187">
                  <c:v>-2461</c:v>
                </c:pt>
                <c:pt idx="188">
                  <c:v>-2460</c:v>
                </c:pt>
                <c:pt idx="189">
                  <c:v>-2459</c:v>
                </c:pt>
                <c:pt idx="190">
                  <c:v>-2458</c:v>
                </c:pt>
                <c:pt idx="191">
                  <c:v>-2457</c:v>
                </c:pt>
                <c:pt idx="192">
                  <c:v>-2456</c:v>
                </c:pt>
                <c:pt idx="193">
                  <c:v>-2455</c:v>
                </c:pt>
                <c:pt idx="194">
                  <c:v>-2454</c:v>
                </c:pt>
                <c:pt idx="195">
                  <c:v>-2453</c:v>
                </c:pt>
                <c:pt idx="196">
                  <c:v>-2452</c:v>
                </c:pt>
                <c:pt idx="197">
                  <c:v>-2451</c:v>
                </c:pt>
                <c:pt idx="198">
                  <c:v>-2450</c:v>
                </c:pt>
                <c:pt idx="199">
                  <c:v>-2449</c:v>
                </c:pt>
                <c:pt idx="200">
                  <c:v>-2448</c:v>
                </c:pt>
                <c:pt idx="201">
                  <c:v>-2551</c:v>
                </c:pt>
                <c:pt idx="202">
                  <c:v>-2550</c:v>
                </c:pt>
                <c:pt idx="203">
                  <c:v>-2549</c:v>
                </c:pt>
                <c:pt idx="204">
                  <c:v>-2548</c:v>
                </c:pt>
                <c:pt idx="205">
                  <c:v>-2547</c:v>
                </c:pt>
                <c:pt idx="206">
                  <c:v>-2546</c:v>
                </c:pt>
                <c:pt idx="207">
                  <c:v>-2545</c:v>
                </c:pt>
                <c:pt idx="208">
                  <c:v>-2544</c:v>
                </c:pt>
                <c:pt idx="209">
                  <c:v>-2543</c:v>
                </c:pt>
                <c:pt idx="210">
                  <c:v>-2542</c:v>
                </c:pt>
                <c:pt idx="211">
                  <c:v>-2541</c:v>
                </c:pt>
                <c:pt idx="212">
                  <c:v>-2540</c:v>
                </c:pt>
                <c:pt idx="213">
                  <c:v>-2539</c:v>
                </c:pt>
                <c:pt idx="214">
                  <c:v>-2538</c:v>
                </c:pt>
                <c:pt idx="215">
                  <c:v>-2537</c:v>
                </c:pt>
                <c:pt idx="216">
                  <c:v>-2536</c:v>
                </c:pt>
                <c:pt idx="217">
                  <c:v>-2535</c:v>
                </c:pt>
                <c:pt idx="218">
                  <c:v>-2534</c:v>
                </c:pt>
                <c:pt idx="219">
                  <c:v>-2533</c:v>
                </c:pt>
                <c:pt idx="220">
                  <c:v>-2532</c:v>
                </c:pt>
                <c:pt idx="221">
                  <c:v>-2531</c:v>
                </c:pt>
                <c:pt idx="222">
                  <c:v>-2530</c:v>
                </c:pt>
                <c:pt idx="223">
                  <c:v>-2529</c:v>
                </c:pt>
                <c:pt idx="224">
                  <c:v>-2528</c:v>
                </c:pt>
                <c:pt idx="225">
                  <c:v>-2527</c:v>
                </c:pt>
                <c:pt idx="226">
                  <c:v>-2526</c:v>
                </c:pt>
                <c:pt idx="227">
                  <c:v>-2525</c:v>
                </c:pt>
                <c:pt idx="228">
                  <c:v>-2524</c:v>
                </c:pt>
                <c:pt idx="229">
                  <c:v>-2523</c:v>
                </c:pt>
                <c:pt idx="230">
                  <c:v>-2522</c:v>
                </c:pt>
                <c:pt idx="231">
                  <c:v>-2521</c:v>
                </c:pt>
                <c:pt idx="232">
                  <c:v>-2520</c:v>
                </c:pt>
                <c:pt idx="233">
                  <c:v>-2519</c:v>
                </c:pt>
                <c:pt idx="234">
                  <c:v>-2518</c:v>
                </c:pt>
                <c:pt idx="235">
                  <c:v>-2517</c:v>
                </c:pt>
                <c:pt idx="236">
                  <c:v>-2516</c:v>
                </c:pt>
                <c:pt idx="237">
                  <c:v>-2515</c:v>
                </c:pt>
                <c:pt idx="238">
                  <c:v>-2514</c:v>
                </c:pt>
                <c:pt idx="239">
                  <c:v>-2513</c:v>
                </c:pt>
                <c:pt idx="240">
                  <c:v>-2512</c:v>
                </c:pt>
                <c:pt idx="241">
                  <c:v>-2511</c:v>
                </c:pt>
                <c:pt idx="242">
                  <c:v>-2510</c:v>
                </c:pt>
                <c:pt idx="243">
                  <c:v>-2509</c:v>
                </c:pt>
                <c:pt idx="244">
                  <c:v>-2508</c:v>
                </c:pt>
                <c:pt idx="245">
                  <c:v>-2507</c:v>
                </c:pt>
                <c:pt idx="246">
                  <c:v>-2506</c:v>
                </c:pt>
                <c:pt idx="247">
                  <c:v>-2505</c:v>
                </c:pt>
                <c:pt idx="248">
                  <c:v>-2504</c:v>
                </c:pt>
                <c:pt idx="249">
                  <c:v>-2503</c:v>
                </c:pt>
                <c:pt idx="250">
                  <c:v>-2502</c:v>
                </c:pt>
                <c:pt idx="251">
                  <c:v>-2501</c:v>
                </c:pt>
                <c:pt idx="252">
                  <c:v>-2500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DB-4158-885C-835ADB8AEF4F}"/>
            </c:ext>
          </c:extLst>
        </c:ser>
        <c:ser>
          <c:idx val="1"/>
          <c:order val="1"/>
          <c:tx>
            <c:strRef>
              <c:f>Sheet6!$B$1</c:f>
              <c:strCache>
                <c:ptCount val="1"/>
                <c:pt idx="0">
                  <c:v>WSS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Sheet6!$B$2:$B$255</c:f>
              <c:numCache>
                <c:formatCode>General</c:formatCode>
                <c:ptCount val="254"/>
                <c:pt idx="0">
                  <c:v>-2117</c:v>
                </c:pt>
                <c:pt idx="1">
                  <c:v>-2116</c:v>
                </c:pt>
                <c:pt idx="2">
                  <c:v>-2115</c:v>
                </c:pt>
                <c:pt idx="3">
                  <c:v>-2114</c:v>
                </c:pt>
                <c:pt idx="4">
                  <c:v>-2113</c:v>
                </c:pt>
                <c:pt idx="5">
                  <c:v>-2112</c:v>
                </c:pt>
                <c:pt idx="6">
                  <c:v>-2111</c:v>
                </c:pt>
                <c:pt idx="7">
                  <c:v>-2110</c:v>
                </c:pt>
                <c:pt idx="8">
                  <c:v>-2109</c:v>
                </c:pt>
                <c:pt idx="9">
                  <c:v>-2108</c:v>
                </c:pt>
                <c:pt idx="10">
                  <c:v>-2107</c:v>
                </c:pt>
                <c:pt idx="11">
                  <c:v>-2106</c:v>
                </c:pt>
                <c:pt idx="12">
                  <c:v>-2105</c:v>
                </c:pt>
                <c:pt idx="13">
                  <c:v>-2104</c:v>
                </c:pt>
                <c:pt idx="14">
                  <c:v>-2103</c:v>
                </c:pt>
                <c:pt idx="15">
                  <c:v>-2102</c:v>
                </c:pt>
                <c:pt idx="16">
                  <c:v>-2101</c:v>
                </c:pt>
                <c:pt idx="17">
                  <c:v>-2100</c:v>
                </c:pt>
                <c:pt idx="18">
                  <c:v>-2099</c:v>
                </c:pt>
                <c:pt idx="19">
                  <c:v>-2098</c:v>
                </c:pt>
                <c:pt idx="20">
                  <c:v>-2097</c:v>
                </c:pt>
                <c:pt idx="21">
                  <c:v>-2096</c:v>
                </c:pt>
                <c:pt idx="22">
                  <c:v>-2095</c:v>
                </c:pt>
                <c:pt idx="23">
                  <c:v>-2094</c:v>
                </c:pt>
                <c:pt idx="24">
                  <c:v>-2093</c:v>
                </c:pt>
                <c:pt idx="25">
                  <c:v>-2092</c:v>
                </c:pt>
                <c:pt idx="26">
                  <c:v>-2091</c:v>
                </c:pt>
                <c:pt idx="27">
                  <c:v>-2090</c:v>
                </c:pt>
                <c:pt idx="28">
                  <c:v>-2089</c:v>
                </c:pt>
                <c:pt idx="29">
                  <c:v>-2088</c:v>
                </c:pt>
                <c:pt idx="30">
                  <c:v>-2087</c:v>
                </c:pt>
                <c:pt idx="31">
                  <c:v>-2086</c:v>
                </c:pt>
                <c:pt idx="32">
                  <c:v>-2085</c:v>
                </c:pt>
                <c:pt idx="33">
                  <c:v>-2084</c:v>
                </c:pt>
                <c:pt idx="34">
                  <c:v>-2083</c:v>
                </c:pt>
                <c:pt idx="35">
                  <c:v>-2082</c:v>
                </c:pt>
                <c:pt idx="36">
                  <c:v>-2081</c:v>
                </c:pt>
                <c:pt idx="37">
                  <c:v>-2080</c:v>
                </c:pt>
                <c:pt idx="38">
                  <c:v>-2079</c:v>
                </c:pt>
                <c:pt idx="39">
                  <c:v>-2078</c:v>
                </c:pt>
                <c:pt idx="40">
                  <c:v>-2181</c:v>
                </c:pt>
                <c:pt idx="41">
                  <c:v>-2180</c:v>
                </c:pt>
                <c:pt idx="42">
                  <c:v>-2179</c:v>
                </c:pt>
                <c:pt idx="43">
                  <c:v>-2178</c:v>
                </c:pt>
                <c:pt idx="44">
                  <c:v>-2177</c:v>
                </c:pt>
                <c:pt idx="45">
                  <c:v>-2176</c:v>
                </c:pt>
                <c:pt idx="46">
                  <c:v>-2175</c:v>
                </c:pt>
                <c:pt idx="47">
                  <c:v>-2174</c:v>
                </c:pt>
                <c:pt idx="48">
                  <c:v>-2173</c:v>
                </c:pt>
                <c:pt idx="49">
                  <c:v>-2172</c:v>
                </c:pt>
                <c:pt idx="50">
                  <c:v>-2171</c:v>
                </c:pt>
                <c:pt idx="51">
                  <c:v>-2170</c:v>
                </c:pt>
                <c:pt idx="52">
                  <c:v>-2169</c:v>
                </c:pt>
                <c:pt idx="53">
                  <c:v>-2168</c:v>
                </c:pt>
                <c:pt idx="54">
                  <c:v>-2167</c:v>
                </c:pt>
                <c:pt idx="55">
                  <c:v>-2166</c:v>
                </c:pt>
                <c:pt idx="56">
                  <c:v>-2165</c:v>
                </c:pt>
                <c:pt idx="57">
                  <c:v>-2164</c:v>
                </c:pt>
                <c:pt idx="58">
                  <c:v>-2163</c:v>
                </c:pt>
                <c:pt idx="59">
                  <c:v>-2162</c:v>
                </c:pt>
                <c:pt idx="60">
                  <c:v>-2161</c:v>
                </c:pt>
                <c:pt idx="61">
                  <c:v>-2160</c:v>
                </c:pt>
                <c:pt idx="62">
                  <c:v>-2159</c:v>
                </c:pt>
                <c:pt idx="63">
                  <c:v>-2158</c:v>
                </c:pt>
                <c:pt idx="64">
                  <c:v>-2157</c:v>
                </c:pt>
                <c:pt idx="65">
                  <c:v>-2156</c:v>
                </c:pt>
                <c:pt idx="66">
                  <c:v>-2155</c:v>
                </c:pt>
                <c:pt idx="67">
                  <c:v>-2154</c:v>
                </c:pt>
                <c:pt idx="68">
                  <c:v>-2153</c:v>
                </c:pt>
                <c:pt idx="69">
                  <c:v>-2152</c:v>
                </c:pt>
                <c:pt idx="70">
                  <c:v>-2151</c:v>
                </c:pt>
                <c:pt idx="71">
                  <c:v>-2150</c:v>
                </c:pt>
                <c:pt idx="72">
                  <c:v>-2149</c:v>
                </c:pt>
                <c:pt idx="73">
                  <c:v>-2148</c:v>
                </c:pt>
                <c:pt idx="74">
                  <c:v>-2147</c:v>
                </c:pt>
                <c:pt idx="75">
                  <c:v>-2146</c:v>
                </c:pt>
                <c:pt idx="76">
                  <c:v>-2145</c:v>
                </c:pt>
                <c:pt idx="77">
                  <c:v>-2144</c:v>
                </c:pt>
                <c:pt idx="78">
                  <c:v>-2143</c:v>
                </c:pt>
                <c:pt idx="79">
                  <c:v>-2142</c:v>
                </c:pt>
                <c:pt idx="80">
                  <c:v>-2141</c:v>
                </c:pt>
                <c:pt idx="81">
                  <c:v>-2140</c:v>
                </c:pt>
                <c:pt idx="82">
                  <c:v>-2139</c:v>
                </c:pt>
                <c:pt idx="83">
                  <c:v>-2138</c:v>
                </c:pt>
                <c:pt idx="84">
                  <c:v>-2137</c:v>
                </c:pt>
                <c:pt idx="85">
                  <c:v>-2136</c:v>
                </c:pt>
                <c:pt idx="86">
                  <c:v>-2135</c:v>
                </c:pt>
                <c:pt idx="87">
                  <c:v>-2134</c:v>
                </c:pt>
                <c:pt idx="88">
                  <c:v>-2133</c:v>
                </c:pt>
                <c:pt idx="89">
                  <c:v>-2132</c:v>
                </c:pt>
                <c:pt idx="90">
                  <c:v>-2131</c:v>
                </c:pt>
                <c:pt idx="91">
                  <c:v>-2130</c:v>
                </c:pt>
                <c:pt idx="92">
                  <c:v>-2233</c:v>
                </c:pt>
                <c:pt idx="93">
                  <c:v>-2232</c:v>
                </c:pt>
                <c:pt idx="94">
                  <c:v>-2231</c:v>
                </c:pt>
                <c:pt idx="95">
                  <c:v>-2230</c:v>
                </c:pt>
                <c:pt idx="96">
                  <c:v>-2229</c:v>
                </c:pt>
                <c:pt idx="97">
                  <c:v>-2228</c:v>
                </c:pt>
                <c:pt idx="98">
                  <c:v>-2227</c:v>
                </c:pt>
                <c:pt idx="99">
                  <c:v>-2226</c:v>
                </c:pt>
                <c:pt idx="100">
                  <c:v>-2225</c:v>
                </c:pt>
                <c:pt idx="101">
                  <c:v>-2224</c:v>
                </c:pt>
                <c:pt idx="102">
                  <c:v>-2223</c:v>
                </c:pt>
                <c:pt idx="103">
                  <c:v>-2222</c:v>
                </c:pt>
                <c:pt idx="104">
                  <c:v>-2221</c:v>
                </c:pt>
                <c:pt idx="105">
                  <c:v>-2220</c:v>
                </c:pt>
                <c:pt idx="106">
                  <c:v>-2219</c:v>
                </c:pt>
                <c:pt idx="107">
                  <c:v>-2218</c:v>
                </c:pt>
                <c:pt idx="108">
                  <c:v>-2217</c:v>
                </c:pt>
                <c:pt idx="109">
                  <c:v>-2216</c:v>
                </c:pt>
                <c:pt idx="110">
                  <c:v>-2215</c:v>
                </c:pt>
                <c:pt idx="111">
                  <c:v>-2214</c:v>
                </c:pt>
                <c:pt idx="112">
                  <c:v>-2213</c:v>
                </c:pt>
                <c:pt idx="113">
                  <c:v>-2212</c:v>
                </c:pt>
                <c:pt idx="114">
                  <c:v>-2211</c:v>
                </c:pt>
                <c:pt idx="115">
                  <c:v>-2210</c:v>
                </c:pt>
                <c:pt idx="116">
                  <c:v>-2209</c:v>
                </c:pt>
                <c:pt idx="117">
                  <c:v>-2208</c:v>
                </c:pt>
                <c:pt idx="118">
                  <c:v>-2207</c:v>
                </c:pt>
                <c:pt idx="119">
                  <c:v>-2206</c:v>
                </c:pt>
                <c:pt idx="120">
                  <c:v>-2205</c:v>
                </c:pt>
                <c:pt idx="121">
                  <c:v>-2204</c:v>
                </c:pt>
                <c:pt idx="122">
                  <c:v>-2203</c:v>
                </c:pt>
                <c:pt idx="123">
                  <c:v>-2202</c:v>
                </c:pt>
                <c:pt idx="124">
                  <c:v>-2201</c:v>
                </c:pt>
                <c:pt idx="125">
                  <c:v>-2200</c:v>
                </c:pt>
                <c:pt idx="126">
                  <c:v>-2199</c:v>
                </c:pt>
                <c:pt idx="127">
                  <c:v>-2198</c:v>
                </c:pt>
                <c:pt idx="128">
                  <c:v>-2197</c:v>
                </c:pt>
                <c:pt idx="129">
                  <c:v>-2196</c:v>
                </c:pt>
                <c:pt idx="130">
                  <c:v>-2195</c:v>
                </c:pt>
                <c:pt idx="131">
                  <c:v>-2194</c:v>
                </c:pt>
                <c:pt idx="132">
                  <c:v>-2193</c:v>
                </c:pt>
                <c:pt idx="133">
                  <c:v>-2192</c:v>
                </c:pt>
                <c:pt idx="134">
                  <c:v>-2191</c:v>
                </c:pt>
                <c:pt idx="135">
                  <c:v>-2190</c:v>
                </c:pt>
                <c:pt idx="136">
                  <c:v>-2189</c:v>
                </c:pt>
                <c:pt idx="137">
                  <c:v>-2188</c:v>
                </c:pt>
                <c:pt idx="138">
                  <c:v>-2187</c:v>
                </c:pt>
                <c:pt idx="139">
                  <c:v>-2186</c:v>
                </c:pt>
                <c:pt idx="140">
                  <c:v>-2185</c:v>
                </c:pt>
                <c:pt idx="141">
                  <c:v>-2184</c:v>
                </c:pt>
                <c:pt idx="142">
                  <c:v>-2183</c:v>
                </c:pt>
                <c:pt idx="143">
                  <c:v>-2182</c:v>
                </c:pt>
                <c:pt idx="144">
                  <c:v>-2285</c:v>
                </c:pt>
                <c:pt idx="145">
                  <c:v>-2284</c:v>
                </c:pt>
                <c:pt idx="146">
                  <c:v>-2283</c:v>
                </c:pt>
                <c:pt idx="147">
                  <c:v>-2282</c:v>
                </c:pt>
                <c:pt idx="148">
                  <c:v>-2281</c:v>
                </c:pt>
                <c:pt idx="149">
                  <c:v>-2280</c:v>
                </c:pt>
                <c:pt idx="150">
                  <c:v>-2279</c:v>
                </c:pt>
                <c:pt idx="151">
                  <c:v>-2278</c:v>
                </c:pt>
                <c:pt idx="152">
                  <c:v>-2277</c:v>
                </c:pt>
                <c:pt idx="153">
                  <c:v>-2276</c:v>
                </c:pt>
                <c:pt idx="154">
                  <c:v>-2275</c:v>
                </c:pt>
                <c:pt idx="155">
                  <c:v>-2274</c:v>
                </c:pt>
                <c:pt idx="156">
                  <c:v>-2273</c:v>
                </c:pt>
                <c:pt idx="157">
                  <c:v>-2272</c:v>
                </c:pt>
                <c:pt idx="158">
                  <c:v>-2271</c:v>
                </c:pt>
                <c:pt idx="159">
                  <c:v>-2270</c:v>
                </c:pt>
                <c:pt idx="160">
                  <c:v>-2269</c:v>
                </c:pt>
                <c:pt idx="161">
                  <c:v>-2268</c:v>
                </c:pt>
                <c:pt idx="162">
                  <c:v>-2267</c:v>
                </c:pt>
                <c:pt idx="163">
                  <c:v>-2266</c:v>
                </c:pt>
                <c:pt idx="164">
                  <c:v>-2265</c:v>
                </c:pt>
                <c:pt idx="165">
                  <c:v>-2264</c:v>
                </c:pt>
                <c:pt idx="166">
                  <c:v>-2263</c:v>
                </c:pt>
                <c:pt idx="167">
                  <c:v>-2262</c:v>
                </c:pt>
                <c:pt idx="168">
                  <c:v>-2261</c:v>
                </c:pt>
                <c:pt idx="169">
                  <c:v>-2260</c:v>
                </c:pt>
                <c:pt idx="170">
                  <c:v>-2259</c:v>
                </c:pt>
                <c:pt idx="171">
                  <c:v>-2258</c:v>
                </c:pt>
                <c:pt idx="172">
                  <c:v>-2257</c:v>
                </c:pt>
                <c:pt idx="173">
                  <c:v>-2256</c:v>
                </c:pt>
                <c:pt idx="174">
                  <c:v>-2255</c:v>
                </c:pt>
                <c:pt idx="175">
                  <c:v>-2254</c:v>
                </c:pt>
                <c:pt idx="176">
                  <c:v>-2253</c:v>
                </c:pt>
                <c:pt idx="177">
                  <c:v>-2252</c:v>
                </c:pt>
                <c:pt idx="178">
                  <c:v>-2251</c:v>
                </c:pt>
                <c:pt idx="179">
                  <c:v>-2250</c:v>
                </c:pt>
                <c:pt idx="180">
                  <c:v>-2249</c:v>
                </c:pt>
                <c:pt idx="181">
                  <c:v>-2248</c:v>
                </c:pt>
                <c:pt idx="182">
                  <c:v>-2247</c:v>
                </c:pt>
                <c:pt idx="183">
                  <c:v>-2246</c:v>
                </c:pt>
                <c:pt idx="184">
                  <c:v>-2245</c:v>
                </c:pt>
                <c:pt idx="185">
                  <c:v>-2244</c:v>
                </c:pt>
                <c:pt idx="186">
                  <c:v>-2243</c:v>
                </c:pt>
                <c:pt idx="187">
                  <c:v>-2242</c:v>
                </c:pt>
                <c:pt idx="188">
                  <c:v>-2241</c:v>
                </c:pt>
                <c:pt idx="189">
                  <c:v>-2240</c:v>
                </c:pt>
                <c:pt idx="190">
                  <c:v>-2239</c:v>
                </c:pt>
                <c:pt idx="191">
                  <c:v>-2238</c:v>
                </c:pt>
                <c:pt idx="192">
                  <c:v>-2237</c:v>
                </c:pt>
                <c:pt idx="193">
                  <c:v>-2236</c:v>
                </c:pt>
                <c:pt idx="194">
                  <c:v>-2235</c:v>
                </c:pt>
                <c:pt idx="195">
                  <c:v>-2234</c:v>
                </c:pt>
                <c:pt idx="196">
                  <c:v>-2337</c:v>
                </c:pt>
                <c:pt idx="197">
                  <c:v>-2336</c:v>
                </c:pt>
                <c:pt idx="198">
                  <c:v>-2335</c:v>
                </c:pt>
                <c:pt idx="199">
                  <c:v>-2334</c:v>
                </c:pt>
                <c:pt idx="200">
                  <c:v>-2333</c:v>
                </c:pt>
                <c:pt idx="201">
                  <c:v>-2332</c:v>
                </c:pt>
                <c:pt idx="202">
                  <c:v>-2331</c:v>
                </c:pt>
                <c:pt idx="203">
                  <c:v>-2330</c:v>
                </c:pt>
                <c:pt idx="204">
                  <c:v>-2329</c:v>
                </c:pt>
                <c:pt idx="205">
                  <c:v>-2328</c:v>
                </c:pt>
                <c:pt idx="206">
                  <c:v>-2327</c:v>
                </c:pt>
                <c:pt idx="207">
                  <c:v>-2326</c:v>
                </c:pt>
                <c:pt idx="208">
                  <c:v>-2325</c:v>
                </c:pt>
                <c:pt idx="209">
                  <c:v>-2324</c:v>
                </c:pt>
                <c:pt idx="210">
                  <c:v>-2323</c:v>
                </c:pt>
                <c:pt idx="211">
                  <c:v>-2322</c:v>
                </c:pt>
                <c:pt idx="212">
                  <c:v>-2321</c:v>
                </c:pt>
                <c:pt idx="213">
                  <c:v>-2320</c:v>
                </c:pt>
                <c:pt idx="214">
                  <c:v>-2319</c:v>
                </c:pt>
                <c:pt idx="215">
                  <c:v>-2318</c:v>
                </c:pt>
                <c:pt idx="216">
                  <c:v>-2317</c:v>
                </c:pt>
                <c:pt idx="217">
                  <c:v>-2316</c:v>
                </c:pt>
                <c:pt idx="218">
                  <c:v>-2315</c:v>
                </c:pt>
                <c:pt idx="219">
                  <c:v>-2314</c:v>
                </c:pt>
                <c:pt idx="220">
                  <c:v>-2313</c:v>
                </c:pt>
                <c:pt idx="221">
                  <c:v>-2312</c:v>
                </c:pt>
                <c:pt idx="222">
                  <c:v>-2311</c:v>
                </c:pt>
                <c:pt idx="223">
                  <c:v>-2310</c:v>
                </c:pt>
                <c:pt idx="224">
                  <c:v>-2309</c:v>
                </c:pt>
                <c:pt idx="225">
                  <c:v>-2308</c:v>
                </c:pt>
                <c:pt idx="226">
                  <c:v>-2307</c:v>
                </c:pt>
                <c:pt idx="227">
                  <c:v>-2306</c:v>
                </c:pt>
                <c:pt idx="228">
                  <c:v>-2305</c:v>
                </c:pt>
                <c:pt idx="229">
                  <c:v>-2304</c:v>
                </c:pt>
                <c:pt idx="230">
                  <c:v>-2303</c:v>
                </c:pt>
                <c:pt idx="231">
                  <c:v>-2302</c:v>
                </c:pt>
                <c:pt idx="232">
                  <c:v>-2301</c:v>
                </c:pt>
                <c:pt idx="233">
                  <c:v>-2300</c:v>
                </c:pt>
                <c:pt idx="234">
                  <c:v>-2299</c:v>
                </c:pt>
                <c:pt idx="235">
                  <c:v>-2298</c:v>
                </c:pt>
                <c:pt idx="236">
                  <c:v>-2297</c:v>
                </c:pt>
                <c:pt idx="237">
                  <c:v>-2296</c:v>
                </c:pt>
                <c:pt idx="238">
                  <c:v>-2295</c:v>
                </c:pt>
                <c:pt idx="239">
                  <c:v>-2294</c:v>
                </c:pt>
                <c:pt idx="240">
                  <c:v>-2293</c:v>
                </c:pt>
                <c:pt idx="241">
                  <c:v>-2292</c:v>
                </c:pt>
                <c:pt idx="242">
                  <c:v>-2291</c:v>
                </c:pt>
                <c:pt idx="243">
                  <c:v>-2290</c:v>
                </c:pt>
                <c:pt idx="244">
                  <c:v>-2289</c:v>
                </c:pt>
                <c:pt idx="245">
                  <c:v>-2288</c:v>
                </c:pt>
                <c:pt idx="246">
                  <c:v>-2287</c:v>
                </c:pt>
                <c:pt idx="247">
                  <c:v>-2286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DB-4158-885C-835ADB8AE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9824752"/>
        <c:axId val="1419825712"/>
      </c:lineChart>
      <c:catAx>
        <c:axId val="141982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825712"/>
        <c:crosses val="autoZero"/>
        <c:auto val="1"/>
        <c:lblAlgn val="ctr"/>
        <c:lblOffset val="100"/>
        <c:noMultiLvlLbl val="0"/>
      </c:catAx>
      <c:valAx>
        <c:axId val="1419825712"/>
        <c:scaling>
          <c:orientation val="minMax"/>
          <c:max val="-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82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999547</xdr:colOff>
      <xdr:row>17</xdr:row>
      <xdr:rowOff>110598</xdr:rowOff>
    </xdr:from>
    <xdr:to>
      <xdr:col>12</xdr:col>
      <xdr:colOff>395788</xdr:colOff>
      <xdr:row>51</xdr:row>
      <xdr:rowOff>177273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6F2AE9-20A5-BDE3-1F3C-46BDEE101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492123</xdr:colOff>
      <xdr:row>4</xdr:row>
      <xdr:rowOff>88900</xdr:rowOff>
    </xdr:from>
    <xdr:to>
      <xdr:col>9</xdr:col>
      <xdr:colOff>517523</xdr:colOff>
      <xdr:row>38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FAE376-D296-8E53-DA7E-F431FF84E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527051</xdr:colOff>
      <xdr:row>3</xdr:row>
      <xdr:rowOff>158751</xdr:rowOff>
    </xdr:from>
    <xdr:to>
      <xdr:col>20</xdr:col>
      <xdr:colOff>222251</xdr:colOff>
      <xdr:row>18</xdr:row>
      <xdr:rowOff>139701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A8E991-6910-4E24-9464-3CF4DD476B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120650</xdr:colOff>
      <xdr:row>0</xdr:row>
      <xdr:rowOff>95250</xdr:rowOff>
    </xdr:from>
    <xdr:to>
      <xdr:col>13</xdr:col>
      <xdr:colOff>263525</xdr:colOff>
      <xdr:row>21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4A981B-5D47-4809-8F83-96F7E45C64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550F0-E6C0-42A7-AA80-D1EA480ED15D}">
  <sheetPr filterMode="1"/>
  <dimension ref="A1:N508"/>
  <sheetViews>
    <sheetView tabSelected="1" topLeftCell="E10" zoomScale="181" workbookViewId="0">
      <selection activeCell="N4" sqref="N4"/>
    </sheetView>
  </sheetViews>
  <sheetFormatPr defaultRowHeight="14.5" x14ac:dyDescent="0.35"/>
  <cols>
    <col min="1" max="1" width="3.6328125" style="4" customWidth="1"/>
    <col min="2" max="2" width="13.90625" style="2" bestFit="1" customWidth="1"/>
    <col min="3" max="3" width="5.54296875" style="2" bestFit="1" customWidth="1"/>
    <col min="4" max="4" width="10.81640625" style="2" bestFit="1" customWidth="1"/>
    <col min="5" max="5" width="12.1796875" style="2" bestFit="1" customWidth="1"/>
    <col min="6" max="6" width="14" style="2" bestFit="1" customWidth="1"/>
    <col min="7" max="7" width="20.453125" style="2" bestFit="1" customWidth="1"/>
    <col min="8" max="8" width="25.54296875" style="2" bestFit="1" customWidth="1"/>
    <col min="9" max="9" width="18.1796875" style="2" bestFit="1" customWidth="1"/>
    <col min="10" max="10" width="12.54296875" style="2" bestFit="1" customWidth="1"/>
    <col min="11" max="11" width="15.90625" style="2" bestFit="1" customWidth="1"/>
    <col min="12" max="12" width="14.90625" style="2" bestFit="1" customWidth="1"/>
    <col min="13" max="16384" width="8.7265625" style="2"/>
  </cols>
  <sheetData>
    <row r="1" spans="1:14" s="9" customFormat="1" x14ac:dyDescent="0.35">
      <c r="A1" s="7"/>
      <c r="B1" s="8" t="s">
        <v>12</v>
      </c>
      <c r="C1" s="8" t="s">
        <v>11</v>
      </c>
      <c r="D1" s="8" t="s">
        <v>518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</v>
      </c>
      <c r="K1" s="8" t="s">
        <v>2</v>
      </c>
      <c r="L1" s="8" t="s">
        <v>3</v>
      </c>
    </row>
    <row r="2" spans="1:14" x14ac:dyDescent="0.35">
      <c r="A2" s="4" t="s">
        <v>13</v>
      </c>
      <c r="B2" s="1" t="str">
        <f>_xlfn.TEXTBEFORE(_xlfn.TEXTAFTER(A2,"["),"]")</f>
        <v>Lago Paranoa</v>
      </c>
      <c r="C2" s="1">
        <f>--_xlfn.TEXTBEFORE(_xlfn.TEXTAFTER(A2,"Week "),":")</f>
        <v>-2336</v>
      </c>
      <c r="D2" s="2">
        <v>0</v>
      </c>
      <c r="E2" s="2">
        <v>2302.4499999999998</v>
      </c>
      <c r="F2" s="2">
        <v>0.2185</v>
      </c>
      <c r="G2" s="2">
        <v>2.6791</v>
      </c>
      <c r="H2" s="2">
        <v>6.1542000000000003</v>
      </c>
      <c r="I2" s="2">
        <v>0.94820000000000004</v>
      </c>
      <c r="J2" s="2">
        <v>7.6665999999999999</v>
      </c>
      <c r="K2" s="2">
        <v>2302.4499999999998</v>
      </c>
      <c r="L2" s="2">
        <v>0</v>
      </c>
      <c r="N2" s="2">
        <f>52*50</f>
        <v>2600</v>
      </c>
    </row>
    <row r="3" spans="1:14" hidden="1" x14ac:dyDescent="0.35">
      <c r="A3" s="4" t="s">
        <v>14</v>
      </c>
      <c r="B3" s="1" t="str">
        <f t="shared" ref="B3:B66" si="0">_xlfn.TEXTBEFORE(_xlfn.TEXTAFTER(A3,"["),"]")</f>
        <v>Corumba IV</v>
      </c>
      <c r="C3" s="1">
        <f t="shared" ref="C3:C66" si="1">--_xlfn.TEXTBEFORE(_xlfn.TEXTAFTER(A3,"Week "),":")</f>
        <v>-2335</v>
      </c>
      <c r="D3" s="2">
        <v>0</v>
      </c>
      <c r="E3" s="2">
        <v>0</v>
      </c>
      <c r="F3" s="2">
        <v>0</v>
      </c>
      <c r="G3" s="2">
        <v>0.3629</v>
      </c>
      <c r="H3" s="2">
        <v>56.465000000000003</v>
      </c>
      <c r="I3" s="2">
        <v>3.6311</v>
      </c>
      <c r="J3" s="2">
        <v>53.196800000000003</v>
      </c>
      <c r="K3" s="2">
        <v>0</v>
      </c>
      <c r="L3" s="2">
        <v>0</v>
      </c>
    </row>
    <row r="4" spans="1:14" x14ac:dyDescent="0.35">
      <c r="A4" s="4" t="s">
        <v>15</v>
      </c>
      <c r="B4" s="1" t="str">
        <f t="shared" si="0"/>
        <v>Lago Paranoa</v>
      </c>
      <c r="C4" s="1">
        <f t="shared" si="1"/>
        <v>-2335</v>
      </c>
      <c r="D4" s="2">
        <v>0</v>
      </c>
      <c r="E4" s="2">
        <v>2302.4499999999998</v>
      </c>
      <c r="F4" s="2">
        <v>0.2185</v>
      </c>
      <c r="G4" s="2">
        <v>3.2637999999999998</v>
      </c>
      <c r="H4" s="2">
        <v>7.0107999999999997</v>
      </c>
      <c r="I4" s="2">
        <v>0.9748</v>
      </c>
      <c r="J4" s="2">
        <v>9.0813000000000006</v>
      </c>
      <c r="K4" s="2">
        <v>2302.4499999999998</v>
      </c>
      <c r="L4" s="2">
        <v>0</v>
      </c>
      <c r="N4" s="2">
        <f>N2+2085</f>
        <v>4685</v>
      </c>
    </row>
    <row r="5" spans="1:14" hidden="1" x14ac:dyDescent="0.35">
      <c r="A5" s="4" t="s">
        <v>16</v>
      </c>
      <c r="B5" s="1" t="str">
        <f t="shared" si="0"/>
        <v>Corumba IV</v>
      </c>
      <c r="C5" s="1">
        <f t="shared" si="1"/>
        <v>-2334</v>
      </c>
      <c r="D5" s="2">
        <v>0</v>
      </c>
      <c r="E5" s="2">
        <v>0</v>
      </c>
      <c r="F5" s="2">
        <v>0</v>
      </c>
      <c r="G5" s="2">
        <v>0.3629</v>
      </c>
      <c r="H5" s="2">
        <v>67.116399999999999</v>
      </c>
      <c r="I5" s="2">
        <v>3.6311</v>
      </c>
      <c r="J5" s="2">
        <v>63.848199999999999</v>
      </c>
      <c r="K5" s="2">
        <v>0</v>
      </c>
      <c r="L5" s="2">
        <v>0</v>
      </c>
    </row>
    <row r="6" spans="1:14" x14ac:dyDescent="0.35">
      <c r="A6" s="4" t="s">
        <v>17</v>
      </c>
      <c r="B6" s="1" t="str">
        <f t="shared" si="0"/>
        <v>Lago Paranoa</v>
      </c>
      <c r="C6" s="1">
        <f t="shared" si="1"/>
        <v>-2334</v>
      </c>
      <c r="D6" s="2">
        <v>0</v>
      </c>
      <c r="E6" s="2">
        <v>2302.4499999999998</v>
      </c>
      <c r="F6" s="2">
        <v>0.21829999999999999</v>
      </c>
      <c r="G6" s="2">
        <v>3.4596</v>
      </c>
      <c r="H6" s="2">
        <v>7.6553000000000004</v>
      </c>
      <c r="I6" s="2">
        <v>0.9748</v>
      </c>
      <c r="J6" s="2">
        <v>9.9216999999999995</v>
      </c>
      <c r="K6" s="2">
        <v>2302.4499999999998</v>
      </c>
      <c r="L6" s="2">
        <v>0</v>
      </c>
    </row>
    <row r="7" spans="1:14" hidden="1" x14ac:dyDescent="0.35">
      <c r="A7" s="4" t="s">
        <v>18</v>
      </c>
      <c r="B7" s="1" t="str">
        <f t="shared" si="0"/>
        <v>Corumba IV</v>
      </c>
      <c r="C7" s="1">
        <f t="shared" si="1"/>
        <v>-2333</v>
      </c>
      <c r="D7" s="2">
        <v>0</v>
      </c>
      <c r="E7" s="2">
        <v>0</v>
      </c>
      <c r="F7" s="2">
        <v>0</v>
      </c>
      <c r="G7" s="2">
        <v>0.3629</v>
      </c>
      <c r="H7" s="2">
        <v>49.6126</v>
      </c>
      <c r="I7" s="2">
        <v>3.7622</v>
      </c>
      <c r="J7" s="2">
        <v>46.213299999999997</v>
      </c>
      <c r="K7" s="2">
        <v>0</v>
      </c>
      <c r="L7" s="2">
        <v>0</v>
      </c>
    </row>
    <row r="8" spans="1:14" x14ac:dyDescent="0.35">
      <c r="A8" s="4" t="s">
        <v>19</v>
      </c>
      <c r="B8" s="1" t="str">
        <f t="shared" si="0"/>
        <v>Lago Paranoa</v>
      </c>
      <c r="C8" s="1">
        <f t="shared" si="1"/>
        <v>-2333</v>
      </c>
      <c r="D8" s="2">
        <v>0</v>
      </c>
      <c r="E8" s="2">
        <v>2302.4499999999998</v>
      </c>
      <c r="F8" s="2">
        <v>0.21820000000000001</v>
      </c>
      <c r="G8" s="2">
        <v>3.0768</v>
      </c>
      <c r="H8" s="2">
        <v>8.0642999999999994</v>
      </c>
      <c r="I8" s="2">
        <v>1.0158</v>
      </c>
      <c r="J8" s="2">
        <v>9.9071999999999996</v>
      </c>
      <c r="K8" s="2">
        <v>2302.4499999999998</v>
      </c>
      <c r="L8" s="2">
        <v>0</v>
      </c>
    </row>
    <row r="9" spans="1:14" hidden="1" x14ac:dyDescent="0.35">
      <c r="A9" s="4" t="s">
        <v>20</v>
      </c>
      <c r="B9" s="1" t="str">
        <f t="shared" si="0"/>
        <v>Corumba IV</v>
      </c>
      <c r="C9" s="1">
        <f t="shared" si="1"/>
        <v>-2332</v>
      </c>
      <c r="D9" s="2">
        <v>0</v>
      </c>
      <c r="E9" s="2">
        <v>0</v>
      </c>
      <c r="F9" s="2">
        <v>0</v>
      </c>
      <c r="G9" s="2">
        <v>0.3629</v>
      </c>
      <c r="H9" s="2">
        <v>109.8965</v>
      </c>
      <c r="I9" s="2">
        <v>4.7068000000000003</v>
      </c>
      <c r="J9" s="2">
        <v>105.5526</v>
      </c>
      <c r="K9" s="2">
        <v>0</v>
      </c>
      <c r="L9" s="2">
        <v>0</v>
      </c>
    </row>
    <row r="10" spans="1:14" x14ac:dyDescent="0.35">
      <c r="A10" s="4" t="s">
        <v>21</v>
      </c>
      <c r="B10" s="1" t="str">
        <f t="shared" si="0"/>
        <v>Lago Paranoa</v>
      </c>
      <c r="C10" s="1">
        <f t="shared" si="1"/>
        <v>-2332</v>
      </c>
      <c r="D10" s="2">
        <v>0</v>
      </c>
      <c r="E10" s="2">
        <v>2302.4499999999998</v>
      </c>
      <c r="F10" s="2">
        <v>0.1323</v>
      </c>
      <c r="G10" s="2">
        <v>3.9108000000000001</v>
      </c>
      <c r="H10" s="2">
        <v>16.0869</v>
      </c>
      <c r="I10" s="2">
        <v>1.1664000000000001</v>
      </c>
      <c r="J10" s="2">
        <v>18.699000000000002</v>
      </c>
      <c r="K10" s="2">
        <v>2302.4499999999998</v>
      </c>
      <c r="L10" s="2">
        <v>0</v>
      </c>
    </row>
    <row r="11" spans="1:14" hidden="1" x14ac:dyDescent="0.35">
      <c r="A11" s="4" t="s">
        <v>22</v>
      </c>
      <c r="B11" s="1" t="str">
        <f t="shared" si="0"/>
        <v>Corumba IV</v>
      </c>
      <c r="C11" s="1">
        <f t="shared" si="1"/>
        <v>-2331</v>
      </c>
      <c r="D11" s="2">
        <v>0</v>
      </c>
      <c r="E11" s="2">
        <v>0</v>
      </c>
      <c r="F11" s="2">
        <v>0</v>
      </c>
      <c r="G11" s="2">
        <v>0.3629</v>
      </c>
      <c r="H11" s="2">
        <v>71.676599999999993</v>
      </c>
      <c r="I11" s="2">
        <v>4.7332000000000001</v>
      </c>
      <c r="J11" s="2">
        <v>67.306299999999993</v>
      </c>
      <c r="K11" s="2">
        <v>0</v>
      </c>
      <c r="L11" s="2">
        <v>0</v>
      </c>
    </row>
    <row r="12" spans="1:14" x14ac:dyDescent="0.35">
      <c r="A12" s="4" t="s">
        <v>23</v>
      </c>
      <c r="B12" s="1" t="str">
        <f t="shared" si="0"/>
        <v>Lago Paranoa</v>
      </c>
      <c r="C12" s="1">
        <f t="shared" si="1"/>
        <v>-2331</v>
      </c>
      <c r="D12" s="2">
        <v>0</v>
      </c>
      <c r="E12" s="2">
        <v>2302.4499999999998</v>
      </c>
      <c r="F12" s="2">
        <v>0.13200000000000001</v>
      </c>
      <c r="G12" s="2">
        <v>3.0739000000000001</v>
      </c>
      <c r="H12" s="2">
        <v>10.8422</v>
      </c>
      <c r="I12" s="2">
        <v>1.1505000000000001</v>
      </c>
      <c r="J12" s="2">
        <v>12.633599999999999</v>
      </c>
      <c r="K12" s="2">
        <v>2302.4499999999998</v>
      </c>
      <c r="L12" s="2">
        <v>0</v>
      </c>
    </row>
    <row r="13" spans="1:14" hidden="1" x14ac:dyDescent="0.35">
      <c r="A13" s="4" t="s">
        <v>24</v>
      </c>
      <c r="B13" s="1" t="str">
        <f t="shared" si="0"/>
        <v>Corumba IV</v>
      </c>
      <c r="C13" s="1">
        <f t="shared" si="1"/>
        <v>-2330</v>
      </c>
      <c r="D13" s="2">
        <v>0</v>
      </c>
      <c r="E13" s="2">
        <v>0</v>
      </c>
      <c r="F13" s="2">
        <v>0</v>
      </c>
      <c r="G13" s="2">
        <v>0.3629</v>
      </c>
      <c r="H13" s="2">
        <v>103.82510000000001</v>
      </c>
      <c r="I13" s="2">
        <v>4.7332000000000001</v>
      </c>
      <c r="J13" s="2">
        <v>99.454800000000006</v>
      </c>
      <c r="K13" s="2">
        <v>0</v>
      </c>
      <c r="L13" s="2">
        <v>0</v>
      </c>
    </row>
    <row r="14" spans="1:14" x14ac:dyDescent="0.35">
      <c r="A14" s="4" t="s">
        <v>25</v>
      </c>
      <c r="B14" s="1" t="str">
        <f t="shared" si="0"/>
        <v>Lago Paranoa</v>
      </c>
      <c r="C14" s="1">
        <f t="shared" si="1"/>
        <v>-2330</v>
      </c>
      <c r="D14" s="2">
        <v>0</v>
      </c>
      <c r="E14" s="2">
        <v>2302.4499999999998</v>
      </c>
      <c r="F14" s="2">
        <v>0.13189999999999999</v>
      </c>
      <c r="G14" s="2">
        <v>3.4861</v>
      </c>
      <c r="H14" s="2">
        <v>10.3956</v>
      </c>
      <c r="I14" s="2">
        <v>1.1505000000000001</v>
      </c>
      <c r="J14" s="2">
        <v>12.599299999999999</v>
      </c>
      <c r="K14" s="2">
        <v>2302.4499999999998</v>
      </c>
      <c r="L14" s="2">
        <v>0</v>
      </c>
    </row>
    <row r="15" spans="1:14" hidden="1" x14ac:dyDescent="0.35">
      <c r="A15" s="4" t="s">
        <v>26</v>
      </c>
      <c r="B15" s="1" t="str">
        <f t="shared" si="0"/>
        <v>Corumba IV</v>
      </c>
      <c r="C15" s="1">
        <f t="shared" si="1"/>
        <v>-2329</v>
      </c>
      <c r="D15" s="2">
        <v>0</v>
      </c>
      <c r="E15" s="2">
        <v>0</v>
      </c>
      <c r="F15" s="2">
        <v>0</v>
      </c>
      <c r="G15" s="2">
        <v>0.3629</v>
      </c>
      <c r="H15" s="2">
        <v>90.574799999999996</v>
      </c>
      <c r="I15" s="2">
        <v>4.8521999999999998</v>
      </c>
      <c r="J15" s="2">
        <v>86.085499999999996</v>
      </c>
      <c r="K15" s="2">
        <v>0</v>
      </c>
      <c r="L15" s="2">
        <v>0</v>
      </c>
    </row>
    <row r="16" spans="1:14" x14ac:dyDescent="0.35">
      <c r="A16" s="4" t="s">
        <v>27</v>
      </c>
      <c r="B16" s="1" t="str">
        <f t="shared" si="0"/>
        <v>Lago Paranoa</v>
      </c>
      <c r="C16" s="1">
        <f t="shared" si="1"/>
        <v>-2329</v>
      </c>
      <c r="D16" s="2">
        <v>0</v>
      </c>
      <c r="E16" s="2">
        <v>2302.4499999999998</v>
      </c>
      <c r="F16" s="2">
        <v>0.13189999999999999</v>
      </c>
      <c r="G16" s="2">
        <v>3.5135999999999998</v>
      </c>
      <c r="H16" s="2">
        <v>11.281000000000001</v>
      </c>
      <c r="I16" s="2">
        <v>1.1736</v>
      </c>
      <c r="J16" s="2">
        <v>13.489100000000001</v>
      </c>
      <c r="K16" s="2">
        <v>2302.4499999999998</v>
      </c>
      <c r="L16" s="2">
        <v>0</v>
      </c>
    </row>
    <row r="17" spans="1:12" hidden="1" x14ac:dyDescent="0.35">
      <c r="A17" s="4" t="s">
        <v>28</v>
      </c>
      <c r="B17" s="1" t="str">
        <f t="shared" si="0"/>
        <v>Corumba IV</v>
      </c>
      <c r="C17" s="1">
        <f t="shared" si="1"/>
        <v>-2328</v>
      </c>
      <c r="D17" s="2">
        <v>0</v>
      </c>
      <c r="E17" s="2">
        <v>0</v>
      </c>
      <c r="F17" s="2">
        <v>0</v>
      </c>
      <c r="G17" s="2">
        <v>0.3629</v>
      </c>
      <c r="H17" s="2">
        <v>110.38120000000001</v>
      </c>
      <c r="I17" s="2">
        <v>4.9405000000000001</v>
      </c>
      <c r="J17" s="2">
        <v>105.8036</v>
      </c>
      <c r="K17" s="2">
        <v>0</v>
      </c>
      <c r="L17" s="2">
        <v>0</v>
      </c>
    </row>
    <row r="18" spans="1:12" x14ac:dyDescent="0.35">
      <c r="A18" s="4" t="s">
        <v>29</v>
      </c>
      <c r="B18" s="1" t="str">
        <f t="shared" si="0"/>
        <v>Lago Paranoa</v>
      </c>
      <c r="C18" s="1">
        <f t="shared" si="1"/>
        <v>-2328</v>
      </c>
      <c r="D18" s="2">
        <v>0</v>
      </c>
      <c r="E18" s="2">
        <v>2302.4499999999998</v>
      </c>
      <c r="F18" s="2">
        <v>0.13200000000000001</v>
      </c>
      <c r="G18" s="2">
        <v>3.8862000000000001</v>
      </c>
      <c r="H18" s="2">
        <v>12.439299999999999</v>
      </c>
      <c r="I18" s="2">
        <v>1.202</v>
      </c>
      <c r="J18" s="2">
        <v>14.991400000000001</v>
      </c>
      <c r="K18" s="2">
        <v>2302.4499999999998</v>
      </c>
      <c r="L18" s="2">
        <v>0</v>
      </c>
    </row>
    <row r="19" spans="1:12" hidden="1" x14ac:dyDescent="0.35">
      <c r="A19" s="4" t="s">
        <v>30</v>
      </c>
      <c r="B19" s="1" t="str">
        <f t="shared" si="0"/>
        <v>Corumba IV</v>
      </c>
      <c r="C19" s="1">
        <f t="shared" si="1"/>
        <v>-2327</v>
      </c>
      <c r="D19" s="2">
        <v>0</v>
      </c>
      <c r="E19" s="2">
        <v>0</v>
      </c>
      <c r="F19" s="2">
        <v>0</v>
      </c>
      <c r="G19" s="2">
        <v>0.3629</v>
      </c>
      <c r="H19" s="2">
        <v>70.8048</v>
      </c>
      <c r="I19" s="2">
        <v>4.8002000000000002</v>
      </c>
      <c r="J19" s="2">
        <v>66.367500000000007</v>
      </c>
      <c r="K19" s="2">
        <v>0</v>
      </c>
      <c r="L19" s="2">
        <v>0</v>
      </c>
    </row>
    <row r="20" spans="1:12" x14ac:dyDescent="0.35">
      <c r="A20" s="4" t="s">
        <v>31</v>
      </c>
      <c r="B20" s="1" t="str">
        <f t="shared" si="0"/>
        <v>Lago Paranoa</v>
      </c>
      <c r="C20" s="1">
        <f t="shared" si="1"/>
        <v>-2327</v>
      </c>
      <c r="D20" s="2">
        <v>0</v>
      </c>
      <c r="E20" s="2">
        <v>2302.4499999999998</v>
      </c>
      <c r="F20" s="2">
        <v>0.153</v>
      </c>
      <c r="G20" s="2">
        <v>3.1154000000000002</v>
      </c>
      <c r="H20" s="2">
        <v>11.3629</v>
      </c>
      <c r="I20" s="2">
        <v>1.1899</v>
      </c>
      <c r="J20" s="2">
        <v>13.135400000000001</v>
      </c>
      <c r="K20" s="2">
        <v>2302.4499999999998</v>
      </c>
      <c r="L20" s="2">
        <v>0</v>
      </c>
    </row>
    <row r="21" spans="1:12" hidden="1" x14ac:dyDescent="0.35">
      <c r="A21" s="4" t="s">
        <v>32</v>
      </c>
      <c r="B21" s="1" t="str">
        <f t="shared" si="0"/>
        <v>Corumba IV</v>
      </c>
      <c r="C21" s="1">
        <f t="shared" si="1"/>
        <v>-2326</v>
      </c>
      <c r="D21" s="2">
        <v>0</v>
      </c>
      <c r="E21" s="2">
        <v>0</v>
      </c>
      <c r="F21" s="2">
        <v>0</v>
      </c>
      <c r="G21" s="2">
        <v>0.3629</v>
      </c>
      <c r="H21" s="2">
        <v>84.803299999999993</v>
      </c>
      <c r="I21" s="2">
        <v>4.8002000000000002</v>
      </c>
      <c r="J21" s="2">
        <v>80.366</v>
      </c>
      <c r="K21" s="2">
        <v>0</v>
      </c>
      <c r="L21" s="2">
        <v>0</v>
      </c>
    </row>
    <row r="22" spans="1:12" x14ac:dyDescent="0.35">
      <c r="A22" s="4" t="s">
        <v>33</v>
      </c>
      <c r="B22" s="1" t="str">
        <f t="shared" si="0"/>
        <v>Lago Paranoa</v>
      </c>
      <c r="C22" s="1">
        <f t="shared" si="1"/>
        <v>-2326</v>
      </c>
      <c r="D22" s="2">
        <v>0</v>
      </c>
      <c r="E22" s="2">
        <v>2302.4499999999998</v>
      </c>
      <c r="F22" s="2">
        <v>0.1532</v>
      </c>
      <c r="G22" s="2">
        <v>3.2033999999999998</v>
      </c>
      <c r="H22" s="2">
        <v>11.0672</v>
      </c>
      <c r="I22" s="2">
        <v>1.1899</v>
      </c>
      <c r="J22" s="2">
        <v>12.9276</v>
      </c>
      <c r="K22" s="2">
        <v>2302.4499999999998</v>
      </c>
      <c r="L22" s="2">
        <v>0</v>
      </c>
    </row>
    <row r="23" spans="1:12" hidden="1" x14ac:dyDescent="0.35">
      <c r="A23" s="4" t="s">
        <v>34</v>
      </c>
      <c r="B23" s="1" t="str">
        <f t="shared" si="0"/>
        <v>Corumba IV</v>
      </c>
      <c r="C23" s="1">
        <f t="shared" si="1"/>
        <v>-2325</v>
      </c>
      <c r="D23" s="2">
        <v>0</v>
      </c>
      <c r="E23" s="2">
        <v>0</v>
      </c>
      <c r="F23" s="2">
        <v>0</v>
      </c>
      <c r="G23" s="2">
        <v>0.3629</v>
      </c>
      <c r="H23" s="2">
        <v>64.585700000000003</v>
      </c>
      <c r="I23" s="2">
        <v>4.8002000000000002</v>
      </c>
      <c r="J23" s="2">
        <v>60.148400000000002</v>
      </c>
      <c r="K23" s="2">
        <v>0</v>
      </c>
      <c r="L23" s="2">
        <v>0</v>
      </c>
    </row>
    <row r="24" spans="1:12" x14ac:dyDescent="0.35">
      <c r="A24" s="4" t="s">
        <v>35</v>
      </c>
      <c r="B24" s="1" t="str">
        <f t="shared" si="0"/>
        <v>Lago Paranoa</v>
      </c>
      <c r="C24" s="1">
        <f t="shared" si="1"/>
        <v>-2325</v>
      </c>
      <c r="D24" s="2">
        <v>0</v>
      </c>
      <c r="E24" s="2">
        <v>2302.4499999999998</v>
      </c>
      <c r="F24" s="2">
        <v>0.15329999999999999</v>
      </c>
      <c r="G24" s="2">
        <v>3.0295000000000001</v>
      </c>
      <c r="H24" s="2">
        <v>9.0447000000000006</v>
      </c>
      <c r="I24" s="2">
        <v>1.1899</v>
      </c>
      <c r="J24" s="2">
        <v>10.731</v>
      </c>
      <c r="K24" s="2">
        <v>2302.4499999999998</v>
      </c>
      <c r="L24" s="2">
        <v>0</v>
      </c>
    </row>
    <row r="25" spans="1:12" hidden="1" x14ac:dyDescent="0.35">
      <c r="A25" s="4" t="s">
        <v>36</v>
      </c>
      <c r="B25" s="1" t="str">
        <f t="shared" si="0"/>
        <v>Corumba IV</v>
      </c>
      <c r="C25" s="1">
        <f t="shared" si="1"/>
        <v>-2324</v>
      </c>
      <c r="D25" s="2">
        <v>0</v>
      </c>
      <c r="E25" s="2">
        <v>0</v>
      </c>
      <c r="F25" s="2">
        <v>0</v>
      </c>
      <c r="G25" s="2">
        <v>0.3629</v>
      </c>
      <c r="H25" s="2">
        <v>60.2986</v>
      </c>
      <c r="I25" s="2">
        <v>4.6247999999999996</v>
      </c>
      <c r="J25" s="2">
        <v>56.0366</v>
      </c>
      <c r="K25" s="2">
        <v>0</v>
      </c>
      <c r="L25" s="2">
        <v>0</v>
      </c>
    </row>
    <row r="26" spans="1:12" x14ac:dyDescent="0.35">
      <c r="A26" s="4" t="s">
        <v>37</v>
      </c>
      <c r="B26" s="1" t="str">
        <f t="shared" si="0"/>
        <v>Lago Paranoa</v>
      </c>
      <c r="C26" s="1">
        <f t="shared" si="1"/>
        <v>-2324</v>
      </c>
      <c r="D26" s="2">
        <v>0</v>
      </c>
      <c r="E26" s="2">
        <v>2302.4499999999998</v>
      </c>
      <c r="F26" s="2">
        <v>0.1535</v>
      </c>
      <c r="G26" s="2">
        <v>3.4906000000000001</v>
      </c>
      <c r="H26" s="2">
        <v>7.7000999999999999</v>
      </c>
      <c r="I26" s="2">
        <v>1.1653</v>
      </c>
      <c r="J26" s="2">
        <v>9.8719999999999999</v>
      </c>
      <c r="K26" s="2">
        <v>2302.4499999999998</v>
      </c>
      <c r="L26" s="2">
        <v>0</v>
      </c>
    </row>
    <row r="27" spans="1:12" hidden="1" x14ac:dyDescent="0.35">
      <c r="A27" s="4" t="s">
        <v>38</v>
      </c>
      <c r="B27" s="1" t="str">
        <f t="shared" si="0"/>
        <v>Corumba IV</v>
      </c>
      <c r="C27" s="1">
        <f t="shared" si="1"/>
        <v>-2323</v>
      </c>
      <c r="D27" s="2">
        <v>0</v>
      </c>
      <c r="E27" s="2">
        <v>0</v>
      </c>
      <c r="F27" s="2">
        <v>0</v>
      </c>
      <c r="G27" s="2">
        <v>0.3629</v>
      </c>
      <c r="H27" s="2">
        <v>60.122300000000003</v>
      </c>
      <c r="I27" s="2">
        <v>3.5726</v>
      </c>
      <c r="J27" s="2">
        <v>56.912599999999998</v>
      </c>
      <c r="K27" s="2">
        <v>0</v>
      </c>
      <c r="L27" s="2">
        <v>0</v>
      </c>
    </row>
    <row r="28" spans="1:12" x14ac:dyDescent="0.35">
      <c r="A28" s="4" t="s">
        <v>39</v>
      </c>
      <c r="B28" s="1" t="str">
        <f t="shared" si="0"/>
        <v>Lago Paranoa</v>
      </c>
      <c r="C28" s="1">
        <f t="shared" si="1"/>
        <v>-2323</v>
      </c>
      <c r="D28" s="2">
        <v>0</v>
      </c>
      <c r="E28" s="2">
        <v>2302.4499999999998</v>
      </c>
      <c r="F28" s="2">
        <v>0.14549999999999999</v>
      </c>
      <c r="G28" s="2">
        <v>3.3003999999999998</v>
      </c>
      <c r="H28" s="2">
        <v>5.9829999999999997</v>
      </c>
      <c r="I28" s="2">
        <v>1.0178</v>
      </c>
      <c r="J28" s="2">
        <v>8.1201000000000008</v>
      </c>
      <c r="K28" s="2">
        <v>2302.4499999999998</v>
      </c>
      <c r="L28" s="2">
        <v>0</v>
      </c>
    </row>
    <row r="29" spans="1:12" hidden="1" x14ac:dyDescent="0.35">
      <c r="A29" s="4" t="s">
        <v>40</v>
      </c>
      <c r="B29" s="1" t="str">
        <f t="shared" si="0"/>
        <v>Corumba IV</v>
      </c>
      <c r="C29" s="1">
        <f t="shared" si="1"/>
        <v>-2322</v>
      </c>
      <c r="D29" s="2">
        <v>0</v>
      </c>
      <c r="E29" s="2">
        <v>0</v>
      </c>
      <c r="F29" s="2">
        <v>0</v>
      </c>
      <c r="G29" s="2">
        <v>0.3629</v>
      </c>
      <c r="H29" s="2">
        <v>57.057699999999997</v>
      </c>
      <c r="I29" s="2">
        <v>4.4645000000000001</v>
      </c>
      <c r="J29" s="2">
        <v>52.956099999999999</v>
      </c>
      <c r="K29" s="2">
        <v>0</v>
      </c>
      <c r="L29" s="2">
        <v>0</v>
      </c>
    </row>
    <row r="30" spans="1:12" x14ac:dyDescent="0.35">
      <c r="A30" s="4" t="s">
        <v>41</v>
      </c>
      <c r="B30" s="1" t="str">
        <f t="shared" si="0"/>
        <v>Lago Paranoa</v>
      </c>
      <c r="C30" s="1">
        <f t="shared" si="1"/>
        <v>-2322</v>
      </c>
      <c r="D30" s="2">
        <v>0</v>
      </c>
      <c r="E30" s="2">
        <v>2302.4499999999998</v>
      </c>
      <c r="F30" s="2">
        <v>0.14560000000000001</v>
      </c>
      <c r="G30" s="2">
        <v>3.0021</v>
      </c>
      <c r="H30" s="2">
        <v>5.0841000000000003</v>
      </c>
      <c r="I30" s="2">
        <v>1.2674000000000001</v>
      </c>
      <c r="J30" s="2">
        <v>6.6733000000000002</v>
      </c>
      <c r="K30" s="2">
        <v>2302.4499999999998</v>
      </c>
      <c r="L30" s="2">
        <v>0</v>
      </c>
    </row>
    <row r="31" spans="1:12" hidden="1" x14ac:dyDescent="0.35">
      <c r="A31" s="4" t="s">
        <v>42</v>
      </c>
      <c r="B31" s="1" t="str">
        <f t="shared" si="0"/>
        <v>Corumba IV</v>
      </c>
      <c r="C31" s="1">
        <f t="shared" si="1"/>
        <v>-2321</v>
      </c>
      <c r="D31" s="2">
        <v>0</v>
      </c>
      <c r="E31" s="2">
        <v>0</v>
      </c>
      <c r="F31" s="2">
        <v>0</v>
      </c>
      <c r="G31" s="2">
        <v>0.3629</v>
      </c>
      <c r="H31" s="2">
        <v>51.529800000000002</v>
      </c>
      <c r="I31" s="2">
        <v>4.4645000000000001</v>
      </c>
      <c r="J31" s="2">
        <v>47.428199999999997</v>
      </c>
      <c r="K31" s="2">
        <v>0</v>
      </c>
      <c r="L31" s="2">
        <v>0</v>
      </c>
    </row>
    <row r="32" spans="1:12" x14ac:dyDescent="0.35">
      <c r="A32" s="4" t="s">
        <v>43</v>
      </c>
      <c r="B32" s="1" t="str">
        <f t="shared" si="0"/>
        <v>Lago Paranoa</v>
      </c>
      <c r="C32" s="1">
        <f t="shared" si="1"/>
        <v>-2321</v>
      </c>
      <c r="D32" s="2">
        <v>0</v>
      </c>
      <c r="E32" s="2">
        <v>2302.4499999999998</v>
      </c>
      <c r="F32" s="2">
        <v>0.14580000000000001</v>
      </c>
      <c r="G32" s="2">
        <v>3.2437999999999998</v>
      </c>
      <c r="H32" s="2">
        <v>4.9911000000000003</v>
      </c>
      <c r="I32" s="2">
        <v>1.2674000000000001</v>
      </c>
      <c r="J32" s="2">
        <v>6.8217999999999996</v>
      </c>
      <c r="K32" s="2">
        <v>2302.4499999999998</v>
      </c>
      <c r="L32" s="2">
        <v>0</v>
      </c>
    </row>
    <row r="33" spans="1:12" hidden="1" x14ac:dyDescent="0.35">
      <c r="A33" s="4" t="s">
        <v>44</v>
      </c>
      <c r="B33" s="1" t="str">
        <f t="shared" si="0"/>
        <v>Corumba IV</v>
      </c>
      <c r="C33" s="1">
        <f t="shared" si="1"/>
        <v>-2320</v>
      </c>
      <c r="D33" s="2">
        <v>0</v>
      </c>
      <c r="E33" s="2">
        <v>0</v>
      </c>
      <c r="F33" s="2">
        <v>0</v>
      </c>
      <c r="G33" s="2">
        <v>0.3629</v>
      </c>
      <c r="H33" s="2">
        <v>54.2316</v>
      </c>
      <c r="I33" s="2">
        <v>4.4645000000000001</v>
      </c>
      <c r="J33" s="2">
        <v>50.129899999999999</v>
      </c>
      <c r="K33" s="2">
        <v>0</v>
      </c>
      <c r="L33" s="2">
        <v>0</v>
      </c>
    </row>
    <row r="34" spans="1:12" x14ac:dyDescent="0.35">
      <c r="A34" s="4" t="s">
        <v>45</v>
      </c>
      <c r="B34" s="1" t="str">
        <f t="shared" si="0"/>
        <v>Lago Paranoa</v>
      </c>
      <c r="C34" s="1">
        <f t="shared" si="1"/>
        <v>-2320</v>
      </c>
      <c r="D34" s="2">
        <v>0</v>
      </c>
      <c r="E34" s="2">
        <v>2302.4499999999998</v>
      </c>
      <c r="F34" s="2">
        <v>0.1459</v>
      </c>
      <c r="G34" s="2">
        <v>3.077</v>
      </c>
      <c r="H34" s="2">
        <v>4.8777999999999997</v>
      </c>
      <c r="I34" s="2">
        <v>1.2674000000000001</v>
      </c>
      <c r="J34" s="2">
        <v>6.5415000000000001</v>
      </c>
      <c r="K34" s="2">
        <v>2302.4499999999998</v>
      </c>
      <c r="L34" s="2">
        <v>0</v>
      </c>
    </row>
    <row r="35" spans="1:12" hidden="1" x14ac:dyDescent="0.35">
      <c r="A35" s="4" t="s">
        <v>46</v>
      </c>
      <c r="B35" s="1" t="str">
        <f t="shared" si="0"/>
        <v>Corumba IV</v>
      </c>
      <c r="C35" s="1">
        <f t="shared" si="1"/>
        <v>-2319</v>
      </c>
      <c r="D35" s="2">
        <v>0</v>
      </c>
      <c r="E35" s="2">
        <v>0</v>
      </c>
      <c r="F35" s="2">
        <v>0</v>
      </c>
      <c r="G35" s="2">
        <v>0.3629</v>
      </c>
      <c r="H35" s="2">
        <v>44.186700000000002</v>
      </c>
      <c r="I35" s="2">
        <v>4.5902000000000003</v>
      </c>
      <c r="J35" s="2">
        <v>39.959400000000002</v>
      </c>
      <c r="K35" s="2">
        <v>0</v>
      </c>
      <c r="L35" s="2">
        <v>0</v>
      </c>
    </row>
    <row r="36" spans="1:12" x14ac:dyDescent="0.35">
      <c r="A36" s="4" t="s">
        <v>47</v>
      </c>
      <c r="B36" s="1" t="str">
        <f t="shared" si="0"/>
        <v>Lago Paranoa</v>
      </c>
      <c r="C36" s="1">
        <f t="shared" si="1"/>
        <v>-2319</v>
      </c>
      <c r="D36" s="2">
        <v>0</v>
      </c>
      <c r="E36" s="2">
        <v>2302.4499999999998</v>
      </c>
      <c r="F36" s="2">
        <v>0.17480000000000001</v>
      </c>
      <c r="G36" s="2">
        <v>2.8468</v>
      </c>
      <c r="H36" s="2">
        <v>4.2499000000000002</v>
      </c>
      <c r="I36" s="2">
        <v>1.1686000000000001</v>
      </c>
      <c r="J36" s="2">
        <v>5.7534000000000001</v>
      </c>
      <c r="K36" s="2">
        <v>2302.4499999999998</v>
      </c>
      <c r="L36" s="2">
        <v>0</v>
      </c>
    </row>
    <row r="37" spans="1:12" hidden="1" x14ac:dyDescent="0.35">
      <c r="A37" s="4" t="s">
        <v>48</v>
      </c>
      <c r="B37" s="1" t="str">
        <f t="shared" si="0"/>
        <v>Corumba IV</v>
      </c>
      <c r="C37" s="1">
        <f t="shared" si="1"/>
        <v>-2318</v>
      </c>
      <c r="D37" s="2">
        <v>0</v>
      </c>
      <c r="E37" s="2">
        <v>0</v>
      </c>
      <c r="F37" s="2">
        <v>0</v>
      </c>
      <c r="G37" s="2">
        <v>0.3629</v>
      </c>
      <c r="H37" s="2">
        <v>39.7881</v>
      </c>
      <c r="I37" s="2">
        <v>4.9745999999999997</v>
      </c>
      <c r="J37" s="2">
        <v>35.176400000000001</v>
      </c>
      <c r="K37" s="2">
        <v>0</v>
      </c>
      <c r="L37" s="2">
        <v>0</v>
      </c>
    </row>
    <row r="38" spans="1:12" x14ac:dyDescent="0.35">
      <c r="A38" s="4" t="s">
        <v>49</v>
      </c>
      <c r="B38" s="1" t="str">
        <f t="shared" si="0"/>
        <v>Lago Paranoa</v>
      </c>
      <c r="C38" s="1">
        <f t="shared" si="1"/>
        <v>-2318</v>
      </c>
      <c r="D38" s="2">
        <v>0</v>
      </c>
      <c r="E38" s="2">
        <v>2302.4499999999998</v>
      </c>
      <c r="F38" s="2">
        <v>0.17499999999999999</v>
      </c>
      <c r="G38" s="2">
        <v>2.8184</v>
      </c>
      <c r="H38" s="2">
        <v>3.8643000000000001</v>
      </c>
      <c r="I38" s="2">
        <v>1.2709999999999999</v>
      </c>
      <c r="J38" s="2">
        <v>5.2367999999999997</v>
      </c>
      <c r="K38" s="2">
        <v>2302.4499999999998</v>
      </c>
      <c r="L38" s="2">
        <v>0</v>
      </c>
    </row>
    <row r="39" spans="1:12" hidden="1" x14ac:dyDescent="0.35">
      <c r="A39" s="4" t="s">
        <v>50</v>
      </c>
      <c r="B39" s="1" t="str">
        <f t="shared" si="0"/>
        <v>Corumba IV</v>
      </c>
      <c r="C39" s="1">
        <f t="shared" si="1"/>
        <v>-2317</v>
      </c>
      <c r="D39" s="2">
        <v>0</v>
      </c>
      <c r="E39" s="2">
        <v>0</v>
      </c>
      <c r="F39" s="2">
        <v>0</v>
      </c>
      <c r="G39" s="2">
        <v>0.3629</v>
      </c>
      <c r="H39" s="2">
        <v>36.426200000000001</v>
      </c>
      <c r="I39" s="2">
        <v>4.9745999999999997</v>
      </c>
      <c r="J39" s="2">
        <v>31.814499999999999</v>
      </c>
      <c r="K39" s="2">
        <v>0</v>
      </c>
      <c r="L39" s="2">
        <v>0</v>
      </c>
    </row>
    <row r="40" spans="1:12" x14ac:dyDescent="0.35">
      <c r="A40" s="4" t="s">
        <v>51</v>
      </c>
      <c r="B40" s="1" t="str">
        <f t="shared" si="0"/>
        <v>Lago Paranoa</v>
      </c>
      <c r="C40" s="1">
        <f t="shared" si="1"/>
        <v>-2317</v>
      </c>
      <c r="D40" s="2">
        <v>0</v>
      </c>
      <c r="E40" s="2">
        <v>2302.4499999999998</v>
      </c>
      <c r="F40" s="2">
        <v>0.17510000000000001</v>
      </c>
      <c r="G40" s="2">
        <v>2.6019000000000001</v>
      </c>
      <c r="H40" s="2">
        <v>3.5918000000000001</v>
      </c>
      <c r="I40" s="2">
        <v>1.2709999999999999</v>
      </c>
      <c r="J40" s="2">
        <v>4.7476000000000003</v>
      </c>
      <c r="K40" s="2">
        <v>2302.4499999999998</v>
      </c>
      <c r="L40" s="2">
        <v>0</v>
      </c>
    </row>
    <row r="41" spans="1:12" hidden="1" x14ac:dyDescent="0.35">
      <c r="A41" s="4" t="s">
        <v>52</v>
      </c>
      <c r="B41" s="1" t="str">
        <f t="shared" si="0"/>
        <v>Corumba IV</v>
      </c>
      <c r="C41" s="1">
        <f t="shared" si="1"/>
        <v>-2316</v>
      </c>
      <c r="D41" s="2">
        <v>0</v>
      </c>
      <c r="E41" s="2">
        <v>0</v>
      </c>
      <c r="F41" s="2">
        <v>0</v>
      </c>
      <c r="G41" s="2">
        <v>0.3629</v>
      </c>
      <c r="H41" s="2">
        <v>33.841200000000001</v>
      </c>
      <c r="I41" s="2">
        <v>4.9745999999999997</v>
      </c>
      <c r="J41" s="2">
        <v>29.229399999999998</v>
      </c>
      <c r="K41" s="2">
        <v>0</v>
      </c>
      <c r="L41" s="2">
        <v>0</v>
      </c>
    </row>
    <row r="42" spans="1:12" x14ac:dyDescent="0.35">
      <c r="A42" s="4" t="s">
        <v>53</v>
      </c>
      <c r="B42" s="1" t="str">
        <f t="shared" si="0"/>
        <v>Lago Paranoa</v>
      </c>
      <c r="C42" s="1">
        <f t="shared" si="1"/>
        <v>-2316</v>
      </c>
      <c r="D42" s="2">
        <v>0</v>
      </c>
      <c r="E42" s="2">
        <v>2302.4499999999998</v>
      </c>
      <c r="F42" s="2">
        <v>0.17530000000000001</v>
      </c>
      <c r="G42" s="2">
        <v>2.4851999999999999</v>
      </c>
      <c r="H42" s="2">
        <v>3.4035000000000002</v>
      </c>
      <c r="I42" s="2">
        <v>1.2709999999999999</v>
      </c>
      <c r="J42" s="2">
        <v>4.4424000000000001</v>
      </c>
      <c r="K42" s="2">
        <v>2302.4499999999998</v>
      </c>
      <c r="L42" s="2">
        <v>0</v>
      </c>
    </row>
    <row r="43" spans="1:12" hidden="1" x14ac:dyDescent="0.35">
      <c r="A43" s="4" t="s">
        <v>54</v>
      </c>
      <c r="B43" s="1" t="str">
        <f t="shared" si="0"/>
        <v>Corumba IV</v>
      </c>
      <c r="C43" s="1">
        <f t="shared" si="1"/>
        <v>-2315</v>
      </c>
      <c r="D43" s="2">
        <v>0</v>
      </c>
      <c r="E43" s="2">
        <v>0</v>
      </c>
      <c r="F43" s="2">
        <v>0</v>
      </c>
      <c r="G43" s="2">
        <v>0.3629</v>
      </c>
      <c r="H43" s="2">
        <v>31.983599999999999</v>
      </c>
      <c r="I43" s="2">
        <v>5.0803000000000003</v>
      </c>
      <c r="J43" s="2">
        <v>27.266100000000002</v>
      </c>
      <c r="K43" s="2">
        <v>0</v>
      </c>
      <c r="L43" s="2">
        <v>0</v>
      </c>
    </row>
    <row r="44" spans="1:12" x14ac:dyDescent="0.35">
      <c r="A44" s="4" t="s">
        <v>55</v>
      </c>
      <c r="B44" s="1" t="str">
        <f t="shared" si="0"/>
        <v>Lago Paranoa</v>
      </c>
      <c r="C44" s="1">
        <f t="shared" si="1"/>
        <v>-2315</v>
      </c>
      <c r="D44" s="2">
        <v>0</v>
      </c>
      <c r="E44" s="2">
        <v>2302.4499999999998</v>
      </c>
      <c r="F44" s="2">
        <v>0.1754</v>
      </c>
      <c r="G44" s="2">
        <v>2.7052999999999998</v>
      </c>
      <c r="H44" s="2">
        <v>3.2158000000000002</v>
      </c>
      <c r="I44" s="2">
        <v>1.2827</v>
      </c>
      <c r="J44" s="2">
        <v>4.4630000000000001</v>
      </c>
      <c r="K44" s="2">
        <v>2302.4499999999998</v>
      </c>
      <c r="L44" s="2">
        <v>0</v>
      </c>
    </row>
    <row r="45" spans="1:12" hidden="1" x14ac:dyDescent="0.35">
      <c r="A45" s="4" t="s">
        <v>56</v>
      </c>
      <c r="B45" s="1" t="str">
        <f t="shared" si="0"/>
        <v>Corumba IV</v>
      </c>
      <c r="C45" s="1">
        <f t="shared" si="1"/>
        <v>-2314</v>
      </c>
      <c r="D45" s="2">
        <v>0</v>
      </c>
      <c r="E45" s="2">
        <v>0</v>
      </c>
      <c r="F45" s="2">
        <v>0</v>
      </c>
      <c r="G45" s="2">
        <v>0.3629</v>
      </c>
      <c r="H45" s="2">
        <v>30.510400000000001</v>
      </c>
      <c r="I45" s="2">
        <v>5.2211999999999996</v>
      </c>
      <c r="J45" s="2">
        <v>25.652100000000001</v>
      </c>
      <c r="K45" s="2">
        <v>0</v>
      </c>
      <c r="L45" s="2">
        <v>0</v>
      </c>
    </row>
    <row r="46" spans="1:12" x14ac:dyDescent="0.35">
      <c r="A46" s="4" t="s">
        <v>57</v>
      </c>
      <c r="B46" s="1" t="str">
        <f t="shared" si="0"/>
        <v>Lago Paranoa</v>
      </c>
      <c r="C46" s="1">
        <f t="shared" si="1"/>
        <v>-2314</v>
      </c>
      <c r="D46" s="2">
        <v>0</v>
      </c>
      <c r="E46" s="2">
        <v>2302.4499999999998</v>
      </c>
      <c r="F46" s="2">
        <v>0.19139999999999999</v>
      </c>
      <c r="G46" s="2">
        <v>2.7073999999999998</v>
      </c>
      <c r="H46" s="2">
        <v>3.4232999999999998</v>
      </c>
      <c r="I46" s="2">
        <v>1.2983</v>
      </c>
      <c r="J46" s="2">
        <v>4.641</v>
      </c>
      <c r="K46" s="2">
        <v>2302.4499999999998</v>
      </c>
      <c r="L46" s="2">
        <v>0</v>
      </c>
    </row>
    <row r="47" spans="1:12" hidden="1" x14ac:dyDescent="0.35">
      <c r="A47" s="4" t="s">
        <v>58</v>
      </c>
      <c r="B47" s="1" t="str">
        <f t="shared" si="0"/>
        <v>Corumba IV</v>
      </c>
      <c r="C47" s="1">
        <f t="shared" si="1"/>
        <v>-2313</v>
      </c>
      <c r="D47" s="2">
        <v>0</v>
      </c>
      <c r="E47" s="2">
        <v>0</v>
      </c>
      <c r="F47" s="2">
        <v>0</v>
      </c>
      <c r="G47" s="2">
        <v>0.3629</v>
      </c>
      <c r="H47" s="2">
        <v>29.597200000000001</v>
      </c>
      <c r="I47" s="2">
        <v>5.2211999999999996</v>
      </c>
      <c r="J47" s="2">
        <v>24.738800000000001</v>
      </c>
      <c r="K47" s="2">
        <v>0</v>
      </c>
      <c r="L47" s="2">
        <v>0</v>
      </c>
    </row>
    <row r="48" spans="1:12" x14ac:dyDescent="0.35">
      <c r="A48" s="4" t="s">
        <v>59</v>
      </c>
      <c r="B48" s="1" t="str">
        <f t="shared" si="0"/>
        <v>Lago Paranoa</v>
      </c>
      <c r="C48" s="1">
        <f t="shared" si="1"/>
        <v>-2313</v>
      </c>
      <c r="D48" s="2">
        <v>0</v>
      </c>
      <c r="E48" s="2">
        <v>2302.4499999999998</v>
      </c>
      <c r="F48" s="2">
        <v>0.1915</v>
      </c>
      <c r="G48" s="2">
        <v>2.5184000000000002</v>
      </c>
      <c r="H48" s="2">
        <v>3.3205</v>
      </c>
      <c r="I48" s="2">
        <v>1.2983</v>
      </c>
      <c r="J48" s="2">
        <v>4.3490000000000002</v>
      </c>
      <c r="K48" s="2">
        <v>2302.4499999999998</v>
      </c>
      <c r="L48" s="2">
        <v>0</v>
      </c>
    </row>
    <row r="49" spans="1:12" hidden="1" x14ac:dyDescent="0.35">
      <c r="A49" s="4" t="s">
        <v>60</v>
      </c>
      <c r="B49" s="1" t="str">
        <f t="shared" si="0"/>
        <v>Corumba IV</v>
      </c>
      <c r="C49" s="1">
        <f t="shared" si="1"/>
        <v>-2312</v>
      </c>
      <c r="D49" s="2">
        <v>0</v>
      </c>
      <c r="E49" s="2">
        <v>0</v>
      </c>
      <c r="F49" s="2">
        <v>0</v>
      </c>
      <c r="G49" s="2">
        <v>0.3629</v>
      </c>
      <c r="H49" s="2">
        <v>27.9876</v>
      </c>
      <c r="I49" s="2">
        <v>5.2211999999999996</v>
      </c>
      <c r="J49" s="2">
        <v>23.129200000000001</v>
      </c>
      <c r="K49" s="2">
        <v>0</v>
      </c>
      <c r="L49" s="2">
        <v>0</v>
      </c>
    </row>
    <row r="50" spans="1:12" x14ac:dyDescent="0.35">
      <c r="A50" s="4" t="s">
        <v>61</v>
      </c>
      <c r="B50" s="1" t="str">
        <f t="shared" si="0"/>
        <v>Lago Paranoa</v>
      </c>
      <c r="C50" s="1">
        <f t="shared" si="1"/>
        <v>-2312</v>
      </c>
      <c r="D50" s="2">
        <v>0</v>
      </c>
      <c r="E50" s="2">
        <v>2302.4499999999998</v>
      </c>
      <c r="F50" s="2">
        <v>0.19170000000000001</v>
      </c>
      <c r="G50" s="2">
        <v>2.3645999999999998</v>
      </c>
      <c r="H50" s="2">
        <v>3.1781000000000001</v>
      </c>
      <c r="I50" s="2">
        <v>1.2983</v>
      </c>
      <c r="J50" s="2">
        <v>4.0526999999999997</v>
      </c>
      <c r="K50" s="2">
        <v>2302.4499999999998</v>
      </c>
      <c r="L50" s="2">
        <v>0</v>
      </c>
    </row>
    <row r="51" spans="1:12" hidden="1" x14ac:dyDescent="0.35">
      <c r="A51" s="4" t="s">
        <v>62</v>
      </c>
      <c r="B51" s="1" t="str">
        <f t="shared" si="0"/>
        <v>Corumba IV</v>
      </c>
      <c r="C51" s="1">
        <f t="shared" si="1"/>
        <v>-2311</v>
      </c>
      <c r="D51" s="2">
        <v>0</v>
      </c>
      <c r="E51" s="2">
        <v>0</v>
      </c>
      <c r="F51" s="2">
        <v>0</v>
      </c>
      <c r="G51" s="2">
        <v>0.3629</v>
      </c>
      <c r="H51" s="2">
        <v>27.4087</v>
      </c>
      <c r="I51" s="2">
        <v>5.2211999999999996</v>
      </c>
      <c r="J51" s="2">
        <v>22.5503</v>
      </c>
      <c r="K51" s="2">
        <v>0</v>
      </c>
      <c r="L51" s="2">
        <v>0</v>
      </c>
    </row>
    <row r="52" spans="1:12" x14ac:dyDescent="0.35">
      <c r="A52" s="4" t="s">
        <v>63</v>
      </c>
      <c r="B52" s="1" t="str">
        <f t="shared" si="0"/>
        <v>Lago Paranoa</v>
      </c>
      <c r="C52" s="1">
        <f t="shared" si="1"/>
        <v>-2311</v>
      </c>
      <c r="D52" s="2">
        <v>0</v>
      </c>
      <c r="E52" s="2">
        <v>2302.4499999999998</v>
      </c>
      <c r="F52" s="2">
        <v>0.1918</v>
      </c>
      <c r="G52" s="2">
        <v>2.1739999999999999</v>
      </c>
      <c r="H52" s="2">
        <v>3.0531000000000001</v>
      </c>
      <c r="I52" s="2">
        <v>1.2983</v>
      </c>
      <c r="J52" s="2">
        <v>3.7368999999999999</v>
      </c>
      <c r="K52" s="2">
        <v>2302.4499999999998</v>
      </c>
      <c r="L52" s="2">
        <v>0</v>
      </c>
    </row>
    <row r="53" spans="1:12" hidden="1" x14ac:dyDescent="0.35">
      <c r="A53" s="4" t="s">
        <v>64</v>
      </c>
      <c r="B53" s="1" t="str">
        <f t="shared" si="0"/>
        <v>Corumba IV</v>
      </c>
      <c r="C53" s="1">
        <f t="shared" si="1"/>
        <v>-2310</v>
      </c>
      <c r="D53" s="2">
        <v>0</v>
      </c>
      <c r="E53" s="2">
        <v>0</v>
      </c>
      <c r="F53" s="2">
        <v>0</v>
      </c>
      <c r="G53" s="2">
        <v>0.3629</v>
      </c>
      <c r="H53" s="2">
        <v>25.965800000000002</v>
      </c>
      <c r="I53" s="2">
        <v>6.1776999999999997</v>
      </c>
      <c r="J53" s="2">
        <v>20.151</v>
      </c>
      <c r="K53" s="2">
        <v>0</v>
      </c>
      <c r="L53" s="2">
        <v>0</v>
      </c>
    </row>
    <row r="54" spans="1:12" x14ac:dyDescent="0.35">
      <c r="A54" s="4" t="s">
        <v>65</v>
      </c>
      <c r="B54" s="1" t="str">
        <f t="shared" si="0"/>
        <v>Lago Paranoa</v>
      </c>
      <c r="C54" s="1">
        <f t="shared" si="1"/>
        <v>-2310</v>
      </c>
      <c r="D54" s="2">
        <v>0</v>
      </c>
      <c r="E54" s="2">
        <v>2302.4499999999998</v>
      </c>
      <c r="F54" s="2">
        <v>0.20610000000000001</v>
      </c>
      <c r="G54" s="2">
        <v>2.1436000000000002</v>
      </c>
      <c r="H54" s="2">
        <v>2.9155000000000002</v>
      </c>
      <c r="I54" s="2">
        <v>1.4354</v>
      </c>
      <c r="J54" s="2">
        <v>3.4176000000000002</v>
      </c>
      <c r="K54" s="2">
        <v>2302.4499999999998</v>
      </c>
      <c r="L54" s="2">
        <v>0</v>
      </c>
    </row>
    <row r="55" spans="1:12" hidden="1" x14ac:dyDescent="0.35">
      <c r="A55" s="4" t="s">
        <v>66</v>
      </c>
      <c r="B55" s="1" t="str">
        <f t="shared" si="0"/>
        <v>Corumba IV</v>
      </c>
      <c r="C55" s="1">
        <f t="shared" si="1"/>
        <v>-2309</v>
      </c>
      <c r="D55" s="2">
        <v>0</v>
      </c>
      <c r="E55" s="2">
        <v>0</v>
      </c>
      <c r="F55" s="2">
        <v>0</v>
      </c>
      <c r="G55" s="2">
        <v>0.3629</v>
      </c>
      <c r="H55" s="2">
        <v>24.813199999999998</v>
      </c>
      <c r="I55" s="2">
        <v>6.1776999999999997</v>
      </c>
      <c r="J55" s="2">
        <v>18.9984</v>
      </c>
      <c r="K55" s="2">
        <v>0</v>
      </c>
      <c r="L55" s="2">
        <v>0</v>
      </c>
    </row>
    <row r="56" spans="1:12" x14ac:dyDescent="0.35">
      <c r="A56" s="4" t="s">
        <v>67</v>
      </c>
      <c r="B56" s="1" t="str">
        <f t="shared" si="0"/>
        <v>Lago Paranoa</v>
      </c>
      <c r="C56" s="1">
        <f t="shared" si="1"/>
        <v>-2309</v>
      </c>
      <c r="D56" s="2">
        <v>0</v>
      </c>
      <c r="E56" s="2">
        <v>2302.4499999999998</v>
      </c>
      <c r="F56" s="2">
        <v>0.20630000000000001</v>
      </c>
      <c r="G56" s="2">
        <v>2.1892999999999998</v>
      </c>
      <c r="H56" s="2">
        <v>2.8033000000000001</v>
      </c>
      <c r="I56" s="2">
        <v>1.4354</v>
      </c>
      <c r="J56" s="2">
        <v>3.3509000000000002</v>
      </c>
      <c r="K56" s="2">
        <v>2302.4499999999998</v>
      </c>
      <c r="L56" s="2">
        <v>0</v>
      </c>
    </row>
    <row r="57" spans="1:12" hidden="1" x14ac:dyDescent="0.35">
      <c r="A57" s="4" t="s">
        <v>68</v>
      </c>
      <c r="B57" s="1" t="str">
        <f t="shared" si="0"/>
        <v>Corumba IV</v>
      </c>
      <c r="C57" s="1">
        <f t="shared" si="1"/>
        <v>-2308</v>
      </c>
      <c r="D57" s="2">
        <v>0</v>
      </c>
      <c r="E57" s="2">
        <v>0</v>
      </c>
      <c r="F57" s="2">
        <v>0</v>
      </c>
      <c r="G57" s="2">
        <v>0.3629</v>
      </c>
      <c r="H57" s="2">
        <v>23.239899999999999</v>
      </c>
      <c r="I57" s="2">
        <v>6.1776999999999997</v>
      </c>
      <c r="J57" s="2">
        <v>17.4251</v>
      </c>
      <c r="K57" s="2">
        <v>0</v>
      </c>
      <c r="L57" s="2">
        <v>0</v>
      </c>
    </row>
    <row r="58" spans="1:12" x14ac:dyDescent="0.35">
      <c r="A58" s="4" t="s">
        <v>69</v>
      </c>
      <c r="B58" s="1" t="str">
        <f t="shared" si="0"/>
        <v>Lago Paranoa</v>
      </c>
      <c r="C58" s="1">
        <f t="shared" si="1"/>
        <v>-2308</v>
      </c>
      <c r="D58" s="2">
        <v>0</v>
      </c>
      <c r="E58" s="2">
        <v>2302.4499999999998</v>
      </c>
      <c r="F58" s="2">
        <v>0.20649999999999999</v>
      </c>
      <c r="G58" s="2">
        <v>2.6932999999999998</v>
      </c>
      <c r="H58" s="2">
        <v>2.7974000000000001</v>
      </c>
      <c r="I58" s="2">
        <v>1.4354</v>
      </c>
      <c r="J58" s="2">
        <v>3.8488000000000002</v>
      </c>
      <c r="K58" s="2">
        <v>2302.4499999999998</v>
      </c>
      <c r="L58" s="2">
        <v>0</v>
      </c>
    </row>
    <row r="59" spans="1:12" hidden="1" x14ac:dyDescent="0.35">
      <c r="A59" s="4" t="s">
        <v>70</v>
      </c>
      <c r="B59" s="1" t="str">
        <f t="shared" si="0"/>
        <v>Corumba IV</v>
      </c>
      <c r="C59" s="1">
        <f t="shared" si="1"/>
        <v>-2307</v>
      </c>
      <c r="D59" s="2">
        <v>0</v>
      </c>
      <c r="E59" s="2">
        <v>0</v>
      </c>
      <c r="F59" s="2">
        <v>0</v>
      </c>
      <c r="G59" s="2">
        <v>0.3629</v>
      </c>
      <c r="H59" s="2">
        <v>29.511600000000001</v>
      </c>
      <c r="I59" s="2">
        <v>6.1776999999999997</v>
      </c>
      <c r="J59" s="2">
        <v>23.696899999999999</v>
      </c>
      <c r="K59" s="2">
        <v>0</v>
      </c>
      <c r="L59" s="2">
        <v>0</v>
      </c>
    </row>
    <row r="60" spans="1:12" x14ac:dyDescent="0.35">
      <c r="A60" s="4" t="s">
        <v>71</v>
      </c>
      <c r="B60" s="1" t="str">
        <f t="shared" si="0"/>
        <v>Lago Paranoa</v>
      </c>
      <c r="C60" s="1">
        <f t="shared" si="1"/>
        <v>-2307</v>
      </c>
      <c r="D60" s="2">
        <v>0</v>
      </c>
      <c r="E60" s="2">
        <v>2302.4499999999998</v>
      </c>
      <c r="F60" s="2">
        <v>0.20669999999999999</v>
      </c>
      <c r="G60" s="2">
        <v>2.6983000000000001</v>
      </c>
      <c r="H60" s="2">
        <v>3.0289999999999999</v>
      </c>
      <c r="I60" s="2">
        <v>1.4354</v>
      </c>
      <c r="J60" s="2">
        <v>4.0852000000000004</v>
      </c>
      <c r="K60" s="2">
        <v>2302.4499999999998</v>
      </c>
      <c r="L60" s="2">
        <v>0</v>
      </c>
    </row>
    <row r="61" spans="1:12" hidden="1" x14ac:dyDescent="0.35">
      <c r="A61" s="4" t="s">
        <v>72</v>
      </c>
      <c r="B61" s="1" t="str">
        <f t="shared" si="0"/>
        <v>Corumba IV</v>
      </c>
      <c r="C61" s="1">
        <f t="shared" si="1"/>
        <v>-2306</v>
      </c>
      <c r="D61" s="2">
        <v>0</v>
      </c>
      <c r="E61" s="2">
        <v>0</v>
      </c>
      <c r="F61" s="2">
        <v>0</v>
      </c>
      <c r="G61" s="2">
        <v>0.3629</v>
      </c>
      <c r="H61" s="2">
        <v>24.633500000000002</v>
      </c>
      <c r="I61" s="2">
        <v>6.1151999999999997</v>
      </c>
      <c r="J61" s="2">
        <v>18.8811</v>
      </c>
      <c r="K61" s="2">
        <v>0</v>
      </c>
      <c r="L61" s="2">
        <v>0</v>
      </c>
    </row>
    <row r="62" spans="1:12" x14ac:dyDescent="0.35">
      <c r="A62" s="4" t="s">
        <v>73</v>
      </c>
      <c r="B62" s="1" t="str">
        <f t="shared" si="0"/>
        <v>Lago Paranoa</v>
      </c>
      <c r="C62" s="1">
        <f t="shared" si="1"/>
        <v>-2306</v>
      </c>
      <c r="D62" s="2">
        <v>0</v>
      </c>
      <c r="E62" s="2">
        <v>2302.4499999999998</v>
      </c>
      <c r="F62" s="2">
        <v>0.25800000000000001</v>
      </c>
      <c r="G62" s="2">
        <v>2.2886000000000002</v>
      </c>
      <c r="H62" s="2">
        <v>2.7564000000000002</v>
      </c>
      <c r="I62" s="2">
        <v>1.4292</v>
      </c>
      <c r="J62" s="2">
        <v>3.3578000000000001</v>
      </c>
      <c r="K62" s="2">
        <v>2302.4499999999998</v>
      </c>
      <c r="L62" s="2">
        <v>0</v>
      </c>
    </row>
    <row r="63" spans="1:12" hidden="1" x14ac:dyDescent="0.35">
      <c r="A63" s="4" t="s">
        <v>74</v>
      </c>
      <c r="B63" s="1" t="str">
        <f t="shared" si="0"/>
        <v>Corumba IV</v>
      </c>
      <c r="C63" s="1">
        <f t="shared" si="1"/>
        <v>-2305</v>
      </c>
      <c r="D63" s="2">
        <v>0</v>
      </c>
      <c r="E63" s="2">
        <v>0</v>
      </c>
      <c r="F63" s="2">
        <v>0</v>
      </c>
      <c r="G63" s="2">
        <v>0.3629</v>
      </c>
      <c r="H63" s="2">
        <v>30.2728</v>
      </c>
      <c r="I63" s="2">
        <v>6.3300999999999998</v>
      </c>
      <c r="J63" s="2">
        <v>24.305599999999998</v>
      </c>
      <c r="K63" s="2">
        <v>0</v>
      </c>
      <c r="L63" s="2">
        <v>0</v>
      </c>
    </row>
    <row r="64" spans="1:12" x14ac:dyDescent="0.35">
      <c r="A64" s="4" t="s">
        <v>75</v>
      </c>
      <c r="B64" s="1" t="str">
        <f t="shared" si="0"/>
        <v>Lago Paranoa</v>
      </c>
      <c r="C64" s="1">
        <f t="shared" si="1"/>
        <v>-2305</v>
      </c>
      <c r="D64" s="2">
        <v>0</v>
      </c>
      <c r="E64" s="2">
        <v>2302.4499999999998</v>
      </c>
      <c r="F64" s="2">
        <v>0.25829999999999997</v>
      </c>
      <c r="G64" s="2">
        <v>2.4236</v>
      </c>
      <c r="H64" s="2">
        <v>3.0297000000000001</v>
      </c>
      <c r="I64" s="2">
        <v>1.4769000000000001</v>
      </c>
      <c r="J64" s="2">
        <v>3.7181999999999999</v>
      </c>
      <c r="K64" s="2">
        <v>2302.4499999999998</v>
      </c>
      <c r="L64" s="2">
        <v>0</v>
      </c>
    </row>
    <row r="65" spans="1:12" hidden="1" x14ac:dyDescent="0.35">
      <c r="A65" s="4" t="s">
        <v>76</v>
      </c>
      <c r="B65" s="1" t="str">
        <f t="shared" si="0"/>
        <v>Corumba IV</v>
      </c>
      <c r="C65" s="1">
        <f t="shared" si="1"/>
        <v>-2304</v>
      </c>
      <c r="D65" s="2">
        <v>0</v>
      </c>
      <c r="E65" s="2">
        <v>0</v>
      </c>
      <c r="F65" s="2">
        <v>0</v>
      </c>
      <c r="G65" s="2">
        <v>0.3629</v>
      </c>
      <c r="H65" s="2">
        <v>26.968900000000001</v>
      </c>
      <c r="I65" s="2">
        <v>6.3300999999999998</v>
      </c>
      <c r="J65" s="2">
        <v>21.0016</v>
      </c>
      <c r="K65" s="2">
        <v>0</v>
      </c>
      <c r="L65" s="2">
        <v>0</v>
      </c>
    </row>
    <row r="66" spans="1:12" x14ac:dyDescent="0.35">
      <c r="A66" s="4" t="s">
        <v>77</v>
      </c>
      <c r="B66" s="1" t="str">
        <f t="shared" si="0"/>
        <v>Lago Paranoa</v>
      </c>
      <c r="C66" s="1">
        <f t="shared" si="1"/>
        <v>-2304</v>
      </c>
      <c r="D66" s="2">
        <v>0</v>
      </c>
      <c r="E66" s="2">
        <v>2302.4499999999998</v>
      </c>
      <c r="F66" s="2">
        <v>0.2586</v>
      </c>
      <c r="G66" s="2">
        <v>3.0384000000000002</v>
      </c>
      <c r="H66" s="2">
        <v>3.2109000000000001</v>
      </c>
      <c r="I66" s="2">
        <v>1.4769000000000001</v>
      </c>
      <c r="J66" s="2">
        <v>4.5138999999999996</v>
      </c>
      <c r="K66" s="2">
        <v>2302.4499999999998</v>
      </c>
      <c r="L66" s="2">
        <v>0</v>
      </c>
    </row>
    <row r="67" spans="1:12" hidden="1" x14ac:dyDescent="0.35">
      <c r="A67" s="4" t="s">
        <v>78</v>
      </c>
      <c r="B67" s="1" t="str">
        <f t="shared" ref="B67:B130" si="2">_xlfn.TEXTBEFORE(_xlfn.TEXTAFTER(A67,"["),"]")</f>
        <v>Corumba IV</v>
      </c>
      <c r="C67" s="1">
        <f t="shared" ref="C67:C130" si="3">--_xlfn.TEXTBEFORE(_xlfn.TEXTAFTER(A67,"Week "),":")</f>
        <v>-2303</v>
      </c>
      <c r="D67" s="2">
        <v>0</v>
      </c>
      <c r="E67" s="2">
        <v>0</v>
      </c>
      <c r="F67" s="2">
        <v>0</v>
      </c>
      <c r="G67" s="2">
        <v>0.3629</v>
      </c>
      <c r="H67" s="2">
        <v>26.0686</v>
      </c>
      <c r="I67" s="2">
        <v>6.3300999999999998</v>
      </c>
      <c r="J67" s="2">
        <v>20.101400000000002</v>
      </c>
      <c r="K67" s="2">
        <v>0</v>
      </c>
      <c r="L67" s="2">
        <v>0</v>
      </c>
    </row>
    <row r="68" spans="1:12" x14ac:dyDescent="0.35">
      <c r="A68" s="4" t="s">
        <v>79</v>
      </c>
      <c r="B68" s="1" t="str">
        <f t="shared" si="2"/>
        <v>Lago Paranoa</v>
      </c>
      <c r="C68" s="1">
        <f t="shared" si="3"/>
        <v>-2303</v>
      </c>
      <c r="D68" s="2">
        <v>0</v>
      </c>
      <c r="E68" s="2">
        <v>2302.4499999999998</v>
      </c>
      <c r="F68" s="2">
        <v>0.25879999999999997</v>
      </c>
      <c r="G68" s="2">
        <v>2.7475000000000001</v>
      </c>
      <c r="H68" s="2">
        <v>3.1002000000000001</v>
      </c>
      <c r="I68" s="2">
        <v>1.4769000000000001</v>
      </c>
      <c r="J68" s="2">
        <v>4.1120000000000001</v>
      </c>
      <c r="K68" s="2">
        <v>2302.4499999999998</v>
      </c>
      <c r="L68" s="2">
        <v>0</v>
      </c>
    </row>
    <row r="69" spans="1:12" hidden="1" x14ac:dyDescent="0.35">
      <c r="A69" s="4" t="s">
        <v>80</v>
      </c>
      <c r="B69" s="1" t="str">
        <f t="shared" si="2"/>
        <v>Corumba IV</v>
      </c>
      <c r="C69" s="1">
        <f t="shared" si="3"/>
        <v>-2302</v>
      </c>
      <c r="D69" s="2">
        <v>0</v>
      </c>
      <c r="E69" s="2">
        <v>0</v>
      </c>
      <c r="F69" s="2">
        <v>0</v>
      </c>
      <c r="G69" s="2">
        <v>0.3629</v>
      </c>
      <c r="H69" s="2">
        <v>24.998100000000001</v>
      </c>
      <c r="I69" s="2">
        <v>5.8811999999999998</v>
      </c>
      <c r="J69" s="2">
        <v>19.479800000000001</v>
      </c>
      <c r="K69" s="2">
        <v>0</v>
      </c>
      <c r="L69" s="2">
        <v>0</v>
      </c>
    </row>
    <row r="70" spans="1:12" x14ac:dyDescent="0.35">
      <c r="A70" s="4" t="s">
        <v>81</v>
      </c>
      <c r="B70" s="1" t="str">
        <f t="shared" si="2"/>
        <v>Lago Paranoa</v>
      </c>
      <c r="C70" s="1">
        <f t="shared" si="3"/>
        <v>-2302</v>
      </c>
      <c r="D70" s="2">
        <v>0</v>
      </c>
      <c r="E70" s="2">
        <v>2302.4499999999998</v>
      </c>
      <c r="F70" s="2">
        <v>0.25900000000000001</v>
      </c>
      <c r="G70" s="2">
        <v>2.6629</v>
      </c>
      <c r="H70" s="2">
        <v>3.4639000000000002</v>
      </c>
      <c r="I70" s="2">
        <v>1.4135</v>
      </c>
      <c r="J70" s="2">
        <v>4.4542999999999999</v>
      </c>
      <c r="K70" s="2">
        <v>2302.4499999999998</v>
      </c>
      <c r="L70" s="2">
        <v>0</v>
      </c>
    </row>
    <row r="71" spans="1:12" hidden="1" x14ac:dyDescent="0.35">
      <c r="A71" s="4" t="s">
        <v>82</v>
      </c>
      <c r="B71" s="1" t="str">
        <f t="shared" si="2"/>
        <v>Corumba IV</v>
      </c>
      <c r="C71" s="1">
        <f t="shared" si="3"/>
        <v>-2301</v>
      </c>
      <c r="D71" s="2">
        <v>0</v>
      </c>
      <c r="E71" s="2">
        <v>0</v>
      </c>
      <c r="F71" s="2">
        <v>0</v>
      </c>
      <c r="G71" s="2">
        <v>0.3629</v>
      </c>
      <c r="H71" s="2">
        <v>29.835599999999999</v>
      </c>
      <c r="I71" s="2">
        <v>4.7587000000000002</v>
      </c>
      <c r="J71" s="2">
        <v>25.439800000000002</v>
      </c>
      <c r="K71" s="2">
        <v>0</v>
      </c>
      <c r="L71" s="2">
        <v>0</v>
      </c>
    </row>
    <row r="72" spans="1:12" x14ac:dyDescent="0.35">
      <c r="A72" s="4" t="s">
        <v>83</v>
      </c>
      <c r="B72" s="1" t="str">
        <f t="shared" si="2"/>
        <v>Lago Paranoa</v>
      </c>
      <c r="C72" s="1">
        <f t="shared" si="3"/>
        <v>-2301</v>
      </c>
      <c r="D72" s="2">
        <v>0</v>
      </c>
      <c r="E72" s="2">
        <v>2302.4499999999998</v>
      </c>
      <c r="F72" s="2">
        <v>0.22800000000000001</v>
      </c>
      <c r="G72" s="2">
        <v>2.8313999999999999</v>
      </c>
      <c r="H72" s="2">
        <v>3.5569999999999999</v>
      </c>
      <c r="I72" s="2">
        <v>1.2551000000000001</v>
      </c>
      <c r="J72" s="2">
        <v>4.9053000000000004</v>
      </c>
      <c r="K72" s="2">
        <v>2302.4499999999998</v>
      </c>
      <c r="L72" s="2">
        <v>0</v>
      </c>
    </row>
    <row r="73" spans="1:12" hidden="1" x14ac:dyDescent="0.35">
      <c r="A73" s="4" t="s">
        <v>84</v>
      </c>
      <c r="B73" s="1" t="str">
        <f t="shared" si="2"/>
        <v>Corumba IV</v>
      </c>
      <c r="C73" s="1">
        <f t="shared" si="3"/>
        <v>-2300</v>
      </c>
      <c r="D73" s="2">
        <v>0</v>
      </c>
      <c r="E73" s="2">
        <v>0</v>
      </c>
      <c r="F73" s="2">
        <v>0</v>
      </c>
      <c r="G73" s="2">
        <v>0.3629</v>
      </c>
      <c r="H73" s="2">
        <v>33.615600000000001</v>
      </c>
      <c r="I73" s="2">
        <v>4.7587000000000002</v>
      </c>
      <c r="J73" s="2">
        <v>29.219799999999999</v>
      </c>
      <c r="K73" s="2">
        <v>0</v>
      </c>
      <c r="L73" s="2">
        <v>0</v>
      </c>
    </row>
    <row r="74" spans="1:12" x14ac:dyDescent="0.35">
      <c r="A74" s="4" t="s">
        <v>85</v>
      </c>
      <c r="B74" s="1" t="str">
        <f t="shared" si="2"/>
        <v>Lago Paranoa</v>
      </c>
      <c r="C74" s="1">
        <f t="shared" si="3"/>
        <v>-2300</v>
      </c>
      <c r="D74" s="2">
        <v>0</v>
      </c>
      <c r="E74" s="2">
        <v>2302.4499999999998</v>
      </c>
      <c r="F74" s="2">
        <v>0.2281</v>
      </c>
      <c r="G74" s="2">
        <v>3.3448000000000002</v>
      </c>
      <c r="H74" s="2">
        <v>3.6072000000000002</v>
      </c>
      <c r="I74" s="2">
        <v>1.2551000000000001</v>
      </c>
      <c r="J74" s="2">
        <v>5.4687000000000001</v>
      </c>
      <c r="K74" s="2">
        <v>2302.4499999999998</v>
      </c>
      <c r="L74" s="2">
        <v>0</v>
      </c>
    </row>
    <row r="75" spans="1:12" hidden="1" x14ac:dyDescent="0.35">
      <c r="A75" s="4" t="s">
        <v>86</v>
      </c>
      <c r="B75" s="1" t="str">
        <f t="shared" si="2"/>
        <v>Corumba IV</v>
      </c>
      <c r="C75" s="1">
        <f t="shared" si="3"/>
        <v>-2299</v>
      </c>
      <c r="D75" s="2">
        <v>0</v>
      </c>
      <c r="E75" s="2">
        <v>0</v>
      </c>
      <c r="F75" s="2">
        <v>0</v>
      </c>
      <c r="G75" s="2">
        <v>0.3629</v>
      </c>
      <c r="H75" s="2">
        <v>26.219799999999999</v>
      </c>
      <c r="I75" s="2">
        <v>4.7587000000000002</v>
      </c>
      <c r="J75" s="2">
        <v>21.824000000000002</v>
      </c>
      <c r="K75" s="2">
        <v>0</v>
      </c>
      <c r="L75" s="2">
        <v>0</v>
      </c>
    </row>
    <row r="76" spans="1:12" x14ac:dyDescent="0.35">
      <c r="A76" s="4" t="s">
        <v>87</v>
      </c>
      <c r="B76" s="1" t="str">
        <f t="shared" si="2"/>
        <v>Lago Paranoa</v>
      </c>
      <c r="C76" s="1">
        <f t="shared" si="3"/>
        <v>-2299</v>
      </c>
      <c r="D76" s="2">
        <v>0</v>
      </c>
      <c r="E76" s="2">
        <v>2302.4499999999998</v>
      </c>
      <c r="F76" s="2">
        <v>0.2283</v>
      </c>
      <c r="G76" s="2">
        <v>2.6858</v>
      </c>
      <c r="H76" s="2">
        <v>3.1082999999999998</v>
      </c>
      <c r="I76" s="2">
        <v>1.2551000000000001</v>
      </c>
      <c r="J76" s="2">
        <v>4.3106999999999998</v>
      </c>
      <c r="K76" s="2">
        <v>2302.4499999999998</v>
      </c>
      <c r="L76" s="2">
        <v>0</v>
      </c>
    </row>
    <row r="77" spans="1:12" hidden="1" x14ac:dyDescent="0.35">
      <c r="A77" s="4" t="s">
        <v>88</v>
      </c>
      <c r="B77" s="1" t="str">
        <f t="shared" si="2"/>
        <v>Corumba IV</v>
      </c>
      <c r="C77" s="1">
        <f t="shared" si="3"/>
        <v>-2298</v>
      </c>
      <c r="D77" s="2">
        <v>0</v>
      </c>
      <c r="E77" s="2">
        <v>0</v>
      </c>
      <c r="F77" s="2">
        <v>0</v>
      </c>
      <c r="G77" s="2">
        <v>0.3629</v>
      </c>
      <c r="H77" s="2">
        <v>33.9846</v>
      </c>
      <c r="I77" s="2">
        <v>4.0865999999999998</v>
      </c>
      <c r="J77" s="2">
        <v>30.2608</v>
      </c>
      <c r="K77" s="2">
        <v>0</v>
      </c>
      <c r="L77" s="2">
        <v>0</v>
      </c>
    </row>
    <row r="78" spans="1:12" x14ac:dyDescent="0.35">
      <c r="A78" s="4" t="s">
        <v>89</v>
      </c>
      <c r="B78" s="1" t="str">
        <f t="shared" si="2"/>
        <v>Lago Paranoa</v>
      </c>
      <c r="C78" s="1">
        <f t="shared" si="3"/>
        <v>-2298</v>
      </c>
      <c r="D78" s="2">
        <v>0</v>
      </c>
      <c r="E78" s="2">
        <v>2302.4499999999998</v>
      </c>
      <c r="F78" s="2">
        <v>0.22839999999999999</v>
      </c>
      <c r="G78" s="2">
        <v>3.2018</v>
      </c>
      <c r="H78" s="2">
        <v>3.9828000000000001</v>
      </c>
      <c r="I78" s="2">
        <v>1.0808</v>
      </c>
      <c r="J78" s="2">
        <v>5.8754</v>
      </c>
      <c r="K78" s="2">
        <v>2302.4499999999998</v>
      </c>
      <c r="L78" s="2">
        <v>0</v>
      </c>
    </row>
    <row r="79" spans="1:12" hidden="1" x14ac:dyDescent="0.35">
      <c r="A79" s="4" t="s">
        <v>90</v>
      </c>
      <c r="B79" s="1" t="str">
        <f t="shared" si="2"/>
        <v>Corumba IV</v>
      </c>
      <c r="C79" s="1">
        <f t="shared" si="3"/>
        <v>-2297</v>
      </c>
      <c r="D79" s="2">
        <v>0</v>
      </c>
      <c r="E79" s="2">
        <v>0</v>
      </c>
      <c r="F79" s="2">
        <v>0</v>
      </c>
      <c r="G79" s="2">
        <v>0.3629</v>
      </c>
      <c r="H79" s="2">
        <v>39.735399999999998</v>
      </c>
      <c r="I79" s="2">
        <v>3.9569999999999999</v>
      </c>
      <c r="J79" s="2">
        <v>36.141199999999998</v>
      </c>
      <c r="K79" s="2">
        <v>0</v>
      </c>
      <c r="L79" s="2">
        <v>0</v>
      </c>
    </row>
    <row r="80" spans="1:12" x14ac:dyDescent="0.35">
      <c r="A80" s="4" t="s">
        <v>91</v>
      </c>
      <c r="B80" s="1" t="str">
        <f t="shared" si="2"/>
        <v>Lago Paranoa</v>
      </c>
      <c r="C80" s="1">
        <f t="shared" si="3"/>
        <v>-2297</v>
      </c>
      <c r="D80" s="2">
        <v>0</v>
      </c>
      <c r="E80" s="2">
        <v>2302.4499999999998</v>
      </c>
      <c r="F80" s="2">
        <v>0.20019999999999999</v>
      </c>
      <c r="G80" s="2">
        <v>2.9213</v>
      </c>
      <c r="H80" s="2">
        <v>4.2023999999999999</v>
      </c>
      <c r="I80" s="2">
        <v>1.0043</v>
      </c>
      <c r="J80" s="2">
        <v>5.9192</v>
      </c>
      <c r="K80" s="2">
        <v>2302.4499999999998</v>
      </c>
      <c r="L80" s="2">
        <v>0</v>
      </c>
    </row>
    <row r="81" spans="1:12" hidden="1" x14ac:dyDescent="0.35">
      <c r="A81" s="4" t="s">
        <v>92</v>
      </c>
      <c r="B81" s="1" t="str">
        <f t="shared" si="2"/>
        <v>Corumba IV</v>
      </c>
      <c r="C81" s="1">
        <f t="shared" si="3"/>
        <v>-2296</v>
      </c>
      <c r="D81" s="2">
        <v>0</v>
      </c>
      <c r="E81" s="2">
        <v>0</v>
      </c>
      <c r="F81" s="2">
        <v>0</v>
      </c>
      <c r="G81" s="2">
        <v>0.3629</v>
      </c>
      <c r="H81" s="2">
        <v>49.585000000000001</v>
      </c>
      <c r="I81" s="2">
        <v>3.3814000000000002</v>
      </c>
      <c r="J81" s="2">
        <v>46.566400000000002</v>
      </c>
      <c r="K81" s="2">
        <v>0</v>
      </c>
      <c r="L81" s="2">
        <v>0</v>
      </c>
    </row>
    <row r="82" spans="1:12" x14ac:dyDescent="0.35">
      <c r="A82" s="4" t="s">
        <v>93</v>
      </c>
      <c r="B82" s="1" t="str">
        <f t="shared" si="2"/>
        <v>Lago Paranoa</v>
      </c>
      <c r="C82" s="1">
        <f t="shared" si="3"/>
        <v>-2296</v>
      </c>
      <c r="D82" s="2">
        <v>0</v>
      </c>
      <c r="E82" s="2">
        <v>2302.4499999999998</v>
      </c>
      <c r="F82" s="2">
        <v>0.20030000000000001</v>
      </c>
      <c r="G82" s="2">
        <v>2.8944999999999999</v>
      </c>
      <c r="H82" s="2">
        <v>5.1581999999999999</v>
      </c>
      <c r="I82" s="2">
        <v>0.81479999999999997</v>
      </c>
      <c r="J82" s="2">
        <v>7.0376000000000003</v>
      </c>
      <c r="K82" s="2">
        <v>2302.4499999999998</v>
      </c>
      <c r="L82" s="2">
        <v>0</v>
      </c>
    </row>
    <row r="83" spans="1:12" hidden="1" x14ac:dyDescent="0.35">
      <c r="A83" s="4" t="s">
        <v>94</v>
      </c>
      <c r="B83" s="1" t="str">
        <f t="shared" si="2"/>
        <v>Corumba IV</v>
      </c>
      <c r="C83" s="1">
        <f t="shared" si="3"/>
        <v>-2295</v>
      </c>
      <c r="D83" s="2">
        <v>0</v>
      </c>
      <c r="E83" s="2">
        <v>0</v>
      </c>
      <c r="F83" s="2">
        <v>0</v>
      </c>
      <c r="G83" s="2">
        <v>0.3629</v>
      </c>
      <c r="H83" s="2">
        <v>53.231000000000002</v>
      </c>
      <c r="I83" s="2">
        <v>3.3814000000000002</v>
      </c>
      <c r="J83" s="2">
        <v>50.212499999999999</v>
      </c>
      <c r="K83" s="2">
        <v>0</v>
      </c>
      <c r="L83" s="2">
        <v>0</v>
      </c>
    </row>
    <row r="84" spans="1:12" x14ac:dyDescent="0.35">
      <c r="A84" s="4" t="s">
        <v>95</v>
      </c>
      <c r="B84" s="1" t="str">
        <f t="shared" si="2"/>
        <v>Lago Paranoa</v>
      </c>
      <c r="C84" s="1">
        <f t="shared" si="3"/>
        <v>-2295</v>
      </c>
      <c r="D84" s="2">
        <v>0</v>
      </c>
      <c r="E84" s="2">
        <v>2302.4499999999998</v>
      </c>
      <c r="F84" s="2">
        <v>0.20030000000000001</v>
      </c>
      <c r="G84" s="2">
        <v>3.2915000000000001</v>
      </c>
      <c r="H84" s="2">
        <v>6.5225</v>
      </c>
      <c r="I84" s="2">
        <v>0.81479999999999997</v>
      </c>
      <c r="J84" s="2">
        <v>8.7988999999999997</v>
      </c>
      <c r="K84" s="2">
        <v>2302.4499999999998</v>
      </c>
      <c r="L84" s="2">
        <v>0</v>
      </c>
    </row>
    <row r="85" spans="1:12" hidden="1" x14ac:dyDescent="0.35">
      <c r="A85" s="4" t="s">
        <v>96</v>
      </c>
      <c r="B85" s="1" t="str">
        <f t="shared" si="2"/>
        <v>Corumba IV</v>
      </c>
      <c r="C85" s="1">
        <f t="shared" si="3"/>
        <v>-2294</v>
      </c>
      <c r="D85" s="2">
        <v>0</v>
      </c>
      <c r="E85" s="2">
        <v>0</v>
      </c>
      <c r="F85" s="2">
        <v>0</v>
      </c>
      <c r="G85" s="2">
        <v>0.3629</v>
      </c>
      <c r="H85" s="2">
        <v>89.927700000000002</v>
      </c>
      <c r="I85" s="2">
        <v>3.3814000000000002</v>
      </c>
      <c r="J85" s="2">
        <v>86.909199999999998</v>
      </c>
      <c r="K85" s="2">
        <v>0</v>
      </c>
      <c r="L85" s="2">
        <v>0</v>
      </c>
    </row>
    <row r="86" spans="1:12" x14ac:dyDescent="0.35">
      <c r="A86" s="4" t="s">
        <v>97</v>
      </c>
      <c r="B86" s="1" t="str">
        <f t="shared" si="2"/>
        <v>Lago Paranoa</v>
      </c>
      <c r="C86" s="1">
        <f t="shared" si="3"/>
        <v>-2294</v>
      </c>
      <c r="D86" s="2">
        <v>0</v>
      </c>
      <c r="E86" s="2">
        <v>2302.4499999999998</v>
      </c>
      <c r="F86" s="2">
        <v>0.20039999999999999</v>
      </c>
      <c r="G86" s="2">
        <v>3.3683999999999998</v>
      </c>
      <c r="H86" s="2">
        <v>7.8959000000000001</v>
      </c>
      <c r="I86" s="2">
        <v>0.81479999999999997</v>
      </c>
      <c r="J86" s="2">
        <v>10.2492</v>
      </c>
      <c r="K86" s="2">
        <v>2302.4499999999998</v>
      </c>
      <c r="L86" s="2">
        <v>0</v>
      </c>
    </row>
    <row r="87" spans="1:12" hidden="1" x14ac:dyDescent="0.35">
      <c r="A87" s="4" t="s">
        <v>98</v>
      </c>
      <c r="B87" s="1" t="str">
        <f t="shared" si="2"/>
        <v>Corumba IV</v>
      </c>
      <c r="C87" s="1">
        <f t="shared" si="3"/>
        <v>-2293</v>
      </c>
      <c r="D87" s="2">
        <v>0</v>
      </c>
      <c r="E87" s="2">
        <v>0</v>
      </c>
      <c r="F87" s="2">
        <v>0</v>
      </c>
      <c r="G87" s="2">
        <v>0.3629</v>
      </c>
      <c r="H87" s="2">
        <v>81.090699999999998</v>
      </c>
      <c r="I87" s="2">
        <v>4.1712999999999996</v>
      </c>
      <c r="J87" s="2">
        <v>77.282300000000006</v>
      </c>
      <c r="K87" s="2">
        <v>0</v>
      </c>
      <c r="L87" s="2">
        <v>0</v>
      </c>
    </row>
    <row r="88" spans="1:12" x14ac:dyDescent="0.35">
      <c r="A88" s="4" t="s">
        <v>99</v>
      </c>
      <c r="B88" s="1" t="str">
        <f t="shared" si="2"/>
        <v>Lago Paranoa</v>
      </c>
      <c r="C88" s="1">
        <f t="shared" si="3"/>
        <v>-2293</v>
      </c>
      <c r="D88" s="2">
        <v>0</v>
      </c>
      <c r="E88" s="2">
        <v>2302.4499999999998</v>
      </c>
      <c r="F88" s="2">
        <v>0.14149999999999999</v>
      </c>
      <c r="G88" s="2">
        <v>4.2481999999999998</v>
      </c>
      <c r="H88" s="2">
        <v>8.8293999999999997</v>
      </c>
      <c r="I88" s="2">
        <v>1.0170999999999999</v>
      </c>
      <c r="J88" s="2">
        <v>11.918900000000001</v>
      </c>
      <c r="K88" s="2">
        <v>2302.4499999999998</v>
      </c>
      <c r="L88" s="2">
        <v>0</v>
      </c>
    </row>
    <row r="89" spans="1:12" hidden="1" x14ac:dyDescent="0.35">
      <c r="A89" s="4" t="s">
        <v>100</v>
      </c>
      <c r="B89" s="1" t="str">
        <f t="shared" si="2"/>
        <v>Corumba IV</v>
      </c>
      <c r="C89" s="1">
        <f t="shared" si="3"/>
        <v>-2292</v>
      </c>
      <c r="D89" s="2">
        <v>0</v>
      </c>
      <c r="E89" s="2">
        <v>0</v>
      </c>
      <c r="F89" s="2">
        <v>0</v>
      </c>
      <c r="G89" s="2">
        <v>0.3629</v>
      </c>
      <c r="H89" s="2">
        <v>120.6455</v>
      </c>
      <c r="I89" s="2">
        <v>4.5115999999999996</v>
      </c>
      <c r="J89" s="2">
        <v>116.4967</v>
      </c>
      <c r="K89" s="2">
        <v>0</v>
      </c>
      <c r="L89" s="2">
        <v>0</v>
      </c>
    </row>
    <row r="90" spans="1:12" x14ac:dyDescent="0.35">
      <c r="A90" s="4" t="s">
        <v>101</v>
      </c>
      <c r="B90" s="1" t="str">
        <f t="shared" si="2"/>
        <v>Lago Paranoa</v>
      </c>
      <c r="C90" s="1">
        <f t="shared" si="3"/>
        <v>-2292</v>
      </c>
      <c r="D90" s="2">
        <v>0</v>
      </c>
      <c r="E90" s="2">
        <v>2302.4499999999998</v>
      </c>
      <c r="F90" s="2">
        <v>0.14169999999999999</v>
      </c>
      <c r="G90" s="2">
        <v>4.4386000000000001</v>
      </c>
      <c r="H90" s="2">
        <v>15.4503</v>
      </c>
      <c r="I90" s="2">
        <v>1.2252000000000001</v>
      </c>
      <c r="J90" s="2">
        <v>18.522099999999998</v>
      </c>
      <c r="K90" s="2">
        <v>2302.4499999999998</v>
      </c>
      <c r="L90" s="2">
        <v>0</v>
      </c>
    </row>
    <row r="91" spans="1:12" hidden="1" x14ac:dyDescent="0.35">
      <c r="A91" s="4" t="s">
        <v>102</v>
      </c>
      <c r="B91" s="1" t="str">
        <f t="shared" si="2"/>
        <v>Corumba IV</v>
      </c>
      <c r="C91" s="1">
        <f t="shared" si="3"/>
        <v>-2395</v>
      </c>
      <c r="D91" s="2">
        <v>0</v>
      </c>
      <c r="E91" s="2">
        <v>0</v>
      </c>
      <c r="F91" s="2">
        <v>0</v>
      </c>
      <c r="G91" s="2">
        <v>0.3629</v>
      </c>
      <c r="H91" s="2">
        <v>73.627499999999998</v>
      </c>
      <c r="I91" s="2">
        <v>4.0095999999999998</v>
      </c>
      <c r="J91" s="2">
        <v>69.980699999999999</v>
      </c>
      <c r="K91" s="2">
        <v>0</v>
      </c>
      <c r="L91" s="2">
        <v>0</v>
      </c>
    </row>
    <row r="92" spans="1:12" x14ac:dyDescent="0.35">
      <c r="A92" s="4" t="s">
        <v>103</v>
      </c>
      <c r="B92" s="1" t="str">
        <f t="shared" si="2"/>
        <v>Lago Paranoa</v>
      </c>
      <c r="C92" s="1">
        <f t="shared" si="3"/>
        <v>-2395</v>
      </c>
      <c r="D92" s="2">
        <v>0</v>
      </c>
      <c r="E92" s="2">
        <v>2302.4499999999998</v>
      </c>
      <c r="F92" s="2">
        <v>0.26050000000000001</v>
      </c>
      <c r="G92" s="2">
        <v>4.6852</v>
      </c>
      <c r="H92" s="2">
        <v>9.8768999999999991</v>
      </c>
      <c r="I92" s="2">
        <v>1.0535000000000001</v>
      </c>
      <c r="J92" s="2">
        <v>13.248100000000001</v>
      </c>
      <c r="K92" s="2">
        <v>2302.4499999999998</v>
      </c>
      <c r="L92" s="2">
        <v>0</v>
      </c>
    </row>
    <row r="93" spans="1:12" hidden="1" x14ac:dyDescent="0.35">
      <c r="A93" s="4" t="s">
        <v>104</v>
      </c>
      <c r="B93" s="1" t="str">
        <f t="shared" si="2"/>
        <v>Corumba IV</v>
      </c>
      <c r="C93" s="1">
        <f t="shared" si="3"/>
        <v>-2394</v>
      </c>
      <c r="D93" s="2">
        <v>0</v>
      </c>
      <c r="E93" s="2">
        <v>0</v>
      </c>
      <c r="F93" s="2">
        <v>0</v>
      </c>
      <c r="G93" s="2">
        <v>0.3629</v>
      </c>
      <c r="H93" s="2">
        <v>65.314099999999996</v>
      </c>
      <c r="I93" s="2">
        <v>4.0095999999999998</v>
      </c>
      <c r="J93" s="2">
        <v>61.667299999999997</v>
      </c>
      <c r="K93" s="2">
        <v>0</v>
      </c>
      <c r="L93" s="2">
        <v>0</v>
      </c>
    </row>
    <row r="94" spans="1:12" x14ac:dyDescent="0.35">
      <c r="A94" s="4" t="s">
        <v>105</v>
      </c>
      <c r="B94" s="1" t="str">
        <f t="shared" si="2"/>
        <v>Lago Paranoa</v>
      </c>
      <c r="C94" s="1">
        <f t="shared" si="3"/>
        <v>-2394</v>
      </c>
      <c r="D94" s="2">
        <v>0</v>
      </c>
      <c r="E94" s="2">
        <v>2302.4499999999998</v>
      </c>
      <c r="F94" s="2">
        <v>0.14499999999999999</v>
      </c>
      <c r="G94" s="2">
        <v>3.7168000000000001</v>
      </c>
      <c r="H94" s="2">
        <v>8.5504999999999995</v>
      </c>
      <c r="I94" s="2">
        <v>1.0535000000000001</v>
      </c>
      <c r="J94" s="2">
        <v>11.068899999999999</v>
      </c>
      <c r="K94" s="2">
        <v>2302.4499999999998</v>
      </c>
      <c r="L94" s="2">
        <v>0</v>
      </c>
    </row>
    <row r="95" spans="1:12" hidden="1" x14ac:dyDescent="0.35">
      <c r="A95" s="4" t="s">
        <v>106</v>
      </c>
      <c r="B95" s="1" t="str">
        <f t="shared" si="2"/>
        <v>Corumba IV</v>
      </c>
      <c r="C95" s="1">
        <f t="shared" si="3"/>
        <v>-2393</v>
      </c>
      <c r="D95" s="2">
        <v>0</v>
      </c>
      <c r="E95" s="2">
        <v>0</v>
      </c>
      <c r="F95" s="2">
        <v>0</v>
      </c>
      <c r="G95" s="2">
        <v>0.3629</v>
      </c>
      <c r="H95" s="2">
        <v>79.793899999999994</v>
      </c>
      <c r="I95" s="2">
        <v>4.0095999999999998</v>
      </c>
      <c r="J95" s="2">
        <v>76.147099999999995</v>
      </c>
      <c r="K95" s="2">
        <v>0</v>
      </c>
      <c r="L95" s="2">
        <v>0</v>
      </c>
    </row>
    <row r="96" spans="1:12" x14ac:dyDescent="0.35">
      <c r="A96" s="4" t="s">
        <v>107</v>
      </c>
      <c r="B96" s="1" t="str">
        <f t="shared" si="2"/>
        <v>Lago Paranoa</v>
      </c>
      <c r="C96" s="1">
        <f t="shared" si="3"/>
        <v>-2393</v>
      </c>
      <c r="D96" s="2">
        <v>0</v>
      </c>
      <c r="E96" s="2">
        <v>2302.4499999999998</v>
      </c>
      <c r="F96" s="2">
        <v>0.14480000000000001</v>
      </c>
      <c r="G96" s="2">
        <v>3.4409999999999998</v>
      </c>
      <c r="H96" s="2">
        <v>8.7870000000000008</v>
      </c>
      <c r="I96" s="2">
        <v>1.0535000000000001</v>
      </c>
      <c r="J96" s="2">
        <v>11.0297</v>
      </c>
      <c r="K96" s="2">
        <v>2302.4499999999998</v>
      </c>
      <c r="L96" s="2">
        <v>0</v>
      </c>
    </row>
    <row r="97" spans="1:12" hidden="1" x14ac:dyDescent="0.35">
      <c r="A97" s="4" t="s">
        <v>108</v>
      </c>
      <c r="B97" s="1" t="str">
        <f t="shared" si="2"/>
        <v>Corumba IV</v>
      </c>
      <c r="C97" s="1">
        <f t="shared" si="3"/>
        <v>-2392</v>
      </c>
      <c r="D97" s="2">
        <v>0</v>
      </c>
      <c r="E97" s="2">
        <v>0</v>
      </c>
      <c r="F97" s="2">
        <v>0</v>
      </c>
      <c r="G97" s="2">
        <v>0.3629</v>
      </c>
      <c r="H97" s="2">
        <v>73.209299999999999</v>
      </c>
      <c r="I97" s="2">
        <v>3.1857000000000002</v>
      </c>
      <c r="J97" s="2">
        <v>70.386499999999998</v>
      </c>
      <c r="K97" s="2">
        <v>0</v>
      </c>
      <c r="L97" s="2">
        <v>0</v>
      </c>
    </row>
    <row r="98" spans="1:12" x14ac:dyDescent="0.35">
      <c r="A98" s="4" t="s">
        <v>109</v>
      </c>
      <c r="B98" s="1" t="str">
        <f t="shared" si="2"/>
        <v>Lago Paranoa</v>
      </c>
      <c r="C98" s="1">
        <f t="shared" si="3"/>
        <v>-2392</v>
      </c>
      <c r="D98" s="2">
        <v>0</v>
      </c>
      <c r="E98" s="2">
        <v>2302.4499999999998</v>
      </c>
      <c r="F98" s="2">
        <v>0.16200000000000001</v>
      </c>
      <c r="G98" s="2">
        <v>3.9285000000000001</v>
      </c>
      <c r="H98" s="2">
        <v>12.0397</v>
      </c>
      <c r="I98" s="2">
        <v>0.63270000000000004</v>
      </c>
      <c r="J98" s="2">
        <v>15.173400000000001</v>
      </c>
      <c r="K98" s="2">
        <v>2302.4499999999998</v>
      </c>
      <c r="L98" s="2">
        <v>0</v>
      </c>
    </row>
    <row r="99" spans="1:12" hidden="1" x14ac:dyDescent="0.35">
      <c r="A99" s="4" t="s">
        <v>110</v>
      </c>
      <c r="B99" s="1" t="str">
        <f t="shared" si="2"/>
        <v>Corumba IV</v>
      </c>
      <c r="C99" s="1">
        <f t="shared" si="3"/>
        <v>-2391</v>
      </c>
      <c r="D99" s="2">
        <v>0</v>
      </c>
      <c r="E99" s="2">
        <v>0</v>
      </c>
      <c r="F99" s="2">
        <v>0</v>
      </c>
      <c r="G99" s="2">
        <v>0.3629</v>
      </c>
      <c r="H99" s="2">
        <v>64.429299999999998</v>
      </c>
      <c r="I99" s="2">
        <v>3.1857000000000002</v>
      </c>
      <c r="J99" s="2">
        <v>61.606499999999997</v>
      </c>
      <c r="K99" s="2">
        <v>0</v>
      </c>
      <c r="L99" s="2">
        <v>0</v>
      </c>
    </row>
    <row r="100" spans="1:12" x14ac:dyDescent="0.35">
      <c r="A100" s="4" t="s">
        <v>111</v>
      </c>
      <c r="B100" s="1" t="str">
        <f t="shared" si="2"/>
        <v>Lago Paranoa</v>
      </c>
      <c r="C100" s="1">
        <f t="shared" si="3"/>
        <v>-2391</v>
      </c>
      <c r="D100" s="2">
        <v>0</v>
      </c>
      <c r="E100" s="2">
        <v>2302.4499999999998</v>
      </c>
      <c r="F100" s="2">
        <v>0.15440000000000001</v>
      </c>
      <c r="G100" s="2">
        <v>4.0194999999999999</v>
      </c>
      <c r="H100" s="2">
        <v>10.190300000000001</v>
      </c>
      <c r="I100" s="2">
        <v>0.63270000000000004</v>
      </c>
      <c r="J100" s="2">
        <v>13.422700000000001</v>
      </c>
      <c r="K100" s="2">
        <v>2302.4499999999998</v>
      </c>
      <c r="L100" s="2">
        <v>0</v>
      </c>
    </row>
    <row r="101" spans="1:12" hidden="1" x14ac:dyDescent="0.35">
      <c r="A101" s="4" t="s">
        <v>112</v>
      </c>
      <c r="B101" s="1" t="str">
        <f t="shared" si="2"/>
        <v>Corumba IV</v>
      </c>
      <c r="C101" s="1">
        <f t="shared" si="3"/>
        <v>-2390</v>
      </c>
      <c r="D101" s="2">
        <v>0</v>
      </c>
      <c r="E101" s="2">
        <v>0</v>
      </c>
      <c r="F101" s="2">
        <v>0</v>
      </c>
      <c r="G101" s="2">
        <v>0.3629</v>
      </c>
      <c r="H101" s="2">
        <v>47.418900000000001</v>
      </c>
      <c r="I101" s="2">
        <v>3.1857000000000002</v>
      </c>
      <c r="J101" s="2">
        <v>44.5961</v>
      </c>
      <c r="K101" s="2">
        <v>0</v>
      </c>
      <c r="L101" s="2">
        <v>0</v>
      </c>
    </row>
    <row r="102" spans="1:12" x14ac:dyDescent="0.35">
      <c r="A102" s="4" t="s">
        <v>113</v>
      </c>
      <c r="B102" s="1" t="str">
        <f t="shared" si="2"/>
        <v>Lago Paranoa</v>
      </c>
      <c r="C102" s="1">
        <f t="shared" si="3"/>
        <v>-2390</v>
      </c>
      <c r="D102" s="2">
        <v>0</v>
      </c>
      <c r="E102" s="2">
        <v>2302.4499999999998</v>
      </c>
      <c r="F102" s="2">
        <v>0.154</v>
      </c>
      <c r="G102" s="2">
        <v>3.4544999999999999</v>
      </c>
      <c r="H102" s="2">
        <v>9.2568999999999999</v>
      </c>
      <c r="I102" s="2">
        <v>0.63270000000000004</v>
      </c>
      <c r="J102" s="2">
        <v>11.9246</v>
      </c>
      <c r="K102" s="2">
        <v>2302.4499999999998</v>
      </c>
      <c r="L102" s="2">
        <v>0</v>
      </c>
    </row>
    <row r="103" spans="1:12" hidden="1" x14ac:dyDescent="0.35">
      <c r="A103" s="4" t="s">
        <v>114</v>
      </c>
      <c r="B103" s="1" t="str">
        <f t="shared" si="2"/>
        <v>Corumba IV</v>
      </c>
      <c r="C103" s="1">
        <f t="shared" si="3"/>
        <v>-2389</v>
      </c>
      <c r="D103" s="2">
        <v>0</v>
      </c>
      <c r="E103" s="2">
        <v>0</v>
      </c>
      <c r="F103" s="2">
        <v>0</v>
      </c>
      <c r="G103" s="2">
        <v>0.3629</v>
      </c>
      <c r="H103" s="2">
        <v>79.233099999999993</v>
      </c>
      <c r="I103" s="2">
        <v>3.3329</v>
      </c>
      <c r="J103" s="2">
        <v>76.263099999999994</v>
      </c>
      <c r="K103" s="2">
        <v>0</v>
      </c>
      <c r="L103" s="2">
        <v>0</v>
      </c>
    </row>
    <row r="104" spans="1:12" x14ac:dyDescent="0.35">
      <c r="A104" s="4" t="s">
        <v>115</v>
      </c>
      <c r="B104" s="1" t="str">
        <f t="shared" si="2"/>
        <v>Lago Paranoa</v>
      </c>
      <c r="C104" s="1">
        <f t="shared" si="3"/>
        <v>-2389</v>
      </c>
      <c r="D104" s="2">
        <v>0</v>
      </c>
      <c r="E104" s="2">
        <v>2302.4499999999998</v>
      </c>
      <c r="F104" s="2">
        <v>0.15379999999999999</v>
      </c>
      <c r="G104" s="2">
        <v>3.9615999999999998</v>
      </c>
      <c r="H104" s="2">
        <v>11.2126</v>
      </c>
      <c r="I104" s="2">
        <v>0.60019999999999996</v>
      </c>
      <c r="J104" s="2">
        <v>14.420299999999999</v>
      </c>
      <c r="K104" s="2">
        <v>2302.4499999999998</v>
      </c>
      <c r="L104" s="2">
        <v>0</v>
      </c>
    </row>
    <row r="105" spans="1:12" hidden="1" x14ac:dyDescent="0.35">
      <c r="A105" s="4" t="s">
        <v>116</v>
      </c>
      <c r="B105" s="1" t="str">
        <f t="shared" si="2"/>
        <v>Corumba IV</v>
      </c>
      <c r="C105" s="1">
        <f t="shared" si="3"/>
        <v>-2388</v>
      </c>
      <c r="D105" s="2">
        <v>0</v>
      </c>
      <c r="E105" s="2">
        <v>0</v>
      </c>
      <c r="F105" s="2">
        <v>0</v>
      </c>
      <c r="G105" s="2">
        <v>0.3629</v>
      </c>
      <c r="H105" s="2">
        <v>65.626000000000005</v>
      </c>
      <c r="I105" s="2">
        <v>3.3866999999999998</v>
      </c>
      <c r="J105" s="2">
        <v>62.602200000000003</v>
      </c>
      <c r="K105" s="2">
        <v>0</v>
      </c>
      <c r="L105" s="2">
        <v>0</v>
      </c>
    </row>
    <row r="106" spans="1:12" x14ac:dyDescent="0.35">
      <c r="A106" s="4" t="s">
        <v>117</v>
      </c>
      <c r="B106" s="1" t="str">
        <f t="shared" si="2"/>
        <v>Lago Paranoa</v>
      </c>
      <c r="C106" s="1">
        <f t="shared" si="3"/>
        <v>-2388</v>
      </c>
      <c r="D106" s="2">
        <v>0</v>
      </c>
      <c r="E106" s="2">
        <v>2302.4499999999998</v>
      </c>
      <c r="F106" s="2">
        <v>0.21709999999999999</v>
      </c>
      <c r="G106" s="2">
        <v>3.3593999999999999</v>
      </c>
      <c r="H106" s="2">
        <v>8.9944000000000006</v>
      </c>
      <c r="I106" s="2">
        <v>0.80279999999999996</v>
      </c>
      <c r="J106" s="2">
        <v>11.3338</v>
      </c>
      <c r="K106" s="2">
        <v>2302.4499999999998</v>
      </c>
      <c r="L106" s="2">
        <v>0</v>
      </c>
    </row>
    <row r="107" spans="1:12" hidden="1" x14ac:dyDescent="0.35">
      <c r="A107" s="4" t="s">
        <v>118</v>
      </c>
      <c r="B107" s="1" t="str">
        <f t="shared" si="2"/>
        <v>Corumba IV</v>
      </c>
      <c r="C107" s="1">
        <f t="shared" si="3"/>
        <v>-2387</v>
      </c>
      <c r="D107" s="2">
        <v>0</v>
      </c>
      <c r="E107" s="2">
        <v>0</v>
      </c>
      <c r="F107" s="2">
        <v>0</v>
      </c>
      <c r="G107" s="2">
        <v>0.3629</v>
      </c>
      <c r="H107" s="2">
        <v>72.961299999999994</v>
      </c>
      <c r="I107" s="2">
        <v>3.6217000000000001</v>
      </c>
      <c r="J107" s="2">
        <v>69.702600000000004</v>
      </c>
      <c r="K107" s="2">
        <v>0</v>
      </c>
      <c r="L107" s="2">
        <v>0</v>
      </c>
    </row>
    <row r="108" spans="1:12" x14ac:dyDescent="0.35">
      <c r="A108" s="4" t="s">
        <v>119</v>
      </c>
      <c r="B108" s="1" t="str">
        <f t="shared" si="2"/>
        <v>Lago Paranoa</v>
      </c>
      <c r="C108" s="1">
        <f t="shared" si="3"/>
        <v>-2387</v>
      </c>
      <c r="D108" s="2">
        <v>0</v>
      </c>
      <c r="E108" s="2">
        <v>2302.4499999999998</v>
      </c>
      <c r="F108" s="2">
        <v>0.21679999999999999</v>
      </c>
      <c r="G108" s="2">
        <v>4.1651999999999996</v>
      </c>
      <c r="H108" s="2">
        <v>10.0702</v>
      </c>
      <c r="I108" s="2">
        <v>0.8367</v>
      </c>
      <c r="J108" s="2">
        <v>13.181900000000001</v>
      </c>
      <c r="K108" s="2">
        <v>2302.4499999999998</v>
      </c>
      <c r="L108" s="2">
        <v>0</v>
      </c>
    </row>
    <row r="109" spans="1:12" hidden="1" x14ac:dyDescent="0.35">
      <c r="A109" s="4" t="s">
        <v>120</v>
      </c>
      <c r="B109" s="1" t="str">
        <f t="shared" si="2"/>
        <v>Corumba IV</v>
      </c>
      <c r="C109" s="1">
        <f t="shared" si="3"/>
        <v>-2386</v>
      </c>
      <c r="D109" s="2">
        <v>0</v>
      </c>
      <c r="E109" s="2">
        <v>0</v>
      </c>
      <c r="F109" s="2">
        <v>0</v>
      </c>
      <c r="G109" s="2">
        <v>0.3629</v>
      </c>
      <c r="H109" s="2">
        <v>88.383700000000005</v>
      </c>
      <c r="I109" s="2">
        <v>3.6217000000000001</v>
      </c>
      <c r="J109" s="2">
        <v>85.125</v>
      </c>
      <c r="K109" s="2">
        <v>0</v>
      </c>
      <c r="L109" s="2">
        <v>0</v>
      </c>
    </row>
    <row r="110" spans="1:12" x14ac:dyDescent="0.35">
      <c r="A110" s="4" t="s">
        <v>121</v>
      </c>
      <c r="B110" s="1" t="str">
        <f t="shared" si="2"/>
        <v>Lago Paranoa</v>
      </c>
      <c r="C110" s="1">
        <f t="shared" si="3"/>
        <v>-2386</v>
      </c>
      <c r="D110" s="2">
        <v>0</v>
      </c>
      <c r="E110" s="2">
        <v>2302.4499999999998</v>
      </c>
      <c r="F110" s="2">
        <v>0.21640000000000001</v>
      </c>
      <c r="G110" s="2">
        <v>3.8824000000000001</v>
      </c>
      <c r="H110" s="2">
        <v>9.2050999999999998</v>
      </c>
      <c r="I110" s="2">
        <v>0.8367</v>
      </c>
      <c r="J110" s="2">
        <v>12.0343</v>
      </c>
      <c r="K110" s="2">
        <v>2302.4499999999998</v>
      </c>
      <c r="L110" s="2">
        <v>0</v>
      </c>
    </row>
    <row r="111" spans="1:12" hidden="1" x14ac:dyDescent="0.35">
      <c r="A111" s="4" t="s">
        <v>122</v>
      </c>
      <c r="B111" s="1" t="str">
        <f t="shared" si="2"/>
        <v>Corumba IV</v>
      </c>
      <c r="C111" s="1">
        <f t="shared" si="3"/>
        <v>-2385</v>
      </c>
      <c r="D111" s="2">
        <v>0</v>
      </c>
      <c r="E111" s="2">
        <v>0</v>
      </c>
      <c r="F111" s="2">
        <v>0</v>
      </c>
      <c r="G111" s="2">
        <v>0.3629</v>
      </c>
      <c r="H111" s="2">
        <v>71.964299999999994</v>
      </c>
      <c r="I111" s="2">
        <v>3.6217000000000001</v>
      </c>
      <c r="J111" s="2">
        <v>68.705500000000001</v>
      </c>
      <c r="K111" s="2">
        <v>0</v>
      </c>
      <c r="L111" s="2">
        <v>0</v>
      </c>
    </row>
    <row r="112" spans="1:12" x14ac:dyDescent="0.35">
      <c r="A112" s="4" t="s">
        <v>123</v>
      </c>
      <c r="B112" s="1" t="str">
        <f t="shared" si="2"/>
        <v>Lago Paranoa</v>
      </c>
      <c r="C112" s="1">
        <f t="shared" si="3"/>
        <v>-2385</v>
      </c>
      <c r="D112" s="2">
        <v>0</v>
      </c>
      <c r="E112" s="2">
        <v>2302.4499999999998</v>
      </c>
      <c r="F112" s="2">
        <v>0.21659999999999999</v>
      </c>
      <c r="G112" s="2">
        <v>4.03</v>
      </c>
      <c r="H112" s="2">
        <v>9.3213000000000008</v>
      </c>
      <c r="I112" s="2">
        <v>0.8367</v>
      </c>
      <c r="J112" s="2">
        <v>12.2979</v>
      </c>
      <c r="K112" s="2">
        <v>2302.4499999999998</v>
      </c>
      <c r="L112" s="2">
        <v>0</v>
      </c>
    </row>
    <row r="113" spans="1:12" hidden="1" x14ac:dyDescent="0.35">
      <c r="A113" s="4" t="s">
        <v>124</v>
      </c>
      <c r="B113" s="1" t="str">
        <f t="shared" si="2"/>
        <v>Corumba IV</v>
      </c>
      <c r="C113" s="1">
        <f t="shared" si="3"/>
        <v>-2384</v>
      </c>
      <c r="D113" s="2">
        <v>0</v>
      </c>
      <c r="E113" s="2">
        <v>0</v>
      </c>
      <c r="F113" s="2">
        <v>0</v>
      </c>
      <c r="G113" s="2">
        <v>0.3629</v>
      </c>
      <c r="H113" s="2">
        <v>69.116500000000002</v>
      </c>
      <c r="I113" s="2">
        <v>3.7736999999999998</v>
      </c>
      <c r="J113" s="2">
        <v>65.705699999999993</v>
      </c>
      <c r="K113" s="2">
        <v>0</v>
      </c>
      <c r="L113" s="2">
        <v>0</v>
      </c>
    </row>
    <row r="114" spans="1:12" x14ac:dyDescent="0.35">
      <c r="A114" s="4" t="s">
        <v>125</v>
      </c>
      <c r="B114" s="1" t="str">
        <f t="shared" si="2"/>
        <v>Lago Paranoa</v>
      </c>
      <c r="C114" s="1">
        <f t="shared" si="3"/>
        <v>-2384</v>
      </c>
      <c r="D114" s="2">
        <v>0</v>
      </c>
      <c r="E114" s="2">
        <v>2302.4499999999998</v>
      </c>
      <c r="F114" s="2">
        <v>0.13150000000000001</v>
      </c>
      <c r="G114" s="2">
        <v>3.7294999999999998</v>
      </c>
      <c r="H114" s="2">
        <v>8.5905000000000005</v>
      </c>
      <c r="I114" s="2">
        <v>1.0141</v>
      </c>
      <c r="J114" s="2">
        <v>11.1744</v>
      </c>
      <c r="K114" s="2">
        <v>2302.4499999999998</v>
      </c>
      <c r="L114" s="2">
        <v>0</v>
      </c>
    </row>
    <row r="115" spans="1:12" hidden="1" x14ac:dyDescent="0.35">
      <c r="A115" s="4" t="s">
        <v>126</v>
      </c>
      <c r="B115" s="1" t="str">
        <f t="shared" si="2"/>
        <v>Corumba IV</v>
      </c>
      <c r="C115" s="1">
        <f t="shared" si="3"/>
        <v>-2383</v>
      </c>
      <c r="D115" s="2">
        <v>0</v>
      </c>
      <c r="E115" s="2">
        <v>0</v>
      </c>
      <c r="F115" s="2">
        <v>0</v>
      </c>
      <c r="G115" s="2">
        <v>0.3629</v>
      </c>
      <c r="H115" s="2">
        <v>50.090400000000002</v>
      </c>
      <c r="I115" s="2">
        <v>3.8344999999999998</v>
      </c>
      <c r="J115" s="2">
        <v>46.6188</v>
      </c>
      <c r="K115" s="2">
        <v>0</v>
      </c>
      <c r="L115" s="2">
        <v>0</v>
      </c>
    </row>
    <row r="116" spans="1:12" x14ac:dyDescent="0.35">
      <c r="A116" s="4" t="s">
        <v>127</v>
      </c>
      <c r="B116" s="1" t="str">
        <f t="shared" si="2"/>
        <v>Lago Paranoa</v>
      </c>
      <c r="C116" s="1">
        <f t="shared" si="3"/>
        <v>-2383</v>
      </c>
      <c r="D116" s="2">
        <v>0</v>
      </c>
      <c r="E116" s="2">
        <v>2302.4499999999998</v>
      </c>
      <c r="F116" s="2">
        <v>0.13159999999999999</v>
      </c>
      <c r="G116" s="2">
        <v>2.8313999999999999</v>
      </c>
      <c r="H116" s="2">
        <v>6.8421000000000003</v>
      </c>
      <c r="I116" s="2">
        <v>1.085</v>
      </c>
      <c r="J116" s="2">
        <v>8.4567999999999994</v>
      </c>
      <c r="K116" s="2">
        <v>2302.4499999999998</v>
      </c>
      <c r="L116" s="2">
        <v>0</v>
      </c>
    </row>
    <row r="117" spans="1:12" hidden="1" x14ac:dyDescent="0.35">
      <c r="A117" s="4" t="s">
        <v>128</v>
      </c>
      <c r="B117" s="1" t="str">
        <f t="shared" si="2"/>
        <v>Corumba IV</v>
      </c>
      <c r="C117" s="1">
        <f t="shared" si="3"/>
        <v>-2382</v>
      </c>
      <c r="D117" s="2">
        <v>0</v>
      </c>
      <c r="E117" s="2">
        <v>0</v>
      </c>
      <c r="F117" s="2">
        <v>0</v>
      </c>
      <c r="G117" s="2">
        <v>0.3629</v>
      </c>
      <c r="H117" s="2">
        <v>45.351399999999998</v>
      </c>
      <c r="I117" s="2">
        <v>3.8344999999999998</v>
      </c>
      <c r="J117" s="2">
        <v>41.8797</v>
      </c>
      <c r="K117" s="2">
        <v>0</v>
      </c>
      <c r="L117" s="2">
        <v>0</v>
      </c>
    </row>
    <row r="118" spans="1:12" x14ac:dyDescent="0.35">
      <c r="A118" s="4" t="s">
        <v>129</v>
      </c>
      <c r="B118" s="1" t="str">
        <f t="shared" si="2"/>
        <v>Lago Paranoa</v>
      </c>
      <c r="C118" s="1">
        <f t="shared" si="3"/>
        <v>-2382</v>
      </c>
      <c r="D118" s="2">
        <v>0</v>
      </c>
      <c r="E118" s="2">
        <v>2302.4499999999998</v>
      </c>
      <c r="F118" s="2">
        <v>0.1318</v>
      </c>
      <c r="G118" s="2">
        <v>2.8323</v>
      </c>
      <c r="H118" s="2">
        <v>6.5914000000000001</v>
      </c>
      <c r="I118" s="2">
        <v>1.085</v>
      </c>
      <c r="J118" s="2">
        <v>8.2068999999999992</v>
      </c>
      <c r="K118" s="2">
        <v>2302.4499999999998</v>
      </c>
      <c r="L118" s="2">
        <v>0</v>
      </c>
    </row>
    <row r="119" spans="1:12" hidden="1" x14ac:dyDescent="0.35">
      <c r="A119" s="4" t="s">
        <v>130</v>
      </c>
      <c r="B119" s="1" t="str">
        <f t="shared" si="2"/>
        <v>Corumba IV</v>
      </c>
      <c r="C119" s="1">
        <f t="shared" si="3"/>
        <v>-2381</v>
      </c>
      <c r="D119" s="2">
        <v>0</v>
      </c>
      <c r="E119" s="2">
        <v>0</v>
      </c>
      <c r="F119" s="2">
        <v>0</v>
      </c>
      <c r="G119" s="2">
        <v>0.3629</v>
      </c>
      <c r="H119" s="2">
        <v>50.783299999999997</v>
      </c>
      <c r="I119" s="2">
        <v>3.8344999999999998</v>
      </c>
      <c r="J119" s="2">
        <v>47.311700000000002</v>
      </c>
      <c r="K119" s="2">
        <v>0</v>
      </c>
      <c r="L119" s="2">
        <v>0</v>
      </c>
    </row>
    <row r="120" spans="1:12" x14ac:dyDescent="0.35">
      <c r="A120" s="4" t="s">
        <v>131</v>
      </c>
      <c r="B120" s="1" t="str">
        <f t="shared" si="2"/>
        <v>Lago Paranoa</v>
      </c>
      <c r="C120" s="1">
        <f t="shared" si="3"/>
        <v>-2381</v>
      </c>
      <c r="D120" s="2">
        <v>0</v>
      </c>
      <c r="E120" s="2">
        <v>2302.4499999999998</v>
      </c>
      <c r="F120" s="2">
        <v>0.13189999999999999</v>
      </c>
      <c r="G120" s="2">
        <v>3.0773000000000001</v>
      </c>
      <c r="H120" s="2">
        <v>7.1344000000000003</v>
      </c>
      <c r="I120" s="2">
        <v>1.085</v>
      </c>
      <c r="J120" s="2">
        <v>8.9947999999999997</v>
      </c>
      <c r="K120" s="2">
        <v>2302.4499999999998</v>
      </c>
      <c r="L120" s="2">
        <v>0</v>
      </c>
    </row>
    <row r="121" spans="1:12" hidden="1" x14ac:dyDescent="0.35">
      <c r="A121" s="4" t="s">
        <v>132</v>
      </c>
      <c r="B121" s="1" t="str">
        <f t="shared" si="2"/>
        <v>Corumba IV</v>
      </c>
      <c r="C121" s="1">
        <f t="shared" si="3"/>
        <v>-2380</v>
      </c>
      <c r="D121" s="2">
        <v>0</v>
      </c>
      <c r="E121" s="2">
        <v>0</v>
      </c>
      <c r="F121" s="2">
        <v>0</v>
      </c>
      <c r="G121" s="2">
        <v>0.3629</v>
      </c>
      <c r="H121" s="2">
        <v>90.020200000000003</v>
      </c>
      <c r="I121" s="2">
        <v>3.9777</v>
      </c>
      <c r="J121" s="2">
        <v>86.405299999999997</v>
      </c>
      <c r="K121" s="2">
        <v>0</v>
      </c>
      <c r="L121" s="2">
        <v>0</v>
      </c>
    </row>
    <row r="122" spans="1:12" x14ac:dyDescent="0.35">
      <c r="A122" s="4" t="s">
        <v>133</v>
      </c>
      <c r="B122" s="1" t="str">
        <f t="shared" si="2"/>
        <v>Lago Paranoa</v>
      </c>
      <c r="C122" s="1">
        <f t="shared" si="3"/>
        <v>-2380</v>
      </c>
      <c r="D122" s="2">
        <v>0</v>
      </c>
      <c r="E122" s="2">
        <v>2302.4499999999998</v>
      </c>
      <c r="F122" s="2">
        <v>0.13200000000000001</v>
      </c>
      <c r="G122" s="2">
        <v>5.6586999999999996</v>
      </c>
      <c r="H122" s="2">
        <v>9.3644999999999996</v>
      </c>
      <c r="I122" s="2">
        <v>1.1704000000000001</v>
      </c>
      <c r="J122" s="2">
        <v>13.720700000000001</v>
      </c>
      <c r="K122" s="2">
        <v>2302.4499999999998</v>
      </c>
      <c r="L122" s="2">
        <v>0</v>
      </c>
    </row>
    <row r="123" spans="1:12" hidden="1" x14ac:dyDescent="0.35">
      <c r="A123" s="4" t="s">
        <v>134</v>
      </c>
      <c r="B123" s="1" t="str">
        <f t="shared" si="2"/>
        <v>Corumba IV</v>
      </c>
      <c r="C123" s="1">
        <f t="shared" si="3"/>
        <v>-2379</v>
      </c>
      <c r="D123" s="2">
        <v>0</v>
      </c>
      <c r="E123" s="2">
        <v>0</v>
      </c>
      <c r="F123" s="2">
        <v>0</v>
      </c>
      <c r="G123" s="2">
        <v>0.3629</v>
      </c>
      <c r="H123" s="2">
        <v>158.01439999999999</v>
      </c>
      <c r="I123" s="2">
        <v>4.1687000000000003</v>
      </c>
      <c r="J123" s="2">
        <v>154.20849999999999</v>
      </c>
      <c r="K123" s="2">
        <v>0</v>
      </c>
      <c r="L123" s="2">
        <v>0</v>
      </c>
    </row>
    <row r="124" spans="1:12" x14ac:dyDescent="0.35">
      <c r="A124" s="4" t="s">
        <v>135</v>
      </c>
      <c r="B124" s="1" t="str">
        <f t="shared" si="2"/>
        <v>Lago Paranoa</v>
      </c>
      <c r="C124" s="1">
        <f t="shared" si="3"/>
        <v>-2379</v>
      </c>
      <c r="D124" s="2">
        <v>0</v>
      </c>
      <c r="E124" s="2">
        <v>2302.4499999999998</v>
      </c>
      <c r="F124" s="2">
        <v>0.153</v>
      </c>
      <c r="G124" s="2">
        <v>4.1044999999999998</v>
      </c>
      <c r="H124" s="2">
        <v>11.902100000000001</v>
      </c>
      <c r="I124" s="2">
        <v>1.2841</v>
      </c>
      <c r="J124" s="2">
        <v>14.5694</v>
      </c>
      <c r="K124" s="2">
        <v>2302.4499999999998</v>
      </c>
      <c r="L124" s="2">
        <v>0</v>
      </c>
    </row>
    <row r="125" spans="1:12" hidden="1" x14ac:dyDescent="0.35">
      <c r="A125" s="4" t="s">
        <v>136</v>
      </c>
      <c r="B125" s="1" t="str">
        <f t="shared" si="2"/>
        <v>Corumba IV</v>
      </c>
      <c r="C125" s="1">
        <f t="shared" si="3"/>
        <v>-2378</v>
      </c>
      <c r="D125" s="2">
        <v>0</v>
      </c>
      <c r="E125" s="2">
        <v>0</v>
      </c>
      <c r="F125" s="2">
        <v>0</v>
      </c>
      <c r="G125" s="2">
        <v>0.3629</v>
      </c>
      <c r="H125" s="2">
        <v>88.477099999999993</v>
      </c>
      <c r="I125" s="2">
        <v>4.1687000000000003</v>
      </c>
      <c r="J125" s="2">
        <v>84.671199999999999</v>
      </c>
      <c r="K125" s="2">
        <v>0</v>
      </c>
      <c r="L125" s="2">
        <v>0</v>
      </c>
    </row>
    <row r="126" spans="1:12" x14ac:dyDescent="0.35">
      <c r="A126" s="4" t="s">
        <v>137</v>
      </c>
      <c r="B126" s="1" t="str">
        <f t="shared" si="2"/>
        <v>Lago Paranoa</v>
      </c>
      <c r="C126" s="1">
        <f t="shared" si="3"/>
        <v>-2378</v>
      </c>
      <c r="D126" s="2">
        <v>0</v>
      </c>
      <c r="E126" s="2">
        <v>2302.4499999999998</v>
      </c>
      <c r="F126" s="2">
        <v>0.1532</v>
      </c>
      <c r="G126" s="2">
        <v>5.9004000000000003</v>
      </c>
      <c r="H126" s="2">
        <v>11.2036</v>
      </c>
      <c r="I126" s="2">
        <v>1.2841</v>
      </c>
      <c r="J126" s="2">
        <v>15.666700000000001</v>
      </c>
      <c r="K126" s="2">
        <v>2302.4499999999998</v>
      </c>
      <c r="L126" s="2">
        <v>0</v>
      </c>
    </row>
    <row r="127" spans="1:12" hidden="1" x14ac:dyDescent="0.35">
      <c r="A127" s="4" t="s">
        <v>138</v>
      </c>
      <c r="B127" s="1" t="str">
        <f t="shared" si="2"/>
        <v>Corumba IV</v>
      </c>
      <c r="C127" s="1">
        <f t="shared" si="3"/>
        <v>-2377</v>
      </c>
      <c r="D127" s="2">
        <v>0</v>
      </c>
      <c r="E127" s="2">
        <v>0</v>
      </c>
      <c r="F127" s="2">
        <v>0</v>
      </c>
      <c r="G127" s="2">
        <v>0.3629</v>
      </c>
      <c r="H127" s="2">
        <v>173.37540000000001</v>
      </c>
      <c r="I127" s="2">
        <v>4.1687000000000003</v>
      </c>
      <c r="J127" s="2">
        <v>169.56960000000001</v>
      </c>
      <c r="K127" s="2">
        <v>0</v>
      </c>
      <c r="L127" s="2">
        <v>0</v>
      </c>
    </row>
    <row r="128" spans="1:12" x14ac:dyDescent="0.35">
      <c r="A128" s="4" t="s">
        <v>139</v>
      </c>
      <c r="B128" s="1" t="str">
        <f t="shared" si="2"/>
        <v>Lago Paranoa</v>
      </c>
      <c r="C128" s="1">
        <f t="shared" si="3"/>
        <v>-2377</v>
      </c>
      <c r="D128" s="2">
        <v>0</v>
      </c>
      <c r="E128" s="2">
        <v>2302.4499999999998</v>
      </c>
      <c r="F128" s="2">
        <v>0.15329999999999999</v>
      </c>
      <c r="G128" s="2">
        <v>6.4911000000000003</v>
      </c>
      <c r="H128" s="2">
        <v>16.319400000000002</v>
      </c>
      <c r="I128" s="2">
        <v>1.2841</v>
      </c>
      <c r="J128" s="2">
        <v>21.373000000000001</v>
      </c>
      <c r="K128" s="2">
        <v>2302.4499999999998</v>
      </c>
      <c r="L128" s="2">
        <v>0</v>
      </c>
    </row>
    <row r="129" spans="1:12" hidden="1" x14ac:dyDescent="0.35">
      <c r="A129" s="4" t="s">
        <v>140</v>
      </c>
      <c r="B129" s="1" t="str">
        <f t="shared" si="2"/>
        <v>Corumba IV</v>
      </c>
      <c r="C129" s="1">
        <f t="shared" si="3"/>
        <v>-2376</v>
      </c>
      <c r="D129" s="2">
        <v>0</v>
      </c>
      <c r="E129" s="2">
        <v>0</v>
      </c>
      <c r="F129" s="2">
        <v>0</v>
      </c>
      <c r="G129" s="2">
        <v>0.3629</v>
      </c>
      <c r="H129" s="2">
        <v>90.522999999999996</v>
      </c>
      <c r="I129" s="2">
        <v>4.8315999999999999</v>
      </c>
      <c r="J129" s="2">
        <v>86.054299999999998</v>
      </c>
      <c r="K129" s="2">
        <v>0</v>
      </c>
      <c r="L129" s="2">
        <v>0</v>
      </c>
    </row>
    <row r="130" spans="1:12" x14ac:dyDescent="0.35">
      <c r="A130" s="4" t="s">
        <v>141</v>
      </c>
      <c r="B130" s="1" t="str">
        <f t="shared" si="2"/>
        <v>Lago Paranoa</v>
      </c>
      <c r="C130" s="1">
        <f t="shared" si="3"/>
        <v>-2376</v>
      </c>
      <c r="D130" s="2">
        <v>0</v>
      </c>
      <c r="E130" s="2">
        <v>2302.4499999999998</v>
      </c>
      <c r="F130" s="2">
        <v>0.1535</v>
      </c>
      <c r="G130" s="2">
        <v>4.0172999999999996</v>
      </c>
      <c r="H130" s="2">
        <v>9.82</v>
      </c>
      <c r="I130" s="2">
        <v>1.379</v>
      </c>
      <c r="J130" s="2">
        <v>12.3049</v>
      </c>
      <c r="K130" s="2">
        <v>2302.4499999999998</v>
      </c>
      <c r="L130" s="2">
        <v>0</v>
      </c>
    </row>
    <row r="131" spans="1:12" hidden="1" x14ac:dyDescent="0.35">
      <c r="A131" s="4" t="s">
        <v>142</v>
      </c>
      <c r="B131" s="1" t="str">
        <f t="shared" ref="B131:B194" si="4">_xlfn.TEXTBEFORE(_xlfn.TEXTAFTER(A131,"["),"]")</f>
        <v>Corumba IV</v>
      </c>
      <c r="C131" s="1">
        <f t="shared" ref="C131:C194" si="5">--_xlfn.TEXTBEFORE(_xlfn.TEXTAFTER(A131,"Week "),":")</f>
        <v>-2375</v>
      </c>
      <c r="D131" s="2">
        <v>0</v>
      </c>
      <c r="E131" s="2">
        <v>0</v>
      </c>
      <c r="F131" s="2">
        <v>0</v>
      </c>
      <c r="G131" s="2">
        <v>0.3629</v>
      </c>
      <c r="H131" s="2">
        <v>70.093699999999998</v>
      </c>
      <c r="I131" s="2">
        <v>4.5060000000000002</v>
      </c>
      <c r="J131" s="2">
        <v>65.950599999999994</v>
      </c>
      <c r="K131" s="2">
        <v>0</v>
      </c>
      <c r="L131" s="2">
        <v>0</v>
      </c>
    </row>
    <row r="132" spans="1:12" x14ac:dyDescent="0.35">
      <c r="A132" s="4" t="s">
        <v>143</v>
      </c>
      <c r="B132" s="1" t="str">
        <f t="shared" si="4"/>
        <v>Lago Paranoa</v>
      </c>
      <c r="C132" s="1">
        <f t="shared" si="5"/>
        <v>-2375</v>
      </c>
      <c r="D132" s="2">
        <v>0</v>
      </c>
      <c r="E132" s="2">
        <v>2302.4499999999998</v>
      </c>
      <c r="F132" s="2">
        <v>0.14549999999999999</v>
      </c>
      <c r="G132" s="2">
        <v>3.6726999999999999</v>
      </c>
      <c r="H132" s="2">
        <v>8.6028000000000002</v>
      </c>
      <c r="I132" s="2">
        <v>1.1509</v>
      </c>
      <c r="J132" s="2">
        <v>10.979200000000001</v>
      </c>
      <c r="K132" s="2">
        <v>2302.4499999999998</v>
      </c>
      <c r="L132" s="2">
        <v>0</v>
      </c>
    </row>
    <row r="133" spans="1:12" hidden="1" x14ac:dyDescent="0.35">
      <c r="A133" s="4" t="s">
        <v>144</v>
      </c>
      <c r="B133" s="1" t="str">
        <f t="shared" si="4"/>
        <v>Corumba IV</v>
      </c>
      <c r="C133" s="1">
        <f t="shared" si="5"/>
        <v>-2374</v>
      </c>
      <c r="D133" s="2">
        <v>0</v>
      </c>
      <c r="E133" s="2">
        <v>0</v>
      </c>
      <c r="F133" s="2">
        <v>0</v>
      </c>
      <c r="G133" s="2">
        <v>0.3629</v>
      </c>
      <c r="H133" s="2">
        <v>60.152500000000003</v>
      </c>
      <c r="I133" s="2">
        <v>5.1063999999999998</v>
      </c>
      <c r="J133" s="2">
        <v>55.409100000000002</v>
      </c>
      <c r="K133" s="2">
        <v>0</v>
      </c>
      <c r="L133" s="2">
        <v>0</v>
      </c>
    </row>
    <row r="134" spans="1:12" x14ac:dyDescent="0.35">
      <c r="A134" s="4" t="s">
        <v>145</v>
      </c>
      <c r="B134" s="1" t="str">
        <f t="shared" si="4"/>
        <v>Lago Paranoa</v>
      </c>
      <c r="C134" s="1">
        <f t="shared" si="5"/>
        <v>-2374</v>
      </c>
      <c r="D134" s="2">
        <v>0</v>
      </c>
      <c r="E134" s="2">
        <v>2302.4499999999998</v>
      </c>
      <c r="F134" s="2">
        <v>0.14560000000000001</v>
      </c>
      <c r="G134" s="2">
        <v>3.3692000000000002</v>
      </c>
      <c r="H134" s="2">
        <v>7.7614000000000001</v>
      </c>
      <c r="I134" s="2">
        <v>1.3219000000000001</v>
      </c>
      <c r="J134" s="2">
        <v>9.6631</v>
      </c>
      <c r="K134" s="2">
        <v>2302.4499999999998</v>
      </c>
      <c r="L134" s="2">
        <v>0</v>
      </c>
    </row>
    <row r="135" spans="1:12" hidden="1" x14ac:dyDescent="0.35">
      <c r="A135" s="4" t="s">
        <v>146</v>
      </c>
      <c r="B135" s="1" t="str">
        <f t="shared" si="4"/>
        <v>Corumba IV</v>
      </c>
      <c r="C135" s="1">
        <f t="shared" si="5"/>
        <v>-2373</v>
      </c>
      <c r="D135" s="2">
        <v>0</v>
      </c>
      <c r="E135" s="2">
        <v>0</v>
      </c>
      <c r="F135" s="2">
        <v>0</v>
      </c>
      <c r="G135" s="2">
        <v>0.3629</v>
      </c>
      <c r="H135" s="2">
        <v>55.2943</v>
      </c>
      <c r="I135" s="2">
        <v>5.1063999999999998</v>
      </c>
      <c r="J135" s="2">
        <v>50.550800000000002</v>
      </c>
      <c r="K135" s="2">
        <v>0</v>
      </c>
      <c r="L135" s="2">
        <v>0</v>
      </c>
    </row>
    <row r="136" spans="1:12" x14ac:dyDescent="0.35">
      <c r="A136" s="4" t="s">
        <v>147</v>
      </c>
      <c r="B136" s="1" t="str">
        <f t="shared" si="4"/>
        <v>Lago Paranoa</v>
      </c>
      <c r="C136" s="1">
        <f t="shared" si="5"/>
        <v>-2373</v>
      </c>
      <c r="D136" s="2">
        <v>0</v>
      </c>
      <c r="E136" s="2">
        <v>2302.4499999999998</v>
      </c>
      <c r="F136" s="2">
        <v>0.14580000000000001</v>
      </c>
      <c r="G136" s="2">
        <v>3.6827999999999999</v>
      </c>
      <c r="H136" s="2">
        <v>7.4405999999999999</v>
      </c>
      <c r="I136" s="2">
        <v>1.3219000000000001</v>
      </c>
      <c r="J136" s="2">
        <v>9.6557999999999993</v>
      </c>
      <c r="K136" s="2">
        <v>2302.4499999999998</v>
      </c>
      <c r="L136" s="2">
        <v>0</v>
      </c>
    </row>
    <row r="137" spans="1:12" hidden="1" x14ac:dyDescent="0.35">
      <c r="A137" s="4" t="s">
        <v>148</v>
      </c>
      <c r="B137" s="1" t="str">
        <f t="shared" si="4"/>
        <v>Corumba IV</v>
      </c>
      <c r="C137" s="1">
        <f t="shared" si="5"/>
        <v>-2372</v>
      </c>
      <c r="D137" s="2">
        <v>0</v>
      </c>
      <c r="E137" s="2">
        <v>0</v>
      </c>
      <c r="F137" s="2">
        <v>0</v>
      </c>
      <c r="G137" s="2">
        <v>0.3629</v>
      </c>
      <c r="H137" s="2">
        <v>51.345799999999997</v>
      </c>
      <c r="I137" s="2">
        <v>5.1063999999999998</v>
      </c>
      <c r="J137" s="2">
        <v>46.6023</v>
      </c>
      <c r="K137" s="2">
        <v>0</v>
      </c>
      <c r="L137" s="2">
        <v>0</v>
      </c>
    </row>
    <row r="138" spans="1:12" x14ac:dyDescent="0.35">
      <c r="A138" s="4" t="s">
        <v>149</v>
      </c>
      <c r="B138" s="1" t="str">
        <f t="shared" si="4"/>
        <v>Lago Paranoa</v>
      </c>
      <c r="C138" s="1">
        <f t="shared" si="5"/>
        <v>-2372</v>
      </c>
      <c r="D138" s="2">
        <v>0</v>
      </c>
      <c r="E138" s="2">
        <v>2302.4499999999998</v>
      </c>
      <c r="F138" s="2">
        <v>0.1459</v>
      </c>
      <c r="G138" s="2">
        <v>3.3449</v>
      </c>
      <c r="H138" s="2">
        <v>7.0323000000000002</v>
      </c>
      <c r="I138" s="2">
        <v>1.3219000000000001</v>
      </c>
      <c r="J138" s="2">
        <v>8.9093999999999998</v>
      </c>
      <c r="K138" s="2">
        <v>2302.4499999999998</v>
      </c>
      <c r="L138" s="2">
        <v>0</v>
      </c>
    </row>
    <row r="139" spans="1:12" hidden="1" x14ac:dyDescent="0.35">
      <c r="A139" s="4" t="s">
        <v>150</v>
      </c>
      <c r="B139" s="1" t="str">
        <f t="shared" si="4"/>
        <v>Corumba IV</v>
      </c>
      <c r="C139" s="1">
        <f t="shared" si="5"/>
        <v>-2371</v>
      </c>
      <c r="D139" s="2">
        <v>0</v>
      </c>
      <c r="E139" s="2">
        <v>0</v>
      </c>
      <c r="F139" s="2">
        <v>0</v>
      </c>
      <c r="G139" s="2">
        <v>0.3629</v>
      </c>
      <c r="H139" s="2">
        <v>46.851300000000002</v>
      </c>
      <c r="I139" s="2">
        <v>4.5544000000000002</v>
      </c>
      <c r="J139" s="2">
        <v>42.659799999999997</v>
      </c>
      <c r="K139" s="2">
        <v>0</v>
      </c>
      <c r="L139" s="2">
        <v>0</v>
      </c>
    </row>
    <row r="140" spans="1:12" x14ac:dyDescent="0.35">
      <c r="A140" s="4" t="s">
        <v>151</v>
      </c>
      <c r="B140" s="1" t="str">
        <f t="shared" si="4"/>
        <v>Lago Paranoa</v>
      </c>
      <c r="C140" s="1">
        <f t="shared" si="5"/>
        <v>-2371</v>
      </c>
      <c r="D140" s="2">
        <v>0</v>
      </c>
      <c r="E140" s="2">
        <v>2302.4499999999998</v>
      </c>
      <c r="F140" s="2">
        <v>0.17480000000000001</v>
      </c>
      <c r="G140" s="2">
        <v>3.2363</v>
      </c>
      <c r="H140" s="2">
        <v>6.4217000000000004</v>
      </c>
      <c r="I140" s="2">
        <v>1.163</v>
      </c>
      <c r="J140" s="2">
        <v>8.3201999999999998</v>
      </c>
      <c r="K140" s="2">
        <v>2302.4499999999998</v>
      </c>
      <c r="L140" s="2">
        <v>0</v>
      </c>
    </row>
    <row r="141" spans="1:12" hidden="1" x14ac:dyDescent="0.35">
      <c r="A141" s="4" t="s">
        <v>152</v>
      </c>
      <c r="B141" s="1" t="str">
        <f t="shared" si="4"/>
        <v>Corumba IV</v>
      </c>
      <c r="C141" s="1">
        <f t="shared" si="5"/>
        <v>-2370</v>
      </c>
      <c r="D141" s="2">
        <v>0</v>
      </c>
      <c r="E141" s="2">
        <v>0</v>
      </c>
      <c r="F141" s="2">
        <v>0</v>
      </c>
      <c r="G141" s="2">
        <v>0.3629</v>
      </c>
      <c r="H141" s="2">
        <v>43.5214</v>
      </c>
      <c r="I141" s="2">
        <v>4.4752000000000001</v>
      </c>
      <c r="J141" s="2">
        <v>39.409100000000002</v>
      </c>
      <c r="K141" s="2">
        <v>0</v>
      </c>
      <c r="L141" s="2">
        <v>0</v>
      </c>
    </row>
    <row r="142" spans="1:12" x14ac:dyDescent="0.35">
      <c r="A142" s="4" t="s">
        <v>153</v>
      </c>
      <c r="B142" s="1" t="str">
        <f t="shared" si="4"/>
        <v>Lago Paranoa</v>
      </c>
      <c r="C142" s="1">
        <f t="shared" si="5"/>
        <v>-2370</v>
      </c>
      <c r="D142" s="2">
        <v>0</v>
      </c>
      <c r="E142" s="2">
        <v>2302.4499999999998</v>
      </c>
      <c r="F142" s="2">
        <v>0.17499999999999999</v>
      </c>
      <c r="G142" s="2">
        <v>3.1183999999999998</v>
      </c>
      <c r="H142" s="2">
        <v>5.7153999999999998</v>
      </c>
      <c r="I142" s="2">
        <v>1.0490999999999999</v>
      </c>
      <c r="J142" s="2">
        <v>7.6097999999999999</v>
      </c>
      <c r="K142" s="2">
        <v>2302.4499999999998</v>
      </c>
      <c r="L142" s="2">
        <v>0</v>
      </c>
    </row>
    <row r="143" spans="1:12" hidden="1" x14ac:dyDescent="0.35">
      <c r="A143" s="4" t="s">
        <v>154</v>
      </c>
      <c r="B143" s="1" t="str">
        <f t="shared" si="4"/>
        <v>Corumba IV</v>
      </c>
      <c r="C143" s="1">
        <f t="shared" si="5"/>
        <v>-2369</v>
      </c>
      <c r="D143" s="2">
        <v>0</v>
      </c>
      <c r="E143" s="2">
        <v>0</v>
      </c>
      <c r="F143" s="2">
        <v>0</v>
      </c>
      <c r="G143" s="2">
        <v>0.3629</v>
      </c>
      <c r="H143" s="2">
        <v>40.2607</v>
      </c>
      <c r="I143" s="2">
        <v>4.4752000000000001</v>
      </c>
      <c r="J143" s="2">
        <v>36.148299999999999</v>
      </c>
      <c r="K143" s="2">
        <v>0</v>
      </c>
      <c r="L143" s="2">
        <v>0</v>
      </c>
    </row>
    <row r="144" spans="1:12" x14ac:dyDescent="0.35">
      <c r="A144" s="4" t="s">
        <v>155</v>
      </c>
      <c r="B144" s="1" t="str">
        <f t="shared" si="4"/>
        <v>Lago Paranoa</v>
      </c>
      <c r="C144" s="1">
        <f t="shared" si="5"/>
        <v>-2369</v>
      </c>
      <c r="D144" s="2">
        <v>0</v>
      </c>
      <c r="E144" s="2">
        <v>2302.4499999999998</v>
      </c>
      <c r="F144" s="2">
        <v>0.17510000000000001</v>
      </c>
      <c r="G144" s="2">
        <v>2.9782999999999999</v>
      </c>
      <c r="H144" s="2">
        <v>5.4513999999999996</v>
      </c>
      <c r="I144" s="2">
        <v>1.0490999999999999</v>
      </c>
      <c r="J144" s="2">
        <v>7.2054999999999998</v>
      </c>
      <c r="K144" s="2">
        <v>2302.4499999999998</v>
      </c>
      <c r="L144" s="2">
        <v>0</v>
      </c>
    </row>
    <row r="145" spans="1:12" hidden="1" x14ac:dyDescent="0.35">
      <c r="A145" s="4" t="s">
        <v>156</v>
      </c>
      <c r="B145" s="1" t="str">
        <f t="shared" si="4"/>
        <v>Corumba IV</v>
      </c>
      <c r="C145" s="1">
        <f t="shared" si="5"/>
        <v>-2368</v>
      </c>
      <c r="D145" s="2">
        <v>0</v>
      </c>
      <c r="E145" s="2">
        <v>0</v>
      </c>
      <c r="F145" s="2">
        <v>0</v>
      </c>
      <c r="G145" s="2">
        <v>0.3629</v>
      </c>
      <c r="H145" s="2">
        <v>38.538699999999999</v>
      </c>
      <c r="I145" s="2">
        <v>4.4752000000000001</v>
      </c>
      <c r="J145" s="2">
        <v>34.426400000000001</v>
      </c>
      <c r="K145" s="2">
        <v>0</v>
      </c>
      <c r="L145" s="2">
        <v>0</v>
      </c>
    </row>
    <row r="146" spans="1:12" x14ac:dyDescent="0.35">
      <c r="A146" s="4" t="s">
        <v>157</v>
      </c>
      <c r="B146" s="1" t="str">
        <f t="shared" si="4"/>
        <v>Lago Paranoa</v>
      </c>
      <c r="C146" s="1">
        <f t="shared" si="5"/>
        <v>-2368</v>
      </c>
      <c r="D146" s="2">
        <v>0</v>
      </c>
      <c r="E146" s="2">
        <v>2302.4499999999998</v>
      </c>
      <c r="F146" s="2">
        <v>0.17530000000000001</v>
      </c>
      <c r="G146" s="2">
        <v>2.8795000000000002</v>
      </c>
      <c r="H146" s="2">
        <v>5.3223000000000003</v>
      </c>
      <c r="I146" s="2">
        <v>1.0490999999999999</v>
      </c>
      <c r="J146" s="2">
        <v>6.9775</v>
      </c>
      <c r="K146" s="2">
        <v>2302.4499999999998</v>
      </c>
      <c r="L146" s="2">
        <v>0</v>
      </c>
    </row>
    <row r="147" spans="1:12" hidden="1" x14ac:dyDescent="0.35">
      <c r="A147" s="4" t="s">
        <v>158</v>
      </c>
      <c r="B147" s="1" t="str">
        <f t="shared" si="4"/>
        <v>Corumba IV</v>
      </c>
      <c r="C147" s="1">
        <f t="shared" si="5"/>
        <v>-2367</v>
      </c>
      <c r="D147" s="2">
        <v>0</v>
      </c>
      <c r="E147" s="2">
        <v>0</v>
      </c>
      <c r="F147" s="2">
        <v>0</v>
      </c>
      <c r="G147" s="2">
        <v>0.3629</v>
      </c>
      <c r="H147" s="2">
        <v>36.161000000000001</v>
      </c>
      <c r="I147" s="2">
        <v>4.58</v>
      </c>
      <c r="J147" s="2">
        <v>31.943899999999999</v>
      </c>
      <c r="K147" s="2">
        <v>0</v>
      </c>
      <c r="L147" s="2">
        <v>0</v>
      </c>
    </row>
    <row r="148" spans="1:12" x14ac:dyDescent="0.35">
      <c r="A148" s="4" t="s">
        <v>159</v>
      </c>
      <c r="B148" s="1" t="str">
        <f t="shared" si="4"/>
        <v>Lago Paranoa</v>
      </c>
      <c r="C148" s="1">
        <f t="shared" si="5"/>
        <v>-2367</v>
      </c>
      <c r="D148" s="2">
        <v>0</v>
      </c>
      <c r="E148" s="2">
        <v>2302.4499999999998</v>
      </c>
      <c r="F148" s="2">
        <v>0.1754</v>
      </c>
      <c r="G148" s="2">
        <v>3.1185999999999998</v>
      </c>
      <c r="H148" s="2">
        <v>5.6496000000000004</v>
      </c>
      <c r="I148" s="2">
        <v>1.0847</v>
      </c>
      <c r="J148" s="2">
        <v>7.5082000000000004</v>
      </c>
      <c r="K148" s="2">
        <v>2302.4499999999998</v>
      </c>
      <c r="L148" s="2">
        <v>0</v>
      </c>
    </row>
    <row r="149" spans="1:12" hidden="1" x14ac:dyDescent="0.35">
      <c r="A149" s="4" t="s">
        <v>160</v>
      </c>
      <c r="B149" s="1" t="str">
        <f t="shared" si="4"/>
        <v>Corumba IV</v>
      </c>
      <c r="C149" s="1">
        <f t="shared" si="5"/>
        <v>-2366</v>
      </c>
      <c r="D149" s="2">
        <v>0</v>
      </c>
      <c r="E149" s="2">
        <v>0</v>
      </c>
      <c r="F149" s="2">
        <v>0</v>
      </c>
      <c r="G149" s="2">
        <v>0.3629</v>
      </c>
      <c r="H149" s="2">
        <v>35.559600000000003</v>
      </c>
      <c r="I149" s="2">
        <v>4.7838000000000003</v>
      </c>
      <c r="J149" s="2">
        <v>31.1388</v>
      </c>
      <c r="K149" s="2">
        <v>0</v>
      </c>
      <c r="L149" s="2">
        <v>0</v>
      </c>
    </row>
    <row r="150" spans="1:12" x14ac:dyDescent="0.35">
      <c r="A150" s="4" t="s">
        <v>161</v>
      </c>
      <c r="B150" s="1" t="str">
        <f t="shared" si="4"/>
        <v>Lago Paranoa</v>
      </c>
      <c r="C150" s="1">
        <f t="shared" si="5"/>
        <v>-2366</v>
      </c>
      <c r="D150" s="2">
        <v>0</v>
      </c>
      <c r="E150" s="2">
        <v>2302.4499999999998</v>
      </c>
      <c r="F150" s="2">
        <v>0.19139999999999999</v>
      </c>
      <c r="G150" s="2">
        <v>3.44</v>
      </c>
      <c r="H150" s="2">
        <v>6.5740999999999996</v>
      </c>
      <c r="I150" s="2">
        <v>1.1512</v>
      </c>
      <c r="J150" s="2">
        <v>8.6715999999999998</v>
      </c>
      <c r="K150" s="2">
        <v>2302.4499999999998</v>
      </c>
      <c r="L150" s="2">
        <v>0</v>
      </c>
    </row>
    <row r="151" spans="1:12" hidden="1" x14ac:dyDescent="0.35">
      <c r="A151" s="4" t="s">
        <v>162</v>
      </c>
      <c r="B151" s="1" t="str">
        <f t="shared" si="4"/>
        <v>Corumba IV</v>
      </c>
      <c r="C151" s="1">
        <f t="shared" si="5"/>
        <v>-2365</v>
      </c>
      <c r="D151" s="2">
        <v>0</v>
      </c>
      <c r="E151" s="2">
        <v>0</v>
      </c>
      <c r="F151" s="2">
        <v>0</v>
      </c>
      <c r="G151" s="2">
        <v>0.3629</v>
      </c>
      <c r="H151" s="2">
        <v>30.5623</v>
      </c>
      <c r="I151" s="2">
        <v>4.944</v>
      </c>
      <c r="J151" s="2">
        <v>25.981100000000001</v>
      </c>
      <c r="K151" s="2">
        <v>0</v>
      </c>
      <c r="L151" s="2">
        <v>0</v>
      </c>
    </row>
    <row r="152" spans="1:12" x14ac:dyDescent="0.35">
      <c r="A152" s="4" t="s">
        <v>163</v>
      </c>
      <c r="B152" s="1" t="str">
        <f t="shared" si="4"/>
        <v>Lago Paranoa</v>
      </c>
      <c r="C152" s="1">
        <f t="shared" si="5"/>
        <v>-2365</v>
      </c>
      <c r="D152" s="2">
        <v>0</v>
      </c>
      <c r="E152" s="2">
        <v>2302.4499999999998</v>
      </c>
      <c r="F152" s="2">
        <v>0.1915</v>
      </c>
      <c r="G152" s="2">
        <v>3.3050999999999999</v>
      </c>
      <c r="H152" s="2">
        <v>6.1905999999999999</v>
      </c>
      <c r="I152" s="2">
        <v>1.1988000000000001</v>
      </c>
      <c r="J152" s="2">
        <v>8.1053999999999995</v>
      </c>
      <c r="K152" s="2">
        <v>2302.4499999999998</v>
      </c>
      <c r="L152" s="2">
        <v>0</v>
      </c>
    </row>
    <row r="153" spans="1:12" hidden="1" x14ac:dyDescent="0.35">
      <c r="A153" s="4" t="s">
        <v>164</v>
      </c>
      <c r="B153" s="1" t="str">
        <f t="shared" si="4"/>
        <v>Corumba IV</v>
      </c>
      <c r="C153" s="1">
        <f t="shared" si="5"/>
        <v>-2364</v>
      </c>
      <c r="D153" s="2">
        <v>0</v>
      </c>
      <c r="E153" s="2">
        <v>0</v>
      </c>
      <c r="F153" s="2">
        <v>0</v>
      </c>
      <c r="G153" s="2">
        <v>0.3629</v>
      </c>
      <c r="H153" s="2">
        <v>29.842600000000001</v>
      </c>
      <c r="I153" s="2">
        <v>4.944</v>
      </c>
      <c r="J153" s="2">
        <v>25.261399999999998</v>
      </c>
      <c r="K153" s="2">
        <v>0</v>
      </c>
      <c r="L153" s="2">
        <v>0</v>
      </c>
    </row>
    <row r="154" spans="1:12" x14ac:dyDescent="0.35">
      <c r="A154" s="4" t="s">
        <v>165</v>
      </c>
      <c r="B154" s="1" t="str">
        <f t="shared" si="4"/>
        <v>Lago Paranoa</v>
      </c>
      <c r="C154" s="1">
        <f t="shared" si="5"/>
        <v>-2364</v>
      </c>
      <c r="D154" s="2">
        <v>0</v>
      </c>
      <c r="E154" s="2">
        <v>2302.4499999999998</v>
      </c>
      <c r="F154" s="2">
        <v>0.19170000000000001</v>
      </c>
      <c r="G154" s="2">
        <v>3.2566999999999999</v>
      </c>
      <c r="H154" s="2">
        <v>6.2134999999999998</v>
      </c>
      <c r="I154" s="2">
        <v>1.1988000000000001</v>
      </c>
      <c r="J154" s="2">
        <v>8.0798000000000005</v>
      </c>
      <c r="K154" s="2">
        <v>2302.4499999999998</v>
      </c>
      <c r="L154" s="2">
        <v>0</v>
      </c>
    </row>
    <row r="155" spans="1:12" hidden="1" x14ac:dyDescent="0.35">
      <c r="A155" s="4" t="s">
        <v>166</v>
      </c>
      <c r="B155" s="1" t="str">
        <f t="shared" si="4"/>
        <v>Corumba IV</v>
      </c>
      <c r="C155" s="1">
        <f t="shared" si="5"/>
        <v>-2363</v>
      </c>
      <c r="D155" s="2">
        <v>0</v>
      </c>
      <c r="E155" s="2">
        <v>0</v>
      </c>
      <c r="F155" s="2">
        <v>0</v>
      </c>
      <c r="G155" s="2">
        <v>0.3629</v>
      </c>
      <c r="H155" s="2">
        <v>30.221900000000002</v>
      </c>
      <c r="I155" s="2">
        <v>4.944</v>
      </c>
      <c r="J155" s="2">
        <v>25.640699999999999</v>
      </c>
      <c r="K155" s="2">
        <v>0</v>
      </c>
      <c r="L155" s="2">
        <v>0</v>
      </c>
    </row>
    <row r="156" spans="1:12" x14ac:dyDescent="0.35">
      <c r="A156" s="4" t="s">
        <v>167</v>
      </c>
      <c r="B156" s="1" t="str">
        <f t="shared" si="4"/>
        <v>Lago Paranoa</v>
      </c>
      <c r="C156" s="1">
        <f t="shared" si="5"/>
        <v>-2363</v>
      </c>
      <c r="D156" s="2">
        <v>0</v>
      </c>
      <c r="E156" s="2">
        <v>2302.4499999999998</v>
      </c>
      <c r="F156" s="2">
        <v>0.1918</v>
      </c>
      <c r="G156" s="2">
        <v>3.1349999999999998</v>
      </c>
      <c r="H156" s="2">
        <v>6.1151999999999997</v>
      </c>
      <c r="I156" s="2">
        <v>1.1988000000000001</v>
      </c>
      <c r="J156" s="2">
        <v>7.8596000000000004</v>
      </c>
      <c r="K156" s="2">
        <v>2302.4499999999998</v>
      </c>
      <c r="L156" s="2">
        <v>0</v>
      </c>
    </row>
    <row r="157" spans="1:12" hidden="1" x14ac:dyDescent="0.35">
      <c r="A157" s="4" t="s">
        <v>168</v>
      </c>
      <c r="B157" s="1" t="str">
        <f t="shared" si="4"/>
        <v>Corumba IV</v>
      </c>
      <c r="C157" s="1">
        <f t="shared" si="5"/>
        <v>-2362</v>
      </c>
      <c r="D157" s="2">
        <v>0</v>
      </c>
      <c r="E157" s="2">
        <v>0</v>
      </c>
      <c r="F157" s="2">
        <v>0</v>
      </c>
      <c r="G157" s="2">
        <v>0.3629</v>
      </c>
      <c r="H157" s="2">
        <v>29.551400000000001</v>
      </c>
      <c r="I157" s="2">
        <v>5.5392999999999999</v>
      </c>
      <c r="J157" s="2">
        <v>24.375</v>
      </c>
      <c r="K157" s="2">
        <v>0</v>
      </c>
      <c r="L157" s="2">
        <v>0</v>
      </c>
    </row>
    <row r="158" spans="1:12" x14ac:dyDescent="0.35">
      <c r="A158" s="4" t="s">
        <v>169</v>
      </c>
      <c r="B158" s="1" t="str">
        <f t="shared" si="4"/>
        <v>Lago Paranoa</v>
      </c>
      <c r="C158" s="1">
        <f t="shared" si="5"/>
        <v>-2362</v>
      </c>
      <c r="D158" s="2">
        <v>0</v>
      </c>
      <c r="E158" s="2">
        <v>2302.4499999999998</v>
      </c>
      <c r="F158" s="2">
        <v>0.20610000000000001</v>
      </c>
      <c r="G158" s="2">
        <v>2.8618000000000001</v>
      </c>
      <c r="H158" s="2">
        <v>5.2995999999999999</v>
      </c>
      <c r="I158" s="2">
        <v>1.4327000000000001</v>
      </c>
      <c r="J158" s="2">
        <v>6.5225999999999997</v>
      </c>
      <c r="K158" s="2">
        <v>2302.4499999999998</v>
      </c>
      <c r="L158" s="2">
        <v>0</v>
      </c>
    </row>
    <row r="159" spans="1:12" hidden="1" x14ac:dyDescent="0.35">
      <c r="A159" s="4" t="s">
        <v>170</v>
      </c>
      <c r="B159" s="1" t="str">
        <f t="shared" si="4"/>
        <v>Corumba IV</v>
      </c>
      <c r="C159" s="1">
        <f t="shared" si="5"/>
        <v>-2361</v>
      </c>
      <c r="D159" s="2">
        <v>0</v>
      </c>
      <c r="E159" s="2">
        <v>0</v>
      </c>
      <c r="F159" s="2">
        <v>0</v>
      </c>
      <c r="G159" s="2">
        <v>0.3629</v>
      </c>
      <c r="H159" s="2">
        <v>28.412600000000001</v>
      </c>
      <c r="I159" s="2">
        <v>5.5392999999999999</v>
      </c>
      <c r="J159" s="2">
        <v>23.2362</v>
      </c>
      <c r="K159" s="2">
        <v>0</v>
      </c>
      <c r="L159" s="2">
        <v>0</v>
      </c>
    </row>
    <row r="160" spans="1:12" x14ac:dyDescent="0.35">
      <c r="A160" s="4" t="s">
        <v>171</v>
      </c>
      <c r="B160" s="1" t="str">
        <f t="shared" si="4"/>
        <v>Lago Paranoa</v>
      </c>
      <c r="C160" s="1">
        <f t="shared" si="5"/>
        <v>-2361</v>
      </c>
      <c r="D160" s="2">
        <v>0</v>
      </c>
      <c r="E160" s="2">
        <v>2302.4499999999998</v>
      </c>
      <c r="F160" s="2">
        <v>0.20630000000000001</v>
      </c>
      <c r="G160" s="2">
        <v>3.2925</v>
      </c>
      <c r="H160" s="2">
        <v>4.9419000000000004</v>
      </c>
      <c r="I160" s="2">
        <v>1.4327000000000001</v>
      </c>
      <c r="J160" s="2">
        <v>6.5953999999999997</v>
      </c>
      <c r="K160" s="2">
        <v>2302.4499999999998</v>
      </c>
      <c r="L160" s="2">
        <v>0</v>
      </c>
    </row>
    <row r="161" spans="1:12" hidden="1" x14ac:dyDescent="0.35">
      <c r="A161" s="4" t="s">
        <v>172</v>
      </c>
      <c r="B161" s="1" t="str">
        <f t="shared" si="4"/>
        <v>Corumba IV</v>
      </c>
      <c r="C161" s="1">
        <f t="shared" si="5"/>
        <v>-2360</v>
      </c>
      <c r="D161" s="2">
        <v>0</v>
      </c>
      <c r="E161" s="2">
        <v>0</v>
      </c>
      <c r="F161" s="2">
        <v>0</v>
      </c>
      <c r="G161" s="2">
        <v>0.3629</v>
      </c>
      <c r="H161" s="2">
        <v>27.079499999999999</v>
      </c>
      <c r="I161" s="2">
        <v>5.5392999999999999</v>
      </c>
      <c r="J161" s="2">
        <v>21.903099999999998</v>
      </c>
      <c r="K161" s="2">
        <v>0</v>
      </c>
      <c r="L161" s="2">
        <v>0</v>
      </c>
    </row>
    <row r="162" spans="1:12" x14ac:dyDescent="0.35">
      <c r="A162" s="4" t="s">
        <v>173</v>
      </c>
      <c r="B162" s="1" t="str">
        <f t="shared" si="4"/>
        <v>Lago Paranoa</v>
      </c>
      <c r="C162" s="1">
        <f t="shared" si="5"/>
        <v>-2360</v>
      </c>
      <c r="D162" s="2">
        <v>0</v>
      </c>
      <c r="E162" s="2">
        <v>2302.4499999999998</v>
      </c>
      <c r="F162" s="2">
        <v>0.2064</v>
      </c>
      <c r="G162" s="2">
        <v>3.3580999999999999</v>
      </c>
      <c r="H162" s="2">
        <v>4.5782999999999996</v>
      </c>
      <c r="I162" s="2">
        <v>1.4327000000000001</v>
      </c>
      <c r="J162" s="2">
        <v>6.2972999999999999</v>
      </c>
      <c r="K162" s="2">
        <v>2302.4499999999998</v>
      </c>
      <c r="L162" s="2">
        <v>0</v>
      </c>
    </row>
    <row r="163" spans="1:12" hidden="1" x14ac:dyDescent="0.35">
      <c r="A163" s="4" t="s">
        <v>174</v>
      </c>
      <c r="B163" s="1" t="str">
        <f t="shared" si="4"/>
        <v>Corumba IV</v>
      </c>
      <c r="C163" s="1">
        <f t="shared" si="5"/>
        <v>-2359</v>
      </c>
      <c r="D163" s="2">
        <v>0</v>
      </c>
      <c r="E163" s="2">
        <v>0</v>
      </c>
      <c r="F163" s="2">
        <v>0</v>
      </c>
      <c r="G163" s="2">
        <v>0.3629</v>
      </c>
      <c r="H163" s="2">
        <v>26.072099999999999</v>
      </c>
      <c r="I163" s="2">
        <v>5.5392999999999999</v>
      </c>
      <c r="J163" s="2">
        <v>20.895700000000001</v>
      </c>
      <c r="K163" s="2">
        <v>0</v>
      </c>
      <c r="L163" s="2">
        <v>0</v>
      </c>
    </row>
    <row r="164" spans="1:12" x14ac:dyDescent="0.35">
      <c r="A164" s="4" t="s">
        <v>175</v>
      </c>
      <c r="B164" s="1" t="str">
        <f t="shared" si="4"/>
        <v>Lago Paranoa</v>
      </c>
      <c r="C164" s="1">
        <f t="shared" si="5"/>
        <v>-2359</v>
      </c>
      <c r="D164" s="2">
        <v>0</v>
      </c>
      <c r="E164" s="2">
        <v>2302.4499999999998</v>
      </c>
      <c r="F164" s="2">
        <v>0.20660000000000001</v>
      </c>
      <c r="G164" s="2">
        <v>3.0813999999999999</v>
      </c>
      <c r="H164" s="2">
        <v>4.2586000000000004</v>
      </c>
      <c r="I164" s="2">
        <v>1.4327000000000001</v>
      </c>
      <c r="J164" s="2">
        <v>5.7008000000000001</v>
      </c>
      <c r="K164" s="2">
        <v>2302.4499999999998</v>
      </c>
      <c r="L164" s="2">
        <v>0</v>
      </c>
    </row>
    <row r="165" spans="1:12" hidden="1" x14ac:dyDescent="0.35">
      <c r="A165" s="4" t="s">
        <v>176</v>
      </c>
      <c r="B165" s="1" t="str">
        <f t="shared" si="4"/>
        <v>Corumba IV</v>
      </c>
      <c r="C165" s="1">
        <f t="shared" si="5"/>
        <v>-2358</v>
      </c>
      <c r="D165" s="2">
        <v>0</v>
      </c>
      <c r="E165" s="2">
        <v>0</v>
      </c>
      <c r="F165" s="2">
        <v>0</v>
      </c>
      <c r="G165" s="2">
        <v>0.3629</v>
      </c>
      <c r="H165" s="2">
        <v>24.661999999999999</v>
      </c>
      <c r="I165" s="2">
        <v>5.8682999999999996</v>
      </c>
      <c r="J165" s="2">
        <v>19.156600000000001</v>
      </c>
      <c r="K165" s="2">
        <v>0</v>
      </c>
      <c r="L165" s="2">
        <v>0</v>
      </c>
    </row>
    <row r="166" spans="1:12" x14ac:dyDescent="0.35">
      <c r="A166" s="4" t="s">
        <v>177</v>
      </c>
      <c r="B166" s="1" t="str">
        <f t="shared" si="4"/>
        <v>Lago Paranoa</v>
      </c>
      <c r="C166" s="1">
        <f t="shared" si="5"/>
        <v>-2358</v>
      </c>
      <c r="D166" s="2">
        <v>0</v>
      </c>
      <c r="E166" s="2">
        <v>2302.4499999999998</v>
      </c>
      <c r="F166" s="2">
        <v>0.25779999999999997</v>
      </c>
      <c r="G166" s="2">
        <v>3.0110000000000001</v>
      </c>
      <c r="H166" s="2">
        <v>4.0209999999999999</v>
      </c>
      <c r="I166" s="2">
        <v>1.5138</v>
      </c>
      <c r="J166" s="2">
        <v>5.2603999999999997</v>
      </c>
      <c r="K166" s="2">
        <v>2302.4499999999998</v>
      </c>
      <c r="L166" s="2">
        <v>0</v>
      </c>
    </row>
    <row r="167" spans="1:12" hidden="1" x14ac:dyDescent="0.35">
      <c r="A167" s="4" t="s">
        <v>178</v>
      </c>
      <c r="B167" s="1" t="str">
        <f t="shared" si="4"/>
        <v>Corumba IV</v>
      </c>
      <c r="C167" s="1">
        <f t="shared" si="5"/>
        <v>-2357</v>
      </c>
      <c r="D167" s="2">
        <v>0</v>
      </c>
      <c r="E167" s="2">
        <v>0</v>
      </c>
      <c r="F167" s="2">
        <v>0</v>
      </c>
      <c r="G167" s="2">
        <v>0.3629</v>
      </c>
      <c r="H167" s="2">
        <v>23.708200000000001</v>
      </c>
      <c r="I167" s="2">
        <v>5.8533999999999997</v>
      </c>
      <c r="J167" s="2">
        <v>18.217600000000001</v>
      </c>
      <c r="K167" s="2">
        <v>0</v>
      </c>
      <c r="L167" s="2">
        <v>0</v>
      </c>
    </row>
    <row r="168" spans="1:12" x14ac:dyDescent="0.35">
      <c r="A168" s="4" t="s">
        <v>179</v>
      </c>
      <c r="B168" s="1" t="str">
        <f t="shared" si="4"/>
        <v>Lago Paranoa</v>
      </c>
      <c r="C168" s="1">
        <f t="shared" si="5"/>
        <v>-2357</v>
      </c>
      <c r="D168" s="2">
        <v>0</v>
      </c>
      <c r="E168" s="2">
        <v>2302.4499999999998</v>
      </c>
      <c r="F168" s="2">
        <v>0.25800000000000001</v>
      </c>
      <c r="G168" s="2">
        <v>3.2528999999999999</v>
      </c>
      <c r="H168" s="2">
        <v>4.0658000000000003</v>
      </c>
      <c r="I168" s="2">
        <v>1.5223</v>
      </c>
      <c r="J168" s="2">
        <v>5.5384000000000002</v>
      </c>
      <c r="K168" s="2">
        <v>2302.4499999999998</v>
      </c>
      <c r="L168" s="2">
        <v>0</v>
      </c>
    </row>
    <row r="169" spans="1:12" hidden="1" x14ac:dyDescent="0.35">
      <c r="A169" s="4" t="s">
        <v>180</v>
      </c>
      <c r="B169" s="1" t="str">
        <f t="shared" si="4"/>
        <v>Corumba IV</v>
      </c>
      <c r="C169" s="1">
        <f t="shared" si="5"/>
        <v>-2356</v>
      </c>
      <c r="D169" s="2">
        <v>0</v>
      </c>
      <c r="E169" s="2">
        <v>0</v>
      </c>
      <c r="F169" s="2">
        <v>0</v>
      </c>
      <c r="G169" s="2">
        <v>0.3629</v>
      </c>
      <c r="H169" s="2">
        <v>22.826899999999998</v>
      </c>
      <c r="I169" s="2">
        <v>5.8533999999999997</v>
      </c>
      <c r="J169" s="2">
        <v>17.336300000000001</v>
      </c>
      <c r="K169" s="2">
        <v>0</v>
      </c>
      <c r="L169" s="2">
        <v>0</v>
      </c>
    </row>
    <row r="170" spans="1:12" x14ac:dyDescent="0.35">
      <c r="A170" s="4" t="s">
        <v>181</v>
      </c>
      <c r="B170" s="1" t="str">
        <f t="shared" si="4"/>
        <v>Lago Paranoa</v>
      </c>
      <c r="C170" s="1">
        <f t="shared" si="5"/>
        <v>-2356</v>
      </c>
      <c r="D170" s="2">
        <v>0</v>
      </c>
      <c r="E170" s="2">
        <v>2302.4499999999998</v>
      </c>
      <c r="F170" s="2">
        <v>0.25819999999999999</v>
      </c>
      <c r="G170" s="2">
        <v>3.1873</v>
      </c>
      <c r="H170" s="2">
        <v>3.9626999999999999</v>
      </c>
      <c r="I170" s="2">
        <v>1.5223</v>
      </c>
      <c r="J170" s="2">
        <v>5.3695000000000004</v>
      </c>
      <c r="K170" s="2">
        <v>2302.4499999999998</v>
      </c>
      <c r="L170" s="2">
        <v>0</v>
      </c>
    </row>
    <row r="171" spans="1:12" hidden="1" x14ac:dyDescent="0.35">
      <c r="A171" s="4" t="s">
        <v>182</v>
      </c>
      <c r="B171" s="1" t="str">
        <f t="shared" si="4"/>
        <v>Corumba IV</v>
      </c>
      <c r="C171" s="1">
        <f t="shared" si="5"/>
        <v>-2355</v>
      </c>
      <c r="D171" s="2">
        <v>0</v>
      </c>
      <c r="E171" s="2">
        <v>0</v>
      </c>
      <c r="F171" s="2">
        <v>0</v>
      </c>
      <c r="G171" s="2">
        <v>0.3629</v>
      </c>
      <c r="H171" s="2">
        <v>22.162500000000001</v>
      </c>
      <c r="I171" s="2">
        <v>5.8533999999999997</v>
      </c>
      <c r="J171" s="2">
        <v>16.671900000000001</v>
      </c>
      <c r="K171" s="2">
        <v>0</v>
      </c>
      <c r="L171" s="2">
        <v>0</v>
      </c>
    </row>
    <row r="172" spans="1:12" x14ac:dyDescent="0.35">
      <c r="A172" s="4" t="s">
        <v>183</v>
      </c>
      <c r="B172" s="1" t="str">
        <f t="shared" si="4"/>
        <v>Lago Paranoa</v>
      </c>
      <c r="C172" s="1">
        <f t="shared" si="5"/>
        <v>-2355</v>
      </c>
      <c r="D172" s="2">
        <v>0</v>
      </c>
      <c r="E172" s="2">
        <v>2302.4499999999998</v>
      </c>
      <c r="F172" s="2">
        <v>0.25829999999999997</v>
      </c>
      <c r="G172" s="2">
        <v>3.0575000000000001</v>
      </c>
      <c r="H172" s="2">
        <v>3.8052000000000001</v>
      </c>
      <c r="I172" s="2">
        <v>1.5223</v>
      </c>
      <c r="J172" s="2">
        <v>5.0820999999999996</v>
      </c>
      <c r="K172" s="2">
        <v>2302.4499999999998</v>
      </c>
      <c r="L172" s="2">
        <v>0</v>
      </c>
    </row>
    <row r="173" spans="1:12" hidden="1" x14ac:dyDescent="0.35">
      <c r="A173" s="4" t="s">
        <v>184</v>
      </c>
      <c r="B173" s="1" t="str">
        <f t="shared" si="4"/>
        <v>Corumba IV</v>
      </c>
      <c r="C173" s="1">
        <f t="shared" si="5"/>
        <v>-2354</v>
      </c>
      <c r="D173" s="2">
        <v>0</v>
      </c>
      <c r="E173" s="2">
        <v>0</v>
      </c>
      <c r="F173" s="2">
        <v>0</v>
      </c>
      <c r="G173" s="2">
        <v>0.3629</v>
      </c>
      <c r="H173" s="2">
        <v>23.918099999999999</v>
      </c>
      <c r="I173" s="2">
        <v>5.3966000000000003</v>
      </c>
      <c r="J173" s="2">
        <v>18.884399999999999</v>
      </c>
      <c r="K173" s="2">
        <v>0</v>
      </c>
      <c r="L173" s="2">
        <v>0</v>
      </c>
    </row>
    <row r="174" spans="1:12" x14ac:dyDescent="0.35">
      <c r="A174" s="4" t="s">
        <v>185</v>
      </c>
      <c r="B174" s="1" t="str">
        <f t="shared" si="4"/>
        <v>Lago Paranoa</v>
      </c>
      <c r="C174" s="1">
        <f t="shared" si="5"/>
        <v>-2354</v>
      </c>
      <c r="D174" s="2">
        <v>0</v>
      </c>
      <c r="E174" s="2">
        <v>2302.4499999999998</v>
      </c>
      <c r="F174" s="2">
        <v>0.25850000000000001</v>
      </c>
      <c r="G174" s="2">
        <v>3.1225000000000001</v>
      </c>
      <c r="H174" s="2">
        <v>3.7797999999999998</v>
      </c>
      <c r="I174" s="2">
        <v>1.4503999999999999</v>
      </c>
      <c r="J174" s="2">
        <v>5.1933999999999996</v>
      </c>
      <c r="K174" s="2">
        <v>2302.4499999999998</v>
      </c>
      <c r="L174" s="2">
        <v>0</v>
      </c>
    </row>
    <row r="175" spans="1:12" hidden="1" x14ac:dyDescent="0.35">
      <c r="A175" s="4" t="s">
        <v>186</v>
      </c>
      <c r="B175" s="1" t="str">
        <f t="shared" si="4"/>
        <v>Corumba IV</v>
      </c>
      <c r="C175" s="1">
        <f t="shared" si="5"/>
        <v>-2353</v>
      </c>
      <c r="D175" s="2">
        <v>0</v>
      </c>
      <c r="E175" s="2">
        <v>0</v>
      </c>
      <c r="F175" s="2">
        <v>0</v>
      </c>
      <c r="G175" s="2">
        <v>0.3629</v>
      </c>
      <c r="H175" s="2">
        <v>23.938800000000001</v>
      </c>
      <c r="I175" s="2">
        <v>3.8148</v>
      </c>
      <c r="J175" s="2">
        <v>20.486999999999998</v>
      </c>
      <c r="K175" s="2">
        <v>0</v>
      </c>
      <c r="L175" s="2">
        <v>0</v>
      </c>
    </row>
    <row r="176" spans="1:12" x14ac:dyDescent="0.35">
      <c r="A176" s="4" t="s">
        <v>187</v>
      </c>
      <c r="B176" s="1" t="str">
        <f t="shared" si="4"/>
        <v>Lago Paranoa</v>
      </c>
      <c r="C176" s="1">
        <f t="shared" si="5"/>
        <v>-2353</v>
      </c>
      <c r="D176" s="2">
        <v>0</v>
      </c>
      <c r="E176" s="2">
        <v>2302.4499999999998</v>
      </c>
      <c r="F176" s="2">
        <v>0.2276</v>
      </c>
      <c r="G176" s="2">
        <v>3.0912000000000002</v>
      </c>
      <c r="H176" s="2">
        <v>3.8098999999999998</v>
      </c>
      <c r="I176" s="2">
        <v>1.1174999999999999</v>
      </c>
      <c r="J176" s="2">
        <v>5.5559000000000003</v>
      </c>
      <c r="K176" s="2">
        <v>2302.4499999999998</v>
      </c>
      <c r="L176" s="2">
        <v>0</v>
      </c>
    </row>
    <row r="177" spans="1:12" hidden="1" x14ac:dyDescent="0.35">
      <c r="A177" s="4" t="s">
        <v>188</v>
      </c>
      <c r="B177" s="1" t="str">
        <f t="shared" si="4"/>
        <v>Corumba IV</v>
      </c>
      <c r="C177" s="1">
        <f t="shared" si="5"/>
        <v>-2352</v>
      </c>
      <c r="D177" s="2">
        <v>0</v>
      </c>
      <c r="E177" s="2">
        <v>0</v>
      </c>
      <c r="F177" s="2">
        <v>0</v>
      </c>
      <c r="G177" s="2">
        <v>0.3629</v>
      </c>
      <c r="H177" s="2">
        <v>30.108699999999999</v>
      </c>
      <c r="I177" s="2">
        <v>3.8148</v>
      </c>
      <c r="J177" s="2">
        <v>26.6568</v>
      </c>
      <c r="K177" s="2">
        <v>0</v>
      </c>
      <c r="L177" s="2">
        <v>0</v>
      </c>
    </row>
    <row r="178" spans="1:12" x14ac:dyDescent="0.35">
      <c r="A178" s="4" t="s">
        <v>189</v>
      </c>
      <c r="B178" s="1" t="str">
        <f t="shared" si="4"/>
        <v>Lago Paranoa</v>
      </c>
      <c r="C178" s="1">
        <f t="shared" si="5"/>
        <v>-2352</v>
      </c>
      <c r="D178" s="2">
        <v>0</v>
      </c>
      <c r="E178" s="2">
        <v>2302.4499999999998</v>
      </c>
      <c r="F178" s="2">
        <v>0.22770000000000001</v>
      </c>
      <c r="G178" s="2">
        <v>3.4668000000000001</v>
      </c>
      <c r="H178" s="2">
        <v>4.5532000000000004</v>
      </c>
      <c r="I178" s="2">
        <v>1.1174999999999999</v>
      </c>
      <c r="J178" s="2">
        <v>6.6746999999999996</v>
      </c>
      <c r="K178" s="2">
        <v>2302.4499999999998</v>
      </c>
      <c r="L178" s="2">
        <v>0</v>
      </c>
    </row>
    <row r="179" spans="1:12" hidden="1" x14ac:dyDescent="0.35">
      <c r="A179" s="4" t="s">
        <v>190</v>
      </c>
      <c r="B179" s="1" t="str">
        <f t="shared" si="4"/>
        <v>Corumba IV</v>
      </c>
      <c r="C179" s="1">
        <f t="shared" si="5"/>
        <v>-2351</v>
      </c>
      <c r="D179" s="2">
        <v>0</v>
      </c>
      <c r="E179" s="2">
        <v>0</v>
      </c>
      <c r="F179" s="2">
        <v>0</v>
      </c>
      <c r="G179" s="2">
        <v>0.3629</v>
      </c>
      <c r="H179" s="2">
        <v>40.705599999999997</v>
      </c>
      <c r="I179" s="2">
        <v>3.8148</v>
      </c>
      <c r="J179" s="2">
        <v>37.253799999999998</v>
      </c>
      <c r="K179" s="2">
        <v>0</v>
      </c>
      <c r="L179" s="2">
        <v>0</v>
      </c>
    </row>
    <row r="180" spans="1:12" x14ac:dyDescent="0.35">
      <c r="A180" s="4" t="s">
        <v>191</v>
      </c>
      <c r="B180" s="1" t="str">
        <f t="shared" si="4"/>
        <v>Lago Paranoa</v>
      </c>
      <c r="C180" s="1">
        <f t="shared" si="5"/>
        <v>-2351</v>
      </c>
      <c r="D180" s="2">
        <v>0</v>
      </c>
      <c r="E180" s="2">
        <v>2302.4499999999998</v>
      </c>
      <c r="F180" s="2">
        <v>0.22789999999999999</v>
      </c>
      <c r="G180" s="2">
        <v>3.1823999999999999</v>
      </c>
      <c r="H180" s="2">
        <v>4.8109999999999999</v>
      </c>
      <c r="I180" s="2">
        <v>1.1174999999999999</v>
      </c>
      <c r="J180" s="2">
        <v>6.6479999999999997</v>
      </c>
      <c r="K180" s="2">
        <v>2302.4499999999998</v>
      </c>
      <c r="L180" s="2">
        <v>0</v>
      </c>
    </row>
    <row r="181" spans="1:12" hidden="1" x14ac:dyDescent="0.35">
      <c r="A181" s="4" t="s">
        <v>192</v>
      </c>
      <c r="B181" s="1" t="str">
        <f t="shared" si="4"/>
        <v>Corumba IV</v>
      </c>
      <c r="C181" s="1">
        <f t="shared" si="5"/>
        <v>-2350</v>
      </c>
      <c r="D181" s="2">
        <v>0</v>
      </c>
      <c r="E181" s="2">
        <v>0</v>
      </c>
      <c r="F181" s="2">
        <v>0</v>
      </c>
      <c r="G181" s="2">
        <v>0.3629</v>
      </c>
      <c r="H181" s="2">
        <v>36.326000000000001</v>
      </c>
      <c r="I181" s="2">
        <v>3.8148</v>
      </c>
      <c r="J181" s="2">
        <v>32.874099999999999</v>
      </c>
      <c r="K181" s="2">
        <v>0</v>
      </c>
      <c r="L181" s="2">
        <v>0</v>
      </c>
    </row>
    <row r="182" spans="1:12" x14ac:dyDescent="0.35">
      <c r="A182" s="4" t="s">
        <v>193</v>
      </c>
      <c r="B182" s="1" t="str">
        <f t="shared" si="4"/>
        <v>Lago Paranoa</v>
      </c>
      <c r="C182" s="1">
        <f t="shared" si="5"/>
        <v>-2350</v>
      </c>
      <c r="D182" s="2">
        <v>0</v>
      </c>
      <c r="E182" s="2">
        <v>2302.4499999999998</v>
      </c>
      <c r="F182" s="2">
        <v>0.2281</v>
      </c>
      <c r="G182" s="2">
        <v>3.258</v>
      </c>
      <c r="H182" s="2">
        <v>5.2324999999999999</v>
      </c>
      <c r="I182" s="2">
        <v>1.1174999999999999</v>
      </c>
      <c r="J182" s="2">
        <v>7.1449999999999996</v>
      </c>
      <c r="K182" s="2">
        <v>2302.4499999999998</v>
      </c>
      <c r="L182" s="2">
        <v>0</v>
      </c>
    </row>
    <row r="183" spans="1:12" hidden="1" x14ac:dyDescent="0.35">
      <c r="A183" s="4" t="s">
        <v>194</v>
      </c>
      <c r="B183" s="1" t="str">
        <f t="shared" si="4"/>
        <v>Corumba IV</v>
      </c>
      <c r="C183" s="1">
        <f t="shared" si="5"/>
        <v>-2349</v>
      </c>
      <c r="D183" s="2">
        <v>0</v>
      </c>
      <c r="E183" s="2">
        <v>0</v>
      </c>
      <c r="F183" s="2">
        <v>0</v>
      </c>
      <c r="G183" s="2">
        <v>0.3629</v>
      </c>
      <c r="H183" s="2">
        <v>35.7774</v>
      </c>
      <c r="I183" s="2">
        <v>5.0396999999999998</v>
      </c>
      <c r="J183" s="2">
        <v>31.1006</v>
      </c>
      <c r="K183" s="2">
        <v>0</v>
      </c>
      <c r="L183" s="2">
        <v>0</v>
      </c>
    </row>
    <row r="184" spans="1:12" x14ac:dyDescent="0.35">
      <c r="A184" s="4" t="s">
        <v>195</v>
      </c>
      <c r="B184" s="1" t="str">
        <f t="shared" si="4"/>
        <v>Lago Paranoa</v>
      </c>
      <c r="C184" s="1">
        <f t="shared" si="5"/>
        <v>-2349</v>
      </c>
      <c r="D184" s="2">
        <v>0</v>
      </c>
      <c r="E184" s="2">
        <v>2302.4499999999998</v>
      </c>
      <c r="F184" s="2">
        <v>0.19989999999999999</v>
      </c>
      <c r="G184" s="2">
        <v>3.6395</v>
      </c>
      <c r="H184" s="2">
        <v>7.2066999999999997</v>
      </c>
      <c r="I184" s="2">
        <v>1.1802999999999999</v>
      </c>
      <c r="J184" s="2">
        <v>9.4659999999999993</v>
      </c>
      <c r="K184" s="2">
        <v>2302.4499999999998</v>
      </c>
      <c r="L184" s="2">
        <v>0</v>
      </c>
    </row>
    <row r="185" spans="1:12" hidden="1" x14ac:dyDescent="0.35">
      <c r="A185" s="4" t="s">
        <v>196</v>
      </c>
      <c r="B185" s="1" t="str">
        <f t="shared" si="4"/>
        <v>Corumba IV</v>
      </c>
      <c r="C185" s="1">
        <f t="shared" si="5"/>
        <v>-2348</v>
      </c>
      <c r="D185" s="2">
        <v>0</v>
      </c>
      <c r="E185" s="2">
        <v>0</v>
      </c>
      <c r="F185" s="2">
        <v>0</v>
      </c>
      <c r="G185" s="2">
        <v>0.3629</v>
      </c>
      <c r="H185" s="2">
        <v>43.230200000000004</v>
      </c>
      <c r="I185" s="2">
        <v>3.7995000000000001</v>
      </c>
      <c r="J185" s="2">
        <v>39.793599999999998</v>
      </c>
      <c r="K185" s="2">
        <v>0</v>
      </c>
      <c r="L185" s="2">
        <v>0</v>
      </c>
    </row>
    <row r="186" spans="1:12" x14ac:dyDescent="0.35">
      <c r="A186" s="4" t="s">
        <v>197</v>
      </c>
      <c r="B186" s="1" t="str">
        <f t="shared" si="4"/>
        <v>Lago Paranoa</v>
      </c>
      <c r="C186" s="1">
        <f t="shared" si="5"/>
        <v>-2348</v>
      </c>
      <c r="D186" s="2">
        <v>0</v>
      </c>
      <c r="E186" s="2">
        <v>2302.4499999999998</v>
      </c>
      <c r="F186" s="2">
        <v>0.2001</v>
      </c>
      <c r="G186" s="2">
        <v>3.1372</v>
      </c>
      <c r="H186" s="2">
        <v>7.7824</v>
      </c>
      <c r="I186" s="2">
        <v>0.8266</v>
      </c>
      <c r="J186" s="2">
        <v>9.8930000000000007</v>
      </c>
      <c r="K186" s="2">
        <v>2302.4499999999998</v>
      </c>
      <c r="L186" s="2">
        <v>0</v>
      </c>
    </row>
    <row r="187" spans="1:12" hidden="1" x14ac:dyDescent="0.35">
      <c r="A187" s="4" t="s">
        <v>198</v>
      </c>
      <c r="B187" s="1" t="str">
        <f t="shared" si="4"/>
        <v>Corumba IV</v>
      </c>
      <c r="C187" s="1">
        <f t="shared" si="5"/>
        <v>-2347</v>
      </c>
      <c r="D187" s="2">
        <v>0</v>
      </c>
      <c r="E187" s="2">
        <v>0</v>
      </c>
      <c r="F187" s="2">
        <v>0</v>
      </c>
      <c r="G187" s="2">
        <v>0.3629</v>
      </c>
      <c r="H187" s="2">
        <v>43.254399999999997</v>
      </c>
      <c r="I187" s="2">
        <v>3.5588000000000002</v>
      </c>
      <c r="J187" s="2">
        <v>40.058500000000002</v>
      </c>
      <c r="K187" s="2">
        <v>0</v>
      </c>
      <c r="L187" s="2">
        <v>0</v>
      </c>
    </row>
    <row r="188" spans="1:12" x14ac:dyDescent="0.35">
      <c r="A188" s="4" t="s">
        <v>199</v>
      </c>
      <c r="B188" s="1" t="str">
        <f t="shared" si="4"/>
        <v>Lago Paranoa</v>
      </c>
      <c r="C188" s="1">
        <f t="shared" si="5"/>
        <v>-2347</v>
      </c>
      <c r="D188" s="2">
        <v>0</v>
      </c>
      <c r="E188" s="2">
        <v>2302.4499999999998</v>
      </c>
      <c r="F188" s="2">
        <v>0.20019999999999999</v>
      </c>
      <c r="G188" s="2">
        <v>2.9702000000000002</v>
      </c>
      <c r="H188" s="2">
        <v>7.8506999999999998</v>
      </c>
      <c r="I188" s="2">
        <v>0.76590000000000003</v>
      </c>
      <c r="J188" s="2">
        <v>9.8547999999999991</v>
      </c>
      <c r="K188" s="2">
        <v>2302.4499999999998</v>
      </c>
      <c r="L188" s="2">
        <v>0</v>
      </c>
    </row>
    <row r="189" spans="1:12" hidden="1" x14ac:dyDescent="0.35">
      <c r="A189" s="4" t="s">
        <v>200</v>
      </c>
      <c r="B189" s="1" t="str">
        <f t="shared" si="4"/>
        <v>Corumba IV</v>
      </c>
      <c r="C189" s="1">
        <f t="shared" si="5"/>
        <v>-2346</v>
      </c>
      <c r="D189" s="2">
        <v>0</v>
      </c>
      <c r="E189" s="2">
        <v>0</v>
      </c>
      <c r="F189" s="2">
        <v>0</v>
      </c>
      <c r="G189" s="2">
        <v>0.3629</v>
      </c>
      <c r="H189" s="2">
        <v>55.137900000000002</v>
      </c>
      <c r="I189" s="2">
        <v>3.5588000000000002</v>
      </c>
      <c r="J189" s="2">
        <v>51.942</v>
      </c>
      <c r="K189" s="2">
        <v>0</v>
      </c>
      <c r="L189" s="2">
        <v>0</v>
      </c>
    </row>
    <row r="190" spans="1:12" x14ac:dyDescent="0.35">
      <c r="A190" s="4" t="s">
        <v>201</v>
      </c>
      <c r="B190" s="1" t="str">
        <f t="shared" si="4"/>
        <v>Lago Paranoa</v>
      </c>
      <c r="C190" s="1">
        <f t="shared" si="5"/>
        <v>-2346</v>
      </c>
      <c r="D190" s="2">
        <v>0</v>
      </c>
      <c r="E190" s="2">
        <v>2302.4499999999998</v>
      </c>
      <c r="F190" s="2">
        <v>0.20039999999999999</v>
      </c>
      <c r="G190" s="2">
        <v>2.8003999999999998</v>
      </c>
      <c r="H190" s="2">
        <v>7.5278</v>
      </c>
      <c r="I190" s="2">
        <v>0.76590000000000003</v>
      </c>
      <c r="J190" s="2">
        <v>9.3619000000000003</v>
      </c>
      <c r="K190" s="2">
        <v>2302.4499999999998</v>
      </c>
      <c r="L190" s="2">
        <v>0</v>
      </c>
    </row>
    <row r="191" spans="1:12" hidden="1" x14ac:dyDescent="0.35">
      <c r="A191" s="4" t="s">
        <v>202</v>
      </c>
      <c r="B191" s="1" t="str">
        <f t="shared" si="4"/>
        <v>Corumba IV</v>
      </c>
      <c r="C191" s="1">
        <f t="shared" si="5"/>
        <v>-2345</v>
      </c>
      <c r="D191" s="2">
        <v>0</v>
      </c>
      <c r="E191" s="2">
        <v>0</v>
      </c>
      <c r="F191" s="2">
        <v>0</v>
      </c>
      <c r="G191" s="2">
        <v>0.3629</v>
      </c>
      <c r="H191" s="2">
        <v>42.4863</v>
      </c>
      <c r="I191" s="2">
        <v>4.3166000000000002</v>
      </c>
      <c r="J191" s="2">
        <v>38.532699999999998</v>
      </c>
      <c r="K191" s="2">
        <v>0</v>
      </c>
      <c r="L191" s="2">
        <v>0</v>
      </c>
    </row>
    <row r="192" spans="1:12" x14ac:dyDescent="0.35">
      <c r="A192" s="4" t="s">
        <v>203</v>
      </c>
      <c r="B192" s="1" t="str">
        <f t="shared" si="4"/>
        <v>Lago Paranoa</v>
      </c>
      <c r="C192" s="1">
        <f t="shared" si="5"/>
        <v>-2345</v>
      </c>
      <c r="D192" s="2">
        <v>0</v>
      </c>
      <c r="E192" s="2">
        <v>2302.4499999999998</v>
      </c>
      <c r="F192" s="2">
        <v>0.14149999999999999</v>
      </c>
      <c r="G192" s="2">
        <v>3.0076000000000001</v>
      </c>
      <c r="H192" s="2">
        <v>6.9122000000000003</v>
      </c>
      <c r="I192" s="2">
        <v>1.0779000000000001</v>
      </c>
      <c r="J192" s="2">
        <v>8.7004000000000001</v>
      </c>
      <c r="K192" s="2">
        <v>2302.4499999999998</v>
      </c>
      <c r="L192" s="2">
        <v>0</v>
      </c>
    </row>
    <row r="193" spans="1:12" hidden="1" x14ac:dyDescent="0.35">
      <c r="A193" s="4" t="s">
        <v>204</v>
      </c>
      <c r="B193" s="1" t="str">
        <f t="shared" si="4"/>
        <v>Corumba IV</v>
      </c>
      <c r="C193" s="1">
        <f t="shared" si="5"/>
        <v>-2344</v>
      </c>
      <c r="D193" s="2">
        <v>0</v>
      </c>
      <c r="E193" s="2">
        <v>0</v>
      </c>
      <c r="F193" s="2">
        <v>0</v>
      </c>
      <c r="G193" s="2">
        <v>0.3629</v>
      </c>
      <c r="H193" s="2">
        <v>33.098100000000002</v>
      </c>
      <c r="I193" s="2">
        <v>4.4560000000000004</v>
      </c>
      <c r="J193" s="2">
        <v>29.004999999999999</v>
      </c>
      <c r="K193" s="2">
        <v>0</v>
      </c>
      <c r="L193" s="2">
        <v>0</v>
      </c>
    </row>
    <row r="194" spans="1:12" x14ac:dyDescent="0.35">
      <c r="A194" s="4" t="s">
        <v>205</v>
      </c>
      <c r="B194" s="1" t="str">
        <f t="shared" si="4"/>
        <v>Lago Paranoa</v>
      </c>
      <c r="C194" s="1">
        <f t="shared" si="5"/>
        <v>-2344</v>
      </c>
      <c r="D194" s="2">
        <v>0</v>
      </c>
      <c r="E194" s="2">
        <v>2302.4499999999998</v>
      </c>
      <c r="F194" s="2">
        <v>0.14169999999999999</v>
      </c>
      <c r="G194" s="2">
        <v>2.9268000000000001</v>
      </c>
      <c r="H194" s="2">
        <v>6.0179999999999998</v>
      </c>
      <c r="I194" s="2">
        <v>1.2496</v>
      </c>
      <c r="J194" s="2">
        <v>7.5536000000000003</v>
      </c>
      <c r="K194" s="2">
        <v>2302.4499999999998</v>
      </c>
      <c r="L194" s="2">
        <v>0</v>
      </c>
    </row>
    <row r="195" spans="1:12" hidden="1" x14ac:dyDescent="0.35">
      <c r="A195" s="4" t="s">
        <v>206</v>
      </c>
      <c r="B195" s="1" t="str">
        <f t="shared" ref="B195:B258" si="6">_xlfn.TEXTBEFORE(_xlfn.TEXTAFTER(A195,"["),"]")</f>
        <v>Corumba IV</v>
      </c>
      <c r="C195" s="1">
        <f t="shared" ref="C195:C258" si="7">--_xlfn.TEXTBEFORE(_xlfn.TEXTAFTER(A195,"Week "),":")</f>
        <v>-2447</v>
      </c>
      <c r="D195" s="2">
        <v>0</v>
      </c>
      <c r="E195" s="2">
        <v>0</v>
      </c>
      <c r="F195" s="2">
        <v>0</v>
      </c>
      <c r="G195" s="2">
        <v>0.3629</v>
      </c>
      <c r="H195" s="2">
        <v>96.970200000000006</v>
      </c>
      <c r="I195" s="2">
        <v>4.4478</v>
      </c>
      <c r="J195" s="2">
        <v>92.885300000000001</v>
      </c>
      <c r="K195" s="2">
        <v>0</v>
      </c>
      <c r="L195" s="2">
        <v>0</v>
      </c>
    </row>
    <row r="196" spans="1:12" x14ac:dyDescent="0.35">
      <c r="A196" s="4" t="s">
        <v>207</v>
      </c>
      <c r="B196" s="1" t="str">
        <f t="shared" si="6"/>
        <v>Lago Paranoa</v>
      </c>
      <c r="C196" s="1">
        <f t="shared" si="7"/>
        <v>-2447</v>
      </c>
      <c r="D196" s="2">
        <v>0</v>
      </c>
      <c r="E196" s="2">
        <v>2302.4499999999998</v>
      </c>
      <c r="F196" s="2">
        <v>0.26050000000000001</v>
      </c>
      <c r="G196" s="2">
        <v>7.8834</v>
      </c>
      <c r="H196" s="2">
        <v>16.209199999999999</v>
      </c>
      <c r="I196" s="2">
        <v>1.0680000000000001</v>
      </c>
      <c r="J196" s="2">
        <v>22.764099999999999</v>
      </c>
      <c r="K196" s="2">
        <v>2302.4499999999998</v>
      </c>
      <c r="L196" s="2">
        <v>0</v>
      </c>
    </row>
    <row r="197" spans="1:12" hidden="1" x14ac:dyDescent="0.35">
      <c r="A197" s="4" t="s">
        <v>208</v>
      </c>
      <c r="B197" s="1" t="str">
        <f t="shared" si="6"/>
        <v>Corumba IV</v>
      </c>
      <c r="C197" s="1">
        <f t="shared" si="7"/>
        <v>-2446</v>
      </c>
      <c r="D197" s="2">
        <v>0</v>
      </c>
      <c r="E197" s="2">
        <v>0</v>
      </c>
      <c r="F197" s="2">
        <v>0</v>
      </c>
      <c r="G197" s="2">
        <v>0.3629</v>
      </c>
      <c r="H197" s="2">
        <v>104.131</v>
      </c>
      <c r="I197" s="2">
        <v>4.4478</v>
      </c>
      <c r="J197" s="2">
        <v>100.0461</v>
      </c>
      <c r="K197" s="2">
        <v>0</v>
      </c>
      <c r="L197" s="2">
        <v>0</v>
      </c>
    </row>
    <row r="198" spans="1:12" x14ac:dyDescent="0.35">
      <c r="A198" s="4" t="s">
        <v>209</v>
      </c>
      <c r="B198" s="1" t="str">
        <f t="shared" si="6"/>
        <v>Lago Paranoa</v>
      </c>
      <c r="C198" s="1">
        <f t="shared" si="7"/>
        <v>-2446</v>
      </c>
      <c r="D198" s="2">
        <v>0</v>
      </c>
      <c r="E198" s="2">
        <v>2302.4499999999998</v>
      </c>
      <c r="F198" s="2">
        <v>0.14480000000000001</v>
      </c>
      <c r="G198" s="2">
        <v>9.7119999999999997</v>
      </c>
      <c r="H198" s="2">
        <v>22.140899999999998</v>
      </c>
      <c r="I198" s="2">
        <v>1.0680000000000001</v>
      </c>
      <c r="J198" s="2">
        <v>30.6401</v>
      </c>
      <c r="K198" s="2">
        <v>2302.4499999999998</v>
      </c>
      <c r="L198" s="2">
        <v>0</v>
      </c>
    </row>
    <row r="199" spans="1:12" hidden="1" x14ac:dyDescent="0.35">
      <c r="A199" s="4" t="s">
        <v>210</v>
      </c>
      <c r="B199" s="1" t="str">
        <f t="shared" si="6"/>
        <v>Corumba IV</v>
      </c>
      <c r="C199" s="1">
        <f t="shared" si="7"/>
        <v>-2445</v>
      </c>
      <c r="D199" s="2">
        <v>0</v>
      </c>
      <c r="E199" s="2">
        <v>0</v>
      </c>
      <c r="F199" s="2">
        <v>0</v>
      </c>
      <c r="G199" s="2">
        <v>0.3629</v>
      </c>
      <c r="H199" s="2">
        <v>102.7668</v>
      </c>
      <c r="I199" s="2">
        <v>4.4478</v>
      </c>
      <c r="J199" s="2">
        <v>98.681799999999996</v>
      </c>
      <c r="K199" s="2">
        <v>0</v>
      </c>
      <c r="L199" s="2">
        <v>0</v>
      </c>
    </row>
    <row r="200" spans="1:12" x14ac:dyDescent="0.35">
      <c r="A200" s="4" t="s">
        <v>211</v>
      </c>
      <c r="B200" s="1" t="str">
        <f t="shared" si="6"/>
        <v>Lago Paranoa</v>
      </c>
      <c r="C200" s="1">
        <f t="shared" si="7"/>
        <v>-2445</v>
      </c>
      <c r="D200" s="2">
        <v>0</v>
      </c>
      <c r="E200" s="2">
        <v>2302.4499999999998</v>
      </c>
      <c r="F200" s="2">
        <v>0.14430000000000001</v>
      </c>
      <c r="G200" s="2">
        <v>6.7408999999999999</v>
      </c>
      <c r="H200" s="2">
        <v>15.6637</v>
      </c>
      <c r="I200" s="2">
        <v>1.0680000000000001</v>
      </c>
      <c r="J200" s="2">
        <v>21.192399999999999</v>
      </c>
      <c r="K200" s="2">
        <v>2302.4499999999998</v>
      </c>
      <c r="L200" s="2">
        <v>0</v>
      </c>
    </row>
    <row r="201" spans="1:12" hidden="1" x14ac:dyDescent="0.35">
      <c r="A201" s="4" t="s">
        <v>212</v>
      </c>
      <c r="B201" s="1" t="str">
        <f t="shared" si="6"/>
        <v>Corumba IV</v>
      </c>
      <c r="C201" s="1">
        <f t="shared" si="7"/>
        <v>-2444</v>
      </c>
      <c r="D201" s="2">
        <v>0</v>
      </c>
      <c r="E201" s="2">
        <v>0</v>
      </c>
      <c r="F201" s="2">
        <v>0</v>
      </c>
      <c r="G201" s="2">
        <v>0.3629</v>
      </c>
      <c r="H201" s="2">
        <v>81.507999999999996</v>
      </c>
      <c r="I201" s="2">
        <v>4.4995000000000003</v>
      </c>
      <c r="J201" s="2">
        <v>77.371499999999997</v>
      </c>
      <c r="K201" s="2">
        <v>0</v>
      </c>
      <c r="L201" s="2">
        <v>0</v>
      </c>
    </row>
    <row r="202" spans="1:12" x14ac:dyDescent="0.35">
      <c r="A202" s="4" t="s">
        <v>213</v>
      </c>
      <c r="B202" s="1" t="str">
        <f t="shared" si="6"/>
        <v>Lago Paranoa</v>
      </c>
      <c r="C202" s="1">
        <f t="shared" si="7"/>
        <v>-2444</v>
      </c>
      <c r="D202" s="2">
        <v>0</v>
      </c>
      <c r="E202" s="2">
        <v>2302.4499999999998</v>
      </c>
      <c r="F202" s="2">
        <v>0.16120000000000001</v>
      </c>
      <c r="G202" s="2">
        <v>5.1776</v>
      </c>
      <c r="H202" s="2">
        <v>10.1313</v>
      </c>
      <c r="I202" s="2">
        <v>1.3028999999999999</v>
      </c>
      <c r="J202" s="2">
        <v>13.8447</v>
      </c>
      <c r="K202" s="2">
        <v>2302.4499999999998</v>
      </c>
      <c r="L202" s="2">
        <v>0</v>
      </c>
    </row>
    <row r="203" spans="1:12" hidden="1" x14ac:dyDescent="0.35">
      <c r="A203" s="4" t="s">
        <v>214</v>
      </c>
      <c r="B203" s="1" t="str">
        <f t="shared" si="6"/>
        <v>Corumba IV</v>
      </c>
      <c r="C203" s="1">
        <f t="shared" si="7"/>
        <v>-2443</v>
      </c>
      <c r="D203" s="2">
        <v>0</v>
      </c>
      <c r="E203" s="2">
        <v>0</v>
      </c>
      <c r="F203" s="2">
        <v>0</v>
      </c>
      <c r="G203" s="2">
        <v>0.3629</v>
      </c>
      <c r="H203" s="2">
        <v>89.371300000000005</v>
      </c>
      <c r="I203" s="2">
        <v>4.4995000000000003</v>
      </c>
      <c r="J203" s="2">
        <v>85.234700000000004</v>
      </c>
      <c r="K203" s="2">
        <v>0</v>
      </c>
      <c r="L203" s="2">
        <v>0</v>
      </c>
    </row>
    <row r="204" spans="1:12" x14ac:dyDescent="0.35">
      <c r="A204" s="4" t="s">
        <v>215</v>
      </c>
      <c r="B204" s="1" t="str">
        <f t="shared" si="6"/>
        <v>Lago Paranoa</v>
      </c>
      <c r="C204" s="1">
        <f t="shared" si="7"/>
        <v>-2443</v>
      </c>
      <c r="D204" s="2">
        <v>0</v>
      </c>
      <c r="E204" s="2">
        <v>2302.4499999999998</v>
      </c>
      <c r="F204" s="2">
        <v>0.15340000000000001</v>
      </c>
      <c r="G204" s="2">
        <v>4.5362</v>
      </c>
      <c r="H204" s="2">
        <v>10.479699999999999</v>
      </c>
      <c r="I204" s="2">
        <v>1.3028999999999999</v>
      </c>
      <c r="J204" s="2">
        <v>13.5595</v>
      </c>
      <c r="K204" s="2">
        <v>2302.4499999999998</v>
      </c>
      <c r="L204" s="2">
        <v>0</v>
      </c>
    </row>
    <row r="205" spans="1:12" hidden="1" x14ac:dyDescent="0.35">
      <c r="A205" s="4" t="s">
        <v>216</v>
      </c>
      <c r="B205" s="1" t="str">
        <f t="shared" si="6"/>
        <v>Corumba IV</v>
      </c>
      <c r="C205" s="1">
        <f t="shared" si="7"/>
        <v>-2442</v>
      </c>
      <c r="D205" s="2">
        <v>0</v>
      </c>
      <c r="E205" s="2">
        <v>0</v>
      </c>
      <c r="F205" s="2">
        <v>0</v>
      </c>
      <c r="G205" s="2">
        <v>0.3629</v>
      </c>
      <c r="H205" s="2">
        <v>103.02249999999999</v>
      </c>
      <c r="I205" s="2">
        <v>4.4995000000000003</v>
      </c>
      <c r="J205" s="2">
        <v>98.885900000000007</v>
      </c>
      <c r="K205" s="2">
        <v>0</v>
      </c>
      <c r="L205" s="2">
        <v>0</v>
      </c>
    </row>
    <row r="206" spans="1:12" x14ac:dyDescent="0.35">
      <c r="A206" s="4" t="s">
        <v>217</v>
      </c>
      <c r="B206" s="1" t="str">
        <f t="shared" si="6"/>
        <v>Lago Paranoa</v>
      </c>
      <c r="C206" s="1">
        <f t="shared" si="7"/>
        <v>-2442</v>
      </c>
      <c r="D206" s="2">
        <v>0</v>
      </c>
      <c r="E206" s="2">
        <v>2302.4499999999998</v>
      </c>
      <c r="F206" s="2">
        <v>0.153</v>
      </c>
      <c r="G206" s="2">
        <v>4.3274999999999997</v>
      </c>
      <c r="H206" s="2">
        <v>10.7349</v>
      </c>
      <c r="I206" s="2">
        <v>1.3028999999999999</v>
      </c>
      <c r="J206" s="2">
        <v>13.6065</v>
      </c>
      <c r="K206" s="2">
        <v>2302.4499999999998</v>
      </c>
      <c r="L206" s="2">
        <v>0</v>
      </c>
    </row>
    <row r="207" spans="1:12" hidden="1" x14ac:dyDescent="0.35">
      <c r="A207" s="4" t="s">
        <v>218</v>
      </c>
      <c r="B207" s="1" t="str">
        <f t="shared" si="6"/>
        <v>Corumba IV</v>
      </c>
      <c r="C207" s="1">
        <f t="shared" si="7"/>
        <v>-2441</v>
      </c>
      <c r="D207" s="2">
        <v>0</v>
      </c>
      <c r="E207" s="2">
        <v>0</v>
      </c>
      <c r="F207" s="2">
        <v>0</v>
      </c>
      <c r="G207" s="2">
        <v>0.3629</v>
      </c>
      <c r="H207" s="2">
        <v>92.717600000000004</v>
      </c>
      <c r="I207" s="2">
        <v>4.0724</v>
      </c>
      <c r="J207" s="2">
        <v>89.008099999999999</v>
      </c>
      <c r="K207" s="2">
        <v>0</v>
      </c>
      <c r="L207" s="2">
        <v>0</v>
      </c>
    </row>
    <row r="208" spans="1:12" x14ac:dyDescent="0.35">
      <c r="A208" s="4" t="s">
        <v>219</v>
      </c>
      <c r="B208" s="1" t="str">
        <f t="shared" si="6"/>
        <v>Lago Paranoa</v>
      </c>
      <c r="C208" s="1">
        <f t="shared" si="7"/>
        <v>-2441</v>
      </c>
      <c r="D208" s="2">
        <v>0</v>
      </c>
      <c r="E208" s="2">
        <v>2302.4499999999998</v>
      </c>
      <c r="F208" s="2">
        <v>0.15260000000000001</v>
      </c>
      <c r="G208" s="2">
        <v>4.5217000000000001</v>
      </c>
      <c r="H208" s="2">
        <v>10.767200000000001</v>
      </c>
      <c r="I208" s="2">
        <v>1.2154</v>
      </c>
      <c r="J208" s="2">
        <v>13.9208</v>
      </c>
      <c r="K208" s="2">
        <v>2302.4499999999998</v>
      </c>
      <c r="L208" s="2">
        <v>0</v>
      </c>
    </row>
    <row r="209" spans="1:12" hidden="1" x14ac:dyDescent="0.35">
      <c r="A209" s="4" t="s">
        <v>220</v>
      </c>
      <c r="B209" s="1" t="str">
        <f t="shared" si="6"/>
        <v>Corumba IV</v>
      </c>
      <c r="C209" s="1">
        <f t="shared" si="7"/>
        <v>-2440</v>
      </c>
      <c r="D209" s="2">
        <v>0</v>
      </c>
      <c r="E209" s="2">
        <v>0</v>
      </c>
      <c r="F209" s="2">
        <v>0</v>
      </c>
      <c r="G209" s="2">
        <v>0.3629</v>
      </c>
      <c r="H209" s="2">
        <v>90.863399999999999</v>
      </c>
      <c r="I209" s="2">
        <v>3.0911</v>
      </c>
      <c r="J209" s="2">
        <v>88.135199999999998</v>
      </c>
      <c r="K209" s="2">
        <v>0</v>
      </c>
      <c r="L209" s="2">
        <v>0</v>
      </c>
    </row>
    <row r="210" spans="1:12" x14ac:dyDescent="0.35">
      <c r="A210" s="4" t="s">
        <v>221</v>
      </c>
      <c r="B210" s="1" t="str">
        <f t="shared" si="6"/>
        <v>Lago Paranoa</v>
      </c>
      <c r="C210" s="1">
        <f t="shared" si="7"/>
        <v>-2440</v>
      </c>
      <c r="D210" s="2">
        <v>0</v>
      </c>
      <c r="E210" s="2">
        <v>2302.4499999999998</v>
      </c>
      <c r="F210" s="2">
        <v>0.21609999999999999</v>
      </c>
      <c r="G210" s="2">
        <v>6.8871000000000002</v>
      </c>
      <c r="H210" s="2">
        <v>12.461499999999999</v>
      </c>
      <c r="I210" s="2">
        <v>1.0004</v>
      </c>
      <c r="J210" s="2">
        <v>18.132000000000001</v>
      </c>
      <c r="K210" s="2">
        <v>2302.4499999999998</v>
      </c>
      <c r="L210" s="2">
        <v>0</v>
      </c>
    </row>
    <row r="211" spans="1:12" hidden="1" x14ac:dyDescent="0.35">
      <c r="A211" s="4" t="s">
        <v>222</v>
      </c>
      <c r="B211" s="1" t="str">
        <f t="shared" si="6"/>
        <v>Corumba IV</v>
      </c>
      <c r="C211" s="1">
        <f t="shared" si="7"/>
        <v>-2439</v>
      </c>
      <c r="D211" s="2">
        <v>0</v>
      </c>
      <c r="E211" s="2">
        <v>0</v>
      </c>
      <c r="F211" s="2">
        <v>0</v>
      </c>
      <c r="G211" s="2">
        <v>0.3629</v>
      </c>
      <c r="H211" s="2">
        <v>93.045000000000002</v>
      </c>
      <c r="I211" s="2">
        <v>2.9264000000000001</v>
      </c>
      <c r="J211" s="2">
        <v>90.4816</v>
      </c>
      <c r="K211" s="2">
        <v>0</v>
      </c>
      <c r="L211" s="2">
        <v>0</v>
      </c>
    </row>
    <row r="212" spans="1:12" x14ac:dyDescent="0.35">
      <c r="A212" s="4" t="s">
        <v>223</v>
      </c>
      <c r="B212" s="1" t="str">
        <f t="shared" si="6"/>
        <v>Lago Paranoa</v>
      </c>
      <c r="C212" s="1">
        <f t="shared" si="7"/>
        <v>-2439</v>
      </c>
      <c r="D212" s="2">
        <v>0</v>
      </c>
      <c r="E212" s="2">
        <v>2302.4499999999998</v>
      </c>
      <c r="F212" s="2">
        <v>0.21629999999999999</v>
      </c>
      <c r="G212" s="2">
        <v>5.1654999999999998</v>
      </c>
      <c r="H212" s="2">
        <v>10.0022</v>
      </c>
      <c r="I212" s="2">
        <v>0.96099999999999997</v>
      </c>
      <c r="J212" s="2">
        <v>13.990399999999999</v>
      </c>
      <c r="K212" s="2">
        <v>2302.4499999999998</v>
      </c>
      <c r="L212" s="2">
        <v>0</v>
      </c>
    </row>
    <row r="213" spans="1:12" hidden="1" x14ac:dyDescent="0.35">
      <c r="A213" s="4" t="s">
        <v>224</v>
      </c>
      <c r="B213" s="1" t="str">
        <f t="shared" si="6"/>
        <v>Corumba IV</v>
      </c>
      <c r="C213" s="1">
        <f t="shared" si="7"/>
        <v>-2438</v>
      </c>
      <c r="D213" s="2">
        <v>0</v>
      </c>
      <c r="E213" s="2">
        <v>0</v>
      </c>
      <c r="F213" s="2">
        <v>0</v>
      </c>
      <c r="G213" s="2">
        <v>0.3629</v>
      </c>
      <c r="H213" s="2">
        <v>91.635000000000005</v>
      </c>
      <c r="I213" s="2">
        <v>2.9264000000000001</v>
      </c>
      <c r="J213" s="2">
        <v>89.0715</v>
      </c>
      <c r="K213" s="2">
        <v>0</v>
      </c>
      <c r="L213" s="2">
        <v>0</v>
      </c>
    </row>
    <row r="214" spans="1:12" x14ac:dyDescent="0.35">
      <c r="A214" s="4" t="s">
        <v>225</v>
      </c>
      <c r="B214" s="1" t="str">
        <f t="shared" si="6"/>
        <v>Lago Paranoa</v>
      </c>
      <c r="C214" s="1">
        <f t="shared" si="7"/>
        <v>-2438</v>
      </c>
      <c r="D214" s="2">
        <v>0</v>
      </c>
      <c r="E214" s="2">
        <v>2302.4499999999998</v>
      </c>
      <c r="F214" s="2">
        <v>0.21640000000000001</v>
      </c>
      <c r="G214" s="2">
        <v>6.1147999999999998</v>
      </c>
      <c r="H214" s="2">
        <v>10.7027</v>
      </c>
      <c r="I214" s="2">
        <v>0.96099999999999997</v>
      </c>
      <c r="J214" s="2">
        <v>15.6401</v>
      </c>
      <c r="K214" s="2">
        <v>2302.4499999999998</v>
      </c>
      <c r="L214" s="2">
        <v>0</v>
      </c>
    </row>
    <row r="215" spans="1:12" hidden="1" x14ac:dyDescent="0.35">
      <c r="A215" s="4" t="s">
        <v>226</v>
      </c>
      <c r="B215" s="1" t="str">
        <f t="shared" si="6"/>
        <v>Corumba IV</v>
      </c>
      <c r="C215" s="1">
        <f t="shared" si="7"/>
        <v>-2437</v>
      </c>
      <c r="D215" s="2">
        <v>0</v>
      </c>
      <c r="E215" s="2">
        <v>0</v>
      </c>
      <c r="F215" s="2">
        <v>0</v>
      </c>
      <c r="G215" s="2">
        <v>0.3629</v>
      </c>
      <c r="H215" s="2">
        <v>98.876999999999995</v>
      </c>
      <c r="I215" s="2">
        <v>2.9264000000000001</v>
      </c>
      <c r="J215" s="2">
        <v>96.313599999999994</v>
      </c>
      <c r="K215" s="2">
        <v>0</v>
      </c>
      <c r="L215" s="2">
        <v>0</v>
      </c>
    </row>
    <row r="216" spans="1:12" x14ac:dyDescent="0.35">
      <c r="A216" s="4" t="s">
        <v>227</v>
      </c>
      <c r="B216" s="1" t="str">
        <f t="shared" si="6"/>
        <v>Lago Paranoa</v>
      </c>
      <c r="C216" s="1">
        <f t="shared" si="7"/>
        <v>-2437</v>
      </c>
      <c r="D216" s="2">
        <v>0</v>
      </c>
      <c r="E216" s="2">
        <v>2302.4499999999998</v>
      </c>
      <c r="F216" s="2">
        <v>0.21659999999999999</v>
      </c>
      <c r="G216" s="2">
        <v>3.8315999999999999</v>
      </c>
      <c r="H216" s="2">
        <v>9.4009</v>
      </c>
      <c r="I216" s="2">
        <v>0.96099999999999997</v>
      </c>
      <c r="J216" s="2">
        <v>12.0549</v>
      </c>
      <c r="K216" s="2">
        <v>2302.4499999999998</v>
      </c>
      <c r="L216" s="2">
        <v>0</v>
      </c>
    </row>
    <row r="217" spans="1:12" hidden="1" x14ac:dyDescent="0.35">
      <c r="A217" s="4" t="s">
        <v>228</v>
      </c>
      <c r="B217" s="1" t="str">
        <f t="shared" si="6"/>
        <v>Corumba IV</v>
      </c>
      <c r="C217" s="1">
        <f t="shared" si="7"/>
        <v>-2436</v>
      </c>
      <c r="D217" s="2">
        <v>0</v>
      </c>
      <c r="E217" s="2">
        <v>0</v>
      </c>
      <c r="F217" s="2">
        <v>0</v>
      </c>
      <c r="G217" s="2">
        <v>0.3629</v>
      </c>
      <c r="H217" s="2">
        <v>94.576899999999995</v>
      </c>
      <c r="I217" s="2">
        <v>3.0880999999999998</v>
      </c>
      <c r="J217" s="2">
        <v>91.851699999999994</v>
      </c>
      <c r="K217" s="2">
        <v>0</v>
      </c>
      <c r="L217" s="2">
        <v>0</v>
      </c>
    </row>
    <row r="218" spans="1:12" x14ac:dyDescent="0.35">
      <c r="A218" s="4" t="s">
        <v>229</v>
      </c>
      <c r="B218" s="1" t="str">
        <f t="shared" si="6"/>
        <v>Lago Paranoa</v>
      </c>
      <c r="C218" s="1">
        <f t="shared" si="7"/>
        <v>-2436</v>
      </c>
      <c r="D218" s="2">
        <v>0</v>
      </c>
      <c r="E218" s="2">
        <v>2302.4499999999998</v>
      </c>
      <c r="F218" s="2">
        <v>0.13150000000000001</v>
      </c>
      <c r="G218" s="2">
        <v>4.6226000000000003</v>
      </c>
      <c r="H218" s="2">
        <v>11.0175</v>
      </c>
      <c r="I218" s="2">
        <v>0.95650000000000002</v>
      </c>
      <c r="J218" s="2">
        <v>14.552</v>
      </c>
      <c r="K218" s="2">
        <v>2302.4499999999998</v>
      </c>
      <c r="L218" s="2">
        <v>0</v>
      </c>
    </row>
    <row r="219" spans="1:12" hidden="1" x14ac:dyDescent="0.35">
      <c r="A219" s="4" t="s">
        <v>230</v>
      </c>
      <c r="B219" s="1" t="str">
        <f t="shared" si="6"/>
        <v>Corumba IV</v>
      </c>
      <c r="C219" s="1">
        <f t="shared" si="7"/>
        <v>-2435</v>
      </c>
      <c r="D219" s="2">
        <v>0</v>
      </c>
      <c r="E219" s="2">
        <v>0</v>
      </c>
      <c r="F219" s="2">
        <v>0</v>
      </c>
      <c r="G219" s="2">
        <v>0.3629</v>
      </c>
      <c r="H219" s="2">
        <v>104.2684</v>
      </c>
      <c r="I219" s="2">
        <v>2.7858999999999998</v>
      </c>
      <c r="J219" s="2">
        <v>101.8454</v>
      </c>
      <c r="K219" s="2">
        <v>0</v>
      </c>
      <c r="L219" s="2">
        <v>0</v>
      </c>
    </row>
    <row r="220" spans="1:12" x14ac:dyDescent="0.35">
      <c r="A220" s="4" t="s">
        <v>231</v>
      </c>
      <c r="B220" s="1" t="str">
        <f t="shared" si="6"/>
        <v>Lago Paranoa</v>
      </c>
      <c r="C220" s="1">
        <f t="shared" si="7"/>
        <v>-2435</v>
      </c>
      <c r="D220" s="2">
        <v>0</v>
      </c>
      <c r="E220" s="2">
        <v>2302.4499999999998</v>
      </c>
      <c r="F220" s="2">
        <v>0.13159999999999999</v>
      </c>
      <c r="G220" s="2">
        <v>5.9398</v>
      </c>
      <c r="H220" s="2">
        <v>12.3368</v>
      </c>
      <c r="I220" s="2">
        <v>0.83989999999999998</v>
      </c>
      <c r="J220" s="2">
        <v>17.305</v>
      </c>
      <c r="K220" s="2">
        <v>2302.4499999999998</v>
      </c>
      <c r="L220" s="2">
        <v>0</v>
      </c>
    </row>
    <row r="221" spans="1:12" hidden="1" x14ac:dyDescent="0.35">
      <c r="A221" s="4" t="s">
        <v>232</v>
      </c>
      <c r="B221" s="1" t="str">
        <f t="shared" si="6"/>
        <v>Corumba IV</v>
      </c>
      <c r="C221" s="1">
        <f t="shared" si="7"/>
        <v>-2434</v>
      </c>
      <c r="D221" s="2">
        <v>0</v>
      </c>
      <c r="E221" s="2">
        <v>0</v>
      </c>
      <c r="F221" s="2">
        <v>0</v>
      </c>
      <c r="G221" s="2">
        <v>0.3629</v>
      </c>
      <c r="H221" s="2">
        <v>172.9512</v>
      </c>
      <c r="I221" s="2">
        <v>2.7858999999999998</v>
      </c>
      <c r="J221" s="2">
        <v>170.5282</v>
      </c>
      <c r="K221" s="2">
        <v>0</v>
      </c>
      <c r="L221" s="2">
        <v>0</v>
      </c>
    </row>
    <row r="222" spans="1:12" x14ac:dyDescent="0.35">
      <c r="A222" s="4" t="s">
        <v>233</v>
      </c>
      <c r="B222" s="1" t="str">
        <f t="shared" si="6"/>
        <v>Lago Paranoa</v>
      </c>
      <c r="C222" s="1">
        <f t="shared" si="7"/>
        <v>-2434</v>
      </c>
      <c r="D222" s="2">
        <v>0</v>
      </c>
      <c r="E222" s="2">
        <v>2302.4499999999998</v>
      </c>
      <c r="F222" s="2">
        <v>0.1318</v>
      </c>
      <c r="G222" s="2">
        <v>8.5531000000000006</v>
      </c>
      <c r="H222" s="2">
        <v>17.655100000000001</v>
      </c>
      <c r="I222" s="2">
        <v>0.83989999999999998</v>
      </c>
      <c r="J222" s="2">
        <v>25.236499999999999</v>
      </c>
      <c r="K222" s="2">
        <v>2302.4499999999998</v>
      </c>
      <c r="L222" s="2">
        <v>0</v>
      </c>
    </row>
    <row r="223" spans="1:12" hidden="1" x14ac:dyDescent="0.35">
      <c r="A223" s="4" t="s">
        <v>234</v>
      </c>
      <c r="B223" s="1" t="str">
        <f t="shared" si="6"/>
        <v>Corumba IV</v>
      </c>
      <c r="C223" s="1">
        <f t="shared" si="7"/>
        <v>-2433</v>
      </c>
      <c r="D223" s="2">
        <v>0</v>
      </c>
      <c r="E223" s="2">
        <v>0</v>
      </c>
      <c r="F223" s="2">
        <v>0</v>
      </c>
      <c r="G223" s="2">
        <v>0.3629</v>
      </c>
      <c r="H223" s="2">
        <v>201.2636</v>
      </c>
      <c r="I223" s="2">
        <v>2.7858999999999998</v>
      </c>
      <c r="J223" s="2">
        <v>198.84059999999999</v>
      </c>
      <c r="K223" s="2">
        <v>0</v>
      </c>
      <c r="L223" s="2">
        <v>0</v>
      </c>
    </row>
    <row r="224" spans="1:12" x14ac:dyDescent="0.35">
      <c r="A224" s="4" t="s">
        <v>235</v>
      </c>
      <c r="B224" s="1" t="str">
        <f t="shared" si="6"/>
        <v>Lago Paranoa</v>
      </c>
      <c r="C224" s="1">
        <f t="shared" si="7"/>
        <v>-2433</v>
      </c>
      <c r="D224" s="2">
        <v>0</v>
      </c>
      <c r="E224" s="2">
        <v>2302.4499999999998</v>
      </c>
      <c r="F224" s="2">
        <v>0.13189999999999999</v>
      </c>
      <c r="G224" s="2">
        <v>8.3130000000000006</v>
      </c>
      <c r="H224" s="2">
        <v>22.033200000000001</v>
      </c>
      <c r="I224" s="2">
        <v>0.83989999999999998</v>
      </c>
      <c r="J224" s="2">
        <v>29.374400000000001</v>
      </c>
      <c r="K224" s="2">
        <v>2302.4499999999998</v>
      </c>
      <c r="L224" s="2">
        <v>0</v>
      </c>
    </row>
    <row r="225" spans="1:12" hidden="1" x14ac:dyDescent="0.35">
      <c r="A225" s="4" t="s">
        <v>236</v>
      </c>
      <c r="B225" s="1" t="str">
        <f t="shared" si="6"/>
        <v>Corumba IV</v>
      </c>
      <c r="C225" s="1">
        <f t="shared" si="7"/>
        <v>-2432</v>
      </c>
      <c r="D225" s="2">
        <v>0</v>
      </c>
      <c r="E225" s="2">
        <v>0</v>
      </c>
      <c r="F225" s="2">
        <v>0</v>
      </c>
      <c r="G225" s="2">
        <v>0.3629</v>
      </c>
      <c r="H225" s="2">
        <v>262.09269999999998</v>
      </c>
      <c r="I225" s="2">
        <v>2.3559000000000001</v>
      </c>
      <c r="J225" s="2">
        <v>260.09969999999998</v>
      </c>
      <c r="K225" s="2">
        <v>0</v>
      </c>
      <c r="L225" s="2">
        <v>0</v>
      </c>
    </row>
    <row r="226" spans="1:12" x14ac:dyDescent="0.35">
      <c r="A226" s="4" t="s">
        <v>237</v>
      </c>
      <c r="B226" s="1" t="str">
        <f t="shared" si="6"/>
        <v>Lago Paranoa</v>
      </c>
      <c r="C226" s="1">
        <f t="shared" si="7"/>
        <v>-2432</v>
      </c>
      <c r="D226" s="2">
        <v>0</v>
      </c>
      <c r="E226" s="2">
        <v>2302.4499999999998</v>
      </c>
      <c r="F226" s="2">
        <v>0.13200000000000001</v>
      </c>
      <c r="G226" s="2">
        <v>8.1972000000000005</v>
      </c>
      <c r="H226" s="2">
        <v>23.909700000000001</v>
      </c>
      <c r="I226" s="2">
        <v>0.74329999999999996</v>
      </c>
      <c r="J226" s="2">
        <v>31.2316</v>
      </c>
      <c r="K226" s="2">
        <v>2302.4499999999998</v>
      </c>
      <c r="L226" s="2">
        <v>0</v>
      </c>
    </row>
    <row r="227" spans="1:12" hidden="1" x14ac:dyDescent="0.35">
      <c r="A227" s="4" t="s">
        <v>238</v>
      </c>
      <c r="B227" s="1" t="str">
        <f t="shared" si="6"/>
        <v>Corumba IV</v>
      </c>
      <c r="C227" s="1">
        <f t="shared" si="7"/>
        <v>-2431</v>
      </c>
      <c r="D227" s="2">
        <v>0</v>
      </c>
      <c r="E227" s="2">
        <v>0</v>
      </c>
      <c r="F227" s="2">
        <v>0</v>
      </c>
      <c r="G227" s="2">
        <v>0.3629</v>
      </c>
      <c r="H227" s="2">
        <v>183.3468</v>
      </c>
      <c r="I227" s="2">
        <v>2.5015999999999998</v>
      </c>
      <c r="J227" s="2">
        <v>181.2081</v>
      </c>
      <c r="K227" s="2">
        <v>0</v>
      </c>
      <c r="L227" s="2">
        <v>0</v>
      </c>
    </row>
    <row r="228" spans="1:12" x14ac:dyDescent="0.35">
      <c r="A228" s="4" t="s">
        <v>239</v>
      </c>
      <c r="B228" s="1" t="str">
        <f t="shared" si="6"/>
        <v>Lago Paranoa</v>
      </c>
      <c r="C228" s="1">
        <f t="shared" si="7"/>
        <v>-2431</v>
      </c>
      <c r="D228" s="2">
        <v>0</v>
      </c>
      <c r="E228" s="2">
        <v>2302.4499999999998</v>
      </c>
      <c r="F228" s="2">
        <v>0.153</v>
      </c>
      <c r="G228" s="2">
        <v>7.4288999999999996</v>
      </c>
      <c r="H228" s="2">
        <v>14.837</v>
      </c>
      <c r="I228" s="2">
        <v>0.67710000000000004</v>
      </c>
      <c r="J228" s="2">
        <v>21.435700000000001</v>
      </c>
      <c r="K228" s="2">
        <v>2302.4499999999998</v>
      </c>
      <c r="L228" s="2">
        <v>0</v>
      </c>
    </row>
    <row r="229" spans="1:12" hidden="1" x14ac:dyDescent="0.35">
      <c r="A229" s="4" t="s">
        <v>240</v>
      </c>
      <c r="B229" s="1" t="str">
        <f t="shared" si="6"/>
        <v>Corumba IV</v>
      </c>
      <c r="C229" s="1">
        <f t="shared" si="7"/>
        <v>-2430</v>
      </c>
      <c r="D229" s="2">
        <v>0</v>
      </c>
      <c r="E229" s="2">
        <v>0</v>
      </c>
      <c r="F229" s="2">
        <v>0</v>
      </c>
      <c r="G229" s="2">
        <v>0.3629</v>
      </c>
      <c r="H229" s="2">
        <v>188.5257</v>
      </c>
      <c r="I229" s="2">
        <v>2.5015999999999998</v>
      </c>
      <c r="J229" s="2">
        <v>186.3869</v>
      </c>
      <c r="K229" s="2">
        <v>0</v>
      </c>
      <c r="L229" s="2">
        <v>0</v>
      </c>
    </row>
    <row r="230" spans="1:12" x14ac:dyDescent="0.35">
      <c r="A230" s="4" t="s">
        <v>241</v>
      </c>
      <c r="B230" s="1" t="str">
        <f t="shared" si="6"/>
        <v>Lago Paranoa</v>
      </c>
      <c r="C230" s="1">
        <f t="shared" si="7"/>
        <v>-2430</v>
      </c>
      <c r="D230" s="2">
        <v>0</v>
      </c>
      <c r="E230" s="2">
        <v>2302.4499999999998</v>
      </c>
      <c r="F230" s="2">
        <v>0.1532</v>
      </c>
      <c r="G230" s="2">
        <v>7.5373000000000001</v>
      </c>
      <c r="H230" s="2">
        <v>15.989000000000001</v>
      </c>
      <c r="I230" s="2">
        <v>0.67710000000000004</v>
      </c>
      <c r="J230" s="2">
        <v>22.696000000000002</v>
      </c>
      <c r="K230" s="2">
        <v>2302.4499999999998</v>
      </c>
      <c r="L230" s="2">
        <v>0</v>
      </c>
    </row>
    <row r="231" spans="1:12" hidden="1" x14ac:dyDescent="0.35">
      <c r="A231" s="4" t="s">
        <v>242</v>
      </c>
      <c r="B231" s="1" t="str">
        <f t="shared" si="6"/>
        <v>Corumba IV</v>
      </c>
      <c r="C231" s="1">
        <f t="shared" si="7"/>
        <v>-2429</v>
      </c>
      <c r="D231" s="2">
        <v>0</v>
      </c>
      <c r="E231" s="2">
        <v>0</v>
      </c>
      <c r="F231" s="2">
        <v>0</v>
      </c>
      <c r="G231" s="2">
        <v>0.3629</v>
      </c>
      <c r="H231" s="2">
        <v>158.17850000000001</v>
      </c>
      <c r="I231" s="2">
        <v>2.5015999999999998</v>
      </c>
      <c r="J231" s="2">
        <v>156.03980000000001</v>
      </c>
      <c r="K231" s="2">
        <v>0</v>
      </c>
      <c r="L231" s="2">
        <v>0</v>
      </c>
    </row>
    <row r="232" spans="1:12" x14ac:dyDescent="0.35">
      <c r="A232" s="4" t="s">
        <v>243</v>
      </c>
      <c r="B232" s="1" t="str">
        <f t="shared" si="6"/>
        <v>Lago Paranoa</v>
      </c>
      <c r="C232" s="1">
        <f t="shared" si="7"/>
        <v>-2429</v>
      </c>
      <c r="D232" s="2">
        <v>0</v>
      </c>
      <c r="E232" s="2">
        <v>2302.4499999999998</v>
      </c>
      <c r="F232" s="2">
        <v>0.15329999999999999</v>
      </c>
      <c r="G232" s="2">
        <v>7.4302000000000001</v>
      </c>
      <c r="H232" s="2">
        <v>15.411</v>
      </c>
      <c r="I232" s="2">
        <v>0.67710000000000004</v>
      </c>
      <c r="J232" s="2">
        <v>22.0108</v>
      </c>
      <c r="K232" s="2">
        <v>2302.4499999999998</v>
      </c>
      <c r="L232" s="2">
        <v>0</v>
      </c>
    </row>
    <row r="233" spans="1:12" hidden="1" x14ac:dyDescent="0.35">
      <c r="A233" s="4" t="s">
        <v>244</v>
      </c>
      <c r="B233" s="1" t="str">
        <f t="shared" si="6"/>
        <v>Corumba IV</v>
      </c>
      <c r="C233" s="1">
        <f t="shared" si="7"/>
        <v>-2428</v>
      </c>
      <c r="D233" s="2">
        <v>0</v>
      </c>
      <c r="E233" s="2">
        <v>0</v>
      </c>
      <c r="F233" s="2">
        <v>0</v>
      </c>
      <c r="G233" s="2">
        <v>0.3629</v>
      </c>
      <c r="H233" s="2">
        <v>126.1544</v>
      </c>
      <c r="I233" s="2">
        <v>2.8506</v>
      </c>
      <c r="J233" s="2">
        <v>123.6666</v>
      </c>
      <c r="K233" s="2">
        <v>0</v>
      </c>
      <c r="L233" s="2">
        <v>0</v>
      </c>
    </row>
    <row r="234" spans="1:12" x14ac:dyDescent="0.35">
      <c r="A234" s="4" t="s">
        <v>245</v>
      </c>
      <c r="B234" s="1" t="str">
        <f t="shared" si="6"/>
        <v>Lago Paranoa</v>
      </c>
      <c r="C234" s="1">
        <f t="shared" si="7"/>
        <v>-2428</v>
      </c>
      <c r="D234" s="2">
        <v>0</v>
      </c>
      <c r="E234" s="2">
        <v>2302.4499999999998</v>
      </c>
      <c r="F234" s="2">
        <v>0.1535</v>
      </c>
      <c r="G234" s="2">
        <v>6.4672000000000001</v>
      </c>
      <c r="H234" s="2">
        <v>12.9253</v>
      </c>
      <c r="I234" s="2">
        <v>0.74580000000000002</v>
      </c>
      <c r="J234" s="2">
        <v>18.493200000000002</v>
      </c>
      <c r="K234" s="2">
        <v>2302.4499999999998</v>
      </c>
      <c r="L234" s="2">
        <v>0</v>
      </c>
    </row>
    <row r="235" spans="1:12" hidden="1" x14ac:dyDescent="0.35">
      <c r="A235" s="4" t="s">
        <v>246</v>
      </c>
      <c r="B235" s="1" t="str">
        <f t="shared" si="6"/>
        <v>Corumba IV</v>
      </c>
      <c r="C235" s="1">
        <f t="shared" si="7"/>
        <v>-2427</v>
      </c>
      <c r="D235" s="2">
        <v>0</v>
      </c>
      <c r="E235" s="2">
        <v>0</v>
      </c>
      <c r="F235" s="2">
        <v>0</v>
      </c>
      <c r="G235" s="2">
        <v>0.3629</v>
      </c>
      <c r="H235" s="2">
        <v>116.18380000000001</v>
      </c>
      <c r="I235" s="2">
        <v>4.0179999999999998</v>
      </c>
      <c r="J235" s="2">
        <v>112.5287</v>
      </c>
      <c r="K235" s="2">
        <v>0</v>
      </c>
      <c r="L235" s="2">
        <v>0</v>
      </c>
    </row>
    <row r="236" spans="1:12" x14ac:dyDescent="0.35">
      <c r="A236" s="4" t="s">
        <v>247</v>
      </c>
      <c r="B236" s="1" t="str">
        <f t="shared" si="6"/>
        <v>Lago Paranoa</v>
      </c>
      <c r="C236" s="1">
        <f t="shared" si="7"/>
        <v>-2427</v>
      </c>
      <c r="D236" s="2">
        <v>0</v>
      </c>
      <c r="E236" s="2">
        <v>2302.4499999999998</v>
      </c>
      <c r="F236" s="2">
        <v>0.14549999999999999</v>
      </c>
      <c r="G236" s="2">
        <v>5.9459</v>
      </c>
      <c r="H236" s="2">
        <v>11.977</v>
      </c>
      <c r="I236" s="2">
        <v>0.93179999999999996</v>
      </c>
      <c r="J236" s="2">
        <v>16.845600000000001</v>
      </c>
      <c r="K236" s="2">
        <v>2302.4499999999998</v>
      </c>
      <c r="L236" s="2">
        <v>0</v>
      </c>
    </row>
    <row r="237" spans="1:12" hidden="1" x14ac:dyDescent="0.35">
      <c r="A237" s="4" t="s">
        <v>248</v>
      </c>
      <c r="B237" s="1" t="str">
        <f t="shared" si="6"/>
        <v>Corumba IV</v>
      </c>
      <c r="C237" s="1">
        <f t="shared" si="7"/>
        <v>-2426</v>
      </c>
      <c r="D237" s="2">
        <v>0</v>
      </c>
      <c r="E237" s="2">
        <v>0</v>
      </c>
      <c r="F237" s="2">
        <v>0</v>
      </c>
      <c r="G237" s="2">
        <v>0.3629</v>
      </c>
      <c r="H237" s="2">
        <v>107.3866</v>
      </c>
      <c r="I237" s="2">
        <v>4.3639999999999999</v>
      </c>
      <c r="J237" s="2">
        <v>103.3854</v>
      </c>
      <c r="K237" s="2">
        <v>0</v>
      </c>
      <c r="L237" s="2">
        <v>0</v>
      </c>
    </row>
    <row r="238" spans="1:12" x14ac:dyDescent="0.35">
      <c r="A238" s="4" t="s">
        <v>249</v>
      </c>
      <c r="B238" s="1" t="str">
        <f t="shared" si="6"/>
        <v>Lago Paranoa</v>
      </c>
      <c r="C238" s="1">
        <f t="shared" si="7"/>
        <v>-2426</v>
      </c>
      <c r="D238" s="2">
        <v>0</v>
      </c>
      <c r="E238" s="2">
        <v>2302.4499999999998</v>
      </c>
      <c r="F238" s="2">
        <v>0.14560000000000001</v>
      </c>
      <c r="G238" s="2">
        <v>4.5434999999999999</v>
      </c>
      <c r="H238" s="2">
        <v>11.4276</v>
      </c>
      <c r="I238" s="2">
        <v>0.95240000000000002</v>
      </c>
      <c r="J238" s="2">
        <v>14.873100000000001</v>
      </c>
      <c r="K238" s="2">
        <v>2302.4499999999998</v>
      </c>
      <c r="L238" s="2">
        <v>0</v>
      </c>
    </row>
    <row r="239" spans="1:12" hidden="1" x14ac:dyDescent="0.35">
      <c r="A239" s="4" t="s">
        <v>250</v>
      </c>
      <c r="B239" s="1" t="str">
        <f t="shared" si="6"/>
        <v>Corumba IV</v>
      </c>
      <c r="C239" s="1">
        <f t="shared" si="7"/>
        <v>-2425</v>
      </c>
      <c r="D239" s="2">
        <v>0</v>
      </c>
      <c r="E239" s="2">
        <v>0</v>
      </c>
      <c r="F239" s="2">
        <v>0</v>
      </c>
      <c r="G239" s="2">
        <v>0.3629</v>
      </c>
      <c r="H239" s="2">
        <v>104.14400000000001</v>
      </c>
      <c r="I239" s="2">
        <v>4.4217000000000004</v>
      </c>
      <c r="J239" s="2">
        <v>100.0852</v>
      </c>
      <c r="K239" s="2">
        <v>0</v>
      </c>
      <c r="L239" s="2">
        <v>0</v>
      </c>
    </row>
    <row r="240" spans="1:12" x14ac:dyDescent="0.35">
      <c r="A240" s="4" t="s">
        <v>251</v>
      </c>
      <c r="B240" s="1" t="str">
        <f t="shared" si="6"/>
        <v>Lago Paranoa</v>
      </c>
      <c r="C240" s="1">
        <f t="shared" si="7"/>
        <v>-2425</v>
      </c>
      <c r="D240" s="2">
        <v>0</v>
      </c>
      <c r="E240" s="2">
        <v>2302.4499999999998</v>
      </c>
      <c r="F240" s="2">
        <v>0.14580000000000001</v>
      </c>
      <c r="G240" s="2">
        <v>4.194</v>
      </c>
      <c r="H240" s="2">
        <v>11.510199999999999</v>
      </c>
      <c r="I240" s="2">
        <v>0.95589999999999997</v>
      </c>
      <c r="J240" s="2">
        <v>14.602600000000001</v>
      </c>
      <c r="K240" s="2">
        <v>2302.4499999999998</v>
      </c>
      <c r="L240" s="2">
        <v>0</v>
      </c>
    </row>
    <row r="241" spans="1:12" hidden="1" x14ac:dyDescent="0.35">
      <c r="A241" s="4" t="s">
        <v>252</v>
      </c>
      <c r="B241" s="1" t="str">
        <f t="shared" si="6"/>
        <v>Corumba IV</v>
      </c>
      <c r="C241" s="1">
        <f t="shared" si="7"/>
        <v>-2424</v>
      </c>
      <c r="D241" s="2">
        <v>0</v>
      </c>
      <c r="E241" s="2">
        <v>0</v>
      </c>
      <c r="F241" s="2">
        <v>0</v>
      </c>
      <c r="G241" s="2">
        <v>0.3629</v>
      </c>
      <c r="H241" s="2">
        <v>89.803299999999993</v>
      </c>
      <c r="I241" s="2">
        <v>4.4217000000000004</v>
      </c>
      <c r="J241" s="2">
        <v>85.744500000000002</v>
      </c>
      <c r="K241" s="2">
        <v>0</v>
      </c>
      <c r="L241" s="2">
        <v>0</v>
      </c>
    </row>
    <row r="242" spans="1:12" x14ac:dyDescent="0.35">
      <c r="A242" s="4" t="s">
        <v>253</v>
      </c>
      <c r="B242" s="1" t="str">
        <f t="shared" si="6"/>
        <v>Lago Paranoa</v>
      </c>
      <c r="C242" s="1">
        <f t="shared" si="7"/>
        <v>-2424</v>
      </c>
      <c r="D242" s="2">
        <v>0</v>
      </c>
      <c r="E242" s="2">
        <v>2302.4499999999998</v>
      </c>
      <c r="F242" s="2">
        <v>0.1459</v>
      </c>
      <c r="G242" s="2">
        <v>3.9125999999999999</v>
      </c>
      <c r="H242" s="2">
        <v>9.8996999999999993</v>
      </c>
      <c r="I242" s="2">
        <v>0.95589999999999997</v>
      </c>
      <c r="J242" s="2">
        <v>12.710599999999999</v>
      </c>
      <c r="K242" s="2">
        <v>2302.4499999999998</v>
      </c>
      <c r="L242" s="2">
        <v>0</v>
      </c>
    </row>
    <row r="243" spans="1:12" hidden="1" x14ac:dyDescent="0.35">
      <c r="A243" s="4" t="s">
        <v>254</v>
      </c>
      <c r="B243" s="1" t="str">
        <f t="shared" si="6"/>
        <v>Corumba IV</v>
      </c>
      <c r="C243" s="1">
        <f t="shared" si="7"/>
        <v>-2423</v>
      </c>
      <c r="D243" s="2">
        <v>0</v>
      </c>
      <c r="E243" s="2">
        <v>0</v>
      </c>
      <c r="F243" s="2">
        <v>0</v>
      </c>
      <c r="G243" s="2">
        <v>0.3629</v>
      </c>
      <c r="H243" s="2">
        <v>78.701800000000006</v>
      </c>
      <c r="I243" s="2">
        <v>4.4249999999999998</v>
      </c>
      <c r="J243" s="2">
        <v>74.639700000000005</v>
      </c>
      <c r="K243" s="2">
        <v>0</v>
      </c>
      <c r="L243" s="2">
        <v>0</v>
      </c>
    </row>
    <row r="244" spans="1:12" x14ac:dyDescent="0.35">
      <c r="A244" s="4" t="s">
        <v>255</v>
      </c>
      <c r="B244" s="1" t="str">
        <f t="shared" si="6"/>
        <v>Lago Paranoa</v>
      </c>
      <c r="C244" s="1">
        <f t="shared" si="7"/>
        <v>-2423</v>
      </c>
      <c r="D244" s="2">
        <v>0</v>
      </c>
      <c r="E244" s="2">
        <v>2302.4499999999998</v>
      </c>
      <c r="F244" s="2">
        <v>0.17480000000000001</v>
      </c>
      <c r="G244" s="2">
        <v>3.8424999999999998</v>
      </c>
      <c r="H244" s="2">
        <v>8.8605</v>
      </c>
      <c r="I244" s="2">
        <v>1.0043</v>
      </c>
      <c r="J244" s="2">
        <v>11.523899999999999</v>
      </c>
      <c r="K244" s="2">
        <v>2302.4499999999998</v>
      </c>
      <c r="L244" s="2">
        <v>0</v>
      </c>
    </row>
    <row r="245" spans="1:12" hidden="1" x14ac:dyDescent="0.35">
      <c r="A245" s="4" t="s">
        <v>256</v>
      </c>
      <c r="B245" s="1" t="str">
        <f t="shared" si="6"/>
        <v>Corumba IV</v>
      </c>
      <c r="C245" s="1">
        <f t="shared" si="7"/>
        <v>-2422</v>
      </c>
      <c r="D245" s="2">
        <v>0</v>
      </c>
      <c r="E245" s="2">
        <v>0</v>
      </c>
      <c r="F245" s="2">
        <v>0</v>
      </c>
      <c r="G245" s="2">
        <v>0.3629</v>
      </c>
      <c r="H245" s="2">
        <v>75.911900000000003</v>
      </c>
      <c r="I245" s="2">
        <v>4.5488</v>
      </c>
      <c r="J245" s="2">
        <v>71.725899999999996</v>
      </c>
      <c r="K245" s="2">
        <v>0</v>
      </c>
      <c r="L245" s="2">
        <v>0</v>
      </c>
    </row>
    <row r="246" spans="1:12" x14ac:dyDescent="0.35">
      <c r="A246" s="4" t="s">
        <v>257</v>
      </c>
      <c r="B246" s="1" t="str">
        <f t="shared" si="6"/>
        <v>Lago Paranoa</v>
      </c>
      <c r="C246" s="1">
        <f t="shared" si="7"/>
        <v>-2422</v>
      </c>
      <c r="D246" s="2">
        <v>0</v>
      </c>
      <c r="E246" s="2">
        <v>2302.4499999999998</v>
      </c>
      <c r="F246" s="2">
        <v>0.17499999999999999</v>
      </c>
      <c r="G246" s="2">
        <v>3.5764999999999998</v>
      </c>
      <c r="H246" s="2">
        <v>8.5274000000000001</v>
      </c>
      <c r="I246" s="2">
        <v>0.99729999999999996</v>
      </c>
      <c r="J246" s="2">
        <v>10.9316</v>
      </c>
      <c r="K246" s="2">
        <v>2302.4499999999998</v>
      </c>
      <c r="L246" s="2">
        <v>0</v>
      </c>
    </row>
    <row r="247" spans="1:12" hidden="1" x14ac:dyDescent="0.35">
      <c r="A247" s="4" t="s">
        <v>258</v>
      </c>
      <c r="B247" s="1" t="str">
        <f t="shared" si="6"/>
        <v>Corumba IV</v>
      </c>
      <c r="C247" s="1">
        <f t="shared" si="7"/>
        <v>-2421</v>
      </c>
      <c r="D247" s="2">
        <v>0</v>
      </c>
      <c r="E247" s="2">
        <v>0</v>
      </c>
      <c r="F247" s="2">
        <v>0</v>
      </c>
      <c r="G247" s="2">
        <v>0.3629</v>
      </c>
      <c r="H247" s="2">
        <v>71.130499999999998</v>
      </c>
      <c r="I247" s="2">
        <v>4.5690999999999997</v>
      </c>
      <c r="J247" s="2">
        <v>66.924300000000002</v>
      </c>
      <c r="K247" s="2">
        <v>0</v>
      </c>
      <c r="L247" s="2">
        <v>0</v>
      </c>
    </row>
    <row r="248" spans="1:12" x14ac:dyDescent="0.35">
      <c r="A248" s="4" t="s">
        <v>259</v>
      </c>
      <c r="B248" s="1" t="str">
        <f t="shared" si="6"/>
        <v>Lago Paranoa</v>
      </c>
      <c r="C248" s="1">
        <f t="shared" si="7"/>
        <v>-2421</v>
      </c>
      <c r="D248" s="2">
        <v>0</v>
      </c>
      <c r="E248" s="2">
        <v>2302.4499999999998</v>
      </c>
      <c r="F248" s="2">
        <v>0.17510000000000001</v>
      </c>
      <c r="G248" s="2">
        <v>3.4110999999999998</v>
      </c>
      <c r="H248" s="2">
        <v>7.8371000000000004</v>
      </c>
      <c r="I248" s="2">
        <v>0.99009999999999998</v>
      </c>
      <c r="J248" s="2">
        <v>10.083</v>
      </c>
      <c r="K248" s="2">
        <v>2302.4499999999998</v>
      </c>
      <c r="L248" s="2">
        <v>0</v>
      </c>
    </row>
    <row r="249" spans="1:12" hidden="1" x14ac:dyDescent="0.35">
      <c r="A249" s="4" t="s">
        <v>260</v>
      </c>
      <c r="B249" s="1" t="str">
        <f t="shared" si="6"/>
        <v>Corumba IV</v>
      </c>
      <c r="C249" s="1">
        <f t="shared" si="7"/>
        <v>-2420</v>
      </c>
      <c r="D249" s="2">
        <v>0</v>
      </c>
      <c r="E249" s="2">
        <v>0</v>
      </c>
      <c r="F249" s="2">
        <v>0</v>
      </c>
      <c r="G249" s="2">
        <v>0.3629</v>
      </c>
      <c r="H249" s="2">
        <v>60.2087</v>
      </c>
      <c r="I249" s="2">
        <v>4.5690999999999997</v>
      </c>
      <c r="J249" s="2">
        <v>56.002499999999998</v>
      </c>
      <c r="K249" s="2">
        <v>0</v>
      </c>
      <c r="L249" s="2">
        <v>0</v>
      </c>
    </row>
    <row r="250" spans="1:12" x14ac:dyDescent="0.35">
      <c r="A250" s="4" t="s">
        <v>261</v>
      </c>
      <c r="B250" s="1" t="str">
        <f t="shared" si="6"/>
        <v>Lago Paranoa</v>
      </c>
      <c r="C250" s="1">
        <f t="shared" si="7"/>
        <v>-2420</v>
      </c>
      <c r="D250" s="2">
        <v>0</v>
      </c>
      <c r="E250" s="2">
        <v>2302.4499999999998</v>
      </c>
      <c r="F250" s="2">
        <v>0.17530000000000001</v>
      </c>
      <c r="G250" s="2">
        <v>3.7002999999999999</v>
      </c>
      <c r="H250" s="2">
        <v>7.2465000000000002</v>
      </c>
      <c r="I250" s="2">
        <v>0.99009999999999998</v>
      </c>
      <c r="J250" s="2">
        <v>9.7813999999999997</v>
      </c>
      <c r="K250" s="2">
        <v>2302.4499999999998</v>
      </c>
      <c r="L250" s="2">
        <v>0</v>
      </c>
    </row>
    <row r="251" spans="1:12" hidden="1" x14ac:dyDescent="0.35">
      <c r="A251" s="4" t="s">
        <v>262</v>
      </c>
      <c r="B251" s="1" t="str">
        <f t="shared" si="6"/>
        <v>Corumba IV</v>
      </c>
      <c r="C251" s="1">
        <f t="shared" si="7"/>
        <v>-2419</v>
      </c>
      <c r="D251" s="2">
        <v>0</v>
      </c>
      <c r="E251" s="2">
        <v>0</v>
      </c>
      <c r="F251" s="2">
        <v>0</v>
      </c>
      <c r="G251" s="2">
        <v>0.3629</v>
      </c>
      <c r="H251" s="2">
        <v>57.478499999999997</v>
      </c>
      <c r="I251" s="2">
        <v>4.5816999999999997</v>
      </c>
      <c r="J251" s="2">
        <v>53.259599999999999</v>
      </c>
      <c r="K251" s="2">
        <v>0</v>
      </c>
      <c r="L251" s="2">
        <v>0</v>
      </c>
    </row>
    <row r="252" spans="1:12" x14ac:dyDescent="0.35">
      <c r="A252" s="4" t="s">
        <v>263</v>
      </c>
      <c r="B252" s="1" t="str">
        <f t="shared" si="6"/>
        <v>Lago Paranoa</v>
      </c>
      <c r="C252" s="1">
        <f t="shared" si="7"/>
        <v>-2419</v>
      </c>
      <c r="D252" s="2">
        <v>0</v>
      </c>
      <c r="E252" s="2">
        <v>2302.4499999999998</v>
      </c>
      <c r="F252" s="2">
        <v>0.1754</v>
      </c>
      <c r="G252" s="2">
        <v>3.5347</v>
      </c>
      <c r="H252" s="2">
        <v>6.7689000000000004</v>
      </c>
      <c r="I252" s="2">
        <v>1.0291999999999999</v>
      </c>
      <c r="J252" s="2">
        <v>9.0990000000000002</v>
      </c>
      <c r="K252" s="2">
        <v>2302.4499999999998</v>
      </c>
      <c r="L252" s="2">
        <v>0</v>
      </c>
    </row>
    <row r="253" spans="1:12" hidden="1" x14ac:dyDescent="0.35">
      <c r="A253" s="4" t="s">
        <v>264</v>
      </c>
      <c r="B253" s="1" t="str">
        <f t="shared" si="6"/>
        <v>Corumba IV</v>
      </c>
      <c r="C253" s="1">
        <f t="shared" si="7"/>
        <v>-2418</v>
      </c>
      <c r="D253" s="2">
        <v>0</v>
      </c>
      <c r="E253" s="2">
        <v>0</v>
      </c>
      <c r="F253" s="2">
        <v>0</v>
      </c>
      <c r="G253" s="2">
        <v>0.3629</v>
      </c>
      <c r="H253" s="2">
        <v>54.480400000000003</v>
      </c>
      <c r="I253" s="2">
        <v>4.6134000000000004</v>
      </c>
      <c r="J253" s="2">
        <v>50.229900000000001</v>
      </c>
      <c r="K253" s="2">
        <v>0</v>
      </c>
      <c r="L253" s="2">
        <v>0</v>
      </c>
    </row>
    <row r="254" spans="1:12" x14ac:dyDescent="0.35">
      <c r="A254" s="4" t="s">
        <v>265</v>
      </c>
      <c r="B254" s="1" t="str">
        <f t="shared" si="6"/>
        <v>Lago Paranoa</v>
      </c>
      <c r="C254" s="1">
        <f t="shared" si="7"/>
        <v>-2418</v>
      </c>
      <c r="D254" s="2">
        <v>0</v>
      </c>
      <c r="E254" s="2">
        <v>2302.4499999999998</v>
      </c>
      <c r="F254" s="2">
        <v>0.19139999999999999</v>
      </c>
      <c r="G254" s="2">
        <v>3.4407000000000001</v>
      </c>
      <c r="H254" s="2">
        <v>6.7710999999999997</v>
      </c>
      <c r="I254" s="2">
        <v>1.1268</v>
      </c>
      <c r="J254" s="2">
        <v>8.8935999999999993</v>
      </c>
      <c r="K254" s="2">
        <v>2302.4499999999998</v>
      </c>
      <c r="L254" s="2">
        <v>0</v>
      </c>
    </row>
    <row r="255" spans="1:12" hidden="1" x14ac:dyDescent="0.35">
      <c r="A255" s="4" t="s">
        <v>266</v>
      </c>
      <c r="B255" s="1" t="str">
        <f t="shared" si="6"/>
        <v>Corumba IV</v>
      </c>
      <c r="C255" s="1">
        <f t="shared" si="7"/>
        <v>-2417</v>
      </c>
      <c r="D255" s="2">
        <v>0</v>
      </c>
      <c r="E255" s="2">
        <v>0</v>
      </c>
      <c r="F255" s="2">
        <v>0</v>
      </c>
      <c r="G255" s="2">
        <v>0.3629</v>
      </c>
      <c r="H255" s="2">
        <v>49.305</v>
      </c>
      <c r="I255" s="2">
        <v>4.6134000000000004</v>
      </c>
      <c r="J255" s="2">
        <v>45.054499999999997</v>
      </c>
      <c r="K255" s="2">
        <v>0</v>
      </c>
      <c r="L255" s="2">
        <v>0</v>
      </c>
    </row>
    <row r="256" spans="1:12" x14ac:dyDescent="0.35">
      <c r="A256" s="4" t="s">
        <v>267</v>
      </c>
      <c r="B256" s="1" t="str">
        <f t="shared" si="6"/>
        <v>Lago Paranoa</v>
      </c>
      <c r="C256" s="1">
        <f t="shared" si="7"/>
        <v>-2417</v>
      </c>
      <c r="D256" s="2">
        <v>0</v>
      </c>
      <c r="E256" s="2">
        <v>2302.4499999999998</v>
      </c>
      <c r="F256" s="2">
        <v>0.1915</v>
      </c>
      <c r="G256" s="2">
        <v>3.3664999999999998</v>
      </c>
      <c r="H256" s="2">
        <v>6.6264000000000003</v>
      </c>
      <c r="I256" s="2">
        <v>1.1268</v>
      </c>
      <c r="J256" s="2">
        <v>8.6745000000000001</v>
      </c>
      <c r="K256" s="2">
        <v>2302.4499999999998</v>
      </c>
      <c r="L256" s="2">
        <v>0</v>
      </c>
    </row>
    <row r="257" spans="1:12" hidden="1" x14ac:dyDescent="0.35">
      <c r="A257" s="4" t="s">
        <v>268</v>
      </c>
      <c r="B257" s="1" t="str">
        <f t="shared" si="6"/>
        <v>Corumba IV</v>
      </c>
      <c r="C257" s="1">
        <f t="shared" si="7"/>
        <v>-2416</v>
      </c>
      <c r="D257" s="2">
        <v>0</v>
      </c>
      <c r="E257" s="2">
        <v>0</v>
      </c>
      <c r="F257" s="2">
        <v>0</v>
      </c>
      <c r="G257" s="2">
        <v>0.3629</v>
      </c>
      <c r="H257" s="2">
        <v>46.934199999999997</v>
      </c>
      <c r="I257" s="2">
        <v>4.6134000000000004</v>
      </c>
      <c r="J257" s="2">
        <v>42.683700000000002</v>
      </c>
      <c r="K257" s="2">
        <v>0</v>
      </c>
      <c r="L257" s="2">
        <v>0</v>
      </c>
    </row>
    <row r="258" spans="1:12" x14ac:dyDescent="0.35">
      <c r="A258" s="4" t="s">
        <v>269</v>
      </c>
      <c r="B258" s="1" t="str">
        <f t="shared" si="6"/>
        <v>Lago Paranoa</v>
      </c>
      <c r="C258" s="1">
        <f t="shared" si="7"/>
        <v>-2416</v>
      </c>
      <c r="D258" s="2">
        <v>0</v>
      </c>
      <c r="E258" s="2">
        <v>2302.4499999999998</v>
      </c>
      <c r="F258" s="2">
        <v>0.19170000000000001</v>
      </c>
      <c r="G258" s="2">
        <v>3.2254</v>
      </c>
      <c r="H258" s="2">
        <v>6.1132</v>
      </c>
      <c r="I258" s="2">
        <v>1.1268</v>
      </c>
      <c r="J258" s="2">
        <v>8.02</v>
      </c>
      <c r="K258" s="2">
        <v>2302.4499999999998</v>
      </c>
      <c r="L258" s="2">
        <v>0</v>
      </c>
    </row>
    <row r="259" spans="1:12" hidden="1" x14ac:dyDescent="0.35">
      <c r="A259" s="4" t="s">
        <v>270</v>
      </c>
      <c r="B259" s="1" t="str">
        <f t="shared" ref="B259:B322" si="8">_xlfn.TEXTBEFORE(_xlfn.TEXTAFTER(A259,"["),"]")</f>
        <v>Corumba IV</v>
      </c>
      <c r="C259" s="1">
        <f t="shared" ref="C259:C322" si="9">--_xlfn.TEXTBEFORE(_xlfn.TEXTAFTER(A259,"Week "),":")</f>
        <v>-2415</v>
      </c>
      <c r="D259" s="2">
        <v>0</v>
      </c>
      <c r="E259" s="2">
        <v>0</v>
      </c>
      <c r="F259" s="2">
        <v>0</v>
      </c>
      <c r="G259" s="2">
        <v>0.3629</v>
      </c>
      <c r="H259" s="2">
        <v>43.555100000000003</v>
      </c>
      <c r="I259" s="2">
        <v>4.6134000000000004</v>
      </c>
      <c r="J259" s="2">
        <v>39.304600000000001</v>
      </c>
      <c r="K259" s="2">
        <v>0</v>
      </c>
      <c r="L259" s="2">
        <v>0</v>
      </c>
    </row>
    <row r="260" spans="1:12" x14ac:dyDescent="0.35">
      <c r="A260" s="4" t="s">
        <v>271</v>
      </c>
      <c r="B260" s="1" t="str">
        <f t="shared" si="8"/>
        <v>Lago Paranoa</v>
      </c>
      <c r="C260" s="1">
        <f t="shared" si="9"/>
        <v>-2415</v>
      </c>
      <c r="D260" s="2">
        <v>0</v>
      </c>
      <c r="E260" s="2">
        <v>2302.4499999999998</v>
      </c>
      <c r="F260" s="2">
        <v>0.1918</v>
      </c>
      <c r="G260" s="2">
        <v>2.9624999999999999</v>
      </c>
      <c r="H260" s="2">
        <v>5.8239999999999998</v>
      </c>
      <c r="I260" s="2">
        <v>1.1268</v>
      </c>
      <c r="J260" s="2">
        <v>7.4678000000000004</v>
      </c>
      <c r="K260" s="2">
        <v>2302.4499999999998</v>
      </c>
      <c r="L260" s="2">
        <v>0</v>
      </c>
    </row>
    <row r="261" spans="1:12" hidden="1" x14ac:dyDescent="0.35">
      <c r="A261" s="4" t="s">
        <v>272</v>
      </c>
      <c r="B261" s="1" t="str">
        <f t="shared" si="8"/>
        <v>Corumba IV</v>
      </c>
      <c r="C261" s="1">
        <f t="shared" si="9"/>
        <v>-2414</v>
      </c>
      <c r="D261" s="2">
        <v>0</v>
      </c>
      <c r="E261" s="2">
        <v>0</v>
      </c>
      <c r="F261" s="2">
        <v>0</v>
      </c>
      <c r="G261" s="2">
        <v>0.3629</v>
      </c>
      <c r="H261" s="2">
        <v>39.962600000000002</v>
      </c>
      <c r="I261" s="2">
        <v>5.8429000000000002</v>
      </c>
      <c r="J261" s="2">
        <v>34.482500000000002</v>
      </c>
      <c r="K261" s="2">
        <v>0</v>
      </c>
      <c r="L261" s="2">
        <v>0</v>
      </c>
    </row>
    <row r="262" spans="1:12" x14ac:dyDescent="0.35">
      <c r="A262" s="4" t="s">
        <v>273</v>
      </c>
      <c r="B262" s="1" t="str">
        <f t="shared" si="8"/>
        <v>Lago Paranoa</v>
      </c>
      <c r="C262" s="1">
        <f t="shared" si="9"/>
        <v>-2414</v>
      </c>
      <c r="D262" s="2">
        <v>0</v>
      </c>
      <c r="E262" s="2">
        <v>2302.4499999999998</v>
      </c>
      <c r="F262" s="2">
        <v>0.20610000000000001</v>
      </c>
      <c r="G262" s="2">
        <v>2.5255000000000001</v>
      </c>
      <c r="H262" s="2">
        <v>5.1116999999999999</v>
      </c>
      <c r="I262" s="2">
        <v>1.4825999999999999</v>
      </c>
      <c r="J262" s="2">
        <v>5.9485000000000001</v>
      </c>
      <c r="K262" s="2">
        <v>2302.4499999999998</v>
      </c>
      <c r="L262" s="2">
        <v>0</v>
      </c>
    </row>
    <row r="263" spans="1:12" hidden="1" x14ac:dyDescent="0.35">
      <c r="A263" s="4" t="s">
        <v>274</v>
      </c>
      <c r="B263" s="1" t="str">
        <f t="shared" si="8"/>
        <v>Corumba IV</v>
      </c>
      <c r="C263" s="1">
        <f t="shared" si="9"/>
        <v>-2413</v>
      </c>
      <c r="D263" s="2">
        <v>0</v>
      </c>
      <c r="E263" s="2">
        <v>0</v>
      </c>
      <c r="F263" s="2">
        <v>0</v>
      </c>
      <c r="G263" s="2">
        <v>0.3629</v>
      </c>
      <c r="H263" s="2">
        <v>38.133499999999998</v>
      </c>
      <c r="I263" s="2">
        <v>6.0064000000000002</v>
      </c>
      <c r="J263" s="2">
        <v>32.49</v>
      </c>
      <c r="K263" s="2">
        <v>0</v>
      </c>
      <c r="L263" s="2">
        <v>0</v>
      </c>
    </row>
    <row r="264" spans="1:12" x14ac:dyDescent="0.35">
      <c r="A264" s="4" t="s">
        <v>275</v>
      </c>
      <c r="B264" s="1" t="str">
        <f t="shared" si="8"/>
        <v>Lago Paranoa</v>
      </c>
      <c r="C264" s="1">
        <f t="shared" si="9"/>
        <v>-2413</v>
      </c>
      <c r="D264" s="2">
        <v>0</v>
      </c>
      <c r="E264" s="2">
        <v>2302.4499999999998</v>
      </c>
      <c r="F264" s="2">
        <v>0.20630000000000001</v>
      </c>
      <c r="G264" s="2">
        <v>2.9538000000000002</v>
      </c>
      <c r="H264" s="2">
        <v>4.4320000000000004</v>
      </c>
      <c r="I264" s="2">
        <v>1.5348999999999999</v>
      </c>
      <c r="J264" s="2">
        <v>5.6447000000000003</v>
      </c>
      <c r="K264" s="2">
        <v>2302.4499999999998</v>
      </c>
      <c r="L264" s="2">
        <v>0</v>
      </c>
    </row>
    <row r="265" spans="1:12" hidden="1" x14ac:dyDescent="0.35">
      <c r="A265" s="4" t="s">
        <v>276</v>
      </c>
      <c r="B265" s="1" t="str">
        <f t="shared" si="8"/>
        <v>Corumba IV</v>
      </c>
      <c r="C265" s="1">
        <f t="shared" si="9"/>
        <v>-2412</v>
      </c>
      <c r="D265" s="2">
        <v>0</v>
      </c>
      <c r="E265" s="2">
        <v>0</v>
      </c>
      <c r="F265" s="2">
        <v>0</v>
      </c>
      <c r="G265" s="2">
        <v>0.3629</v>
      </c>
      <c r="H265" s="2">
        <v>45.843800000000002</v>
      </c>
      <c r="I265" s="2">
        <v>6.0064000000000002</v>
      </c>
      <c r="J265" s="2">
        <v>40.200299999999999</v>
      </c>
      <c r="K265" s="2">
        <v>0</v>
      </c>
      <c r="L265" s="2">
        <v>0</v>
      </c>
    </row>
    <row r="266" spans="1:12" x14ac:dyDescent="0.35">
      <c r="A266" s="4" t="s">
        <v>277</v>
      </c>
      <c r="B266" s="1" t="str">
        <f t="shared" si="8"/>
        <v>Lago Paranoa</v>
      </c>
      <c r="C266" s="1">
        <f t="shared" si="9"/>
        <v>-2412</v>
      </c>
      <c r="D266" s="2">
        <v>0</v>
      </c>
      <c r="E266" s="2">
        <v>2302.4499999999998</v>
      </c>
      <c r="F266" s="2">
        <v>0.2064</v>
      </c>
      <c r="G266" s="2">
        <v>2.7589999999999999</v>
      </c>
      <c r="H266" s="2">
        <v>5.4295999999999998</v>
      </c>
      <c r="I266" s="2">
        <v>1.5348999999999999</v>
      </c>
      <c r="J266" s="2">
        <v>6.4473000000000003</v>
      </c>
      <c r="K266" s="2">
        <v>2302.4499999999998</v>
      </c>
      <c r="L266" s="2">
        <v>0</v>
      </c>
    </row>
    <row r="267" spans="1:12" hidden="1" x14ac:dyDescent="0.35">
      <c r="A267" s="4" t="s">
        <v>278</v>
      </c>
      <c r="B267" s="1" t="str">
        <f t="shared" si="8"/>
        <v>Corumba IV</v>
      </c>
      <c r="C267" s="1">
        <f t="shared" si="9"/>
        <v>-2411</v>
      </c>
      <c r="D267" s="2">
        <v>0</v>
      </c>
      <c r="E267" s="2">
        <v>0</v>
      </c>
      <c r="F267" s="2">
        <v>0</v>
      </c>
      <c r="G267" s="2">
        <v>0.3629</v>
      </c>
      <c r="H267" s="2">
        <v>40.909500000000001</v>
      </c>
      <c r="I267" s="2">
        <v>6.0064000000000002</v>
      </c>
      <c r="J267" s="2">
        <v>35.265999999999998</v>
      </c>
      <c r="K267" s="2">
        <v>0</v>
      </c>
      <c r="L267" s="2">
        <v>0</v>
      </c>
    </row>
    <row r="268" spans="1:12" x14ac:dyDescent="0.35">
      <c r="A268" s="4" t="s">
        <v>279</v>
      </c>
      <c r="B268" s="1" t="str">
        <f t="shared" si="8"/>
        <v>Lago Paranoa</v>
      </c>
      <c r="C268" s="1">
        <f t="shared" si="9"/>
        <v>-2411</v>
      </c>
      <c r="D268" s="2">
        <v>0</v>
      </c>
      <c r="E268" s="2">
        <v>2302.4499999999998</v>
      </c>
      <c r="F268" s="2">
        <v>0.20660000000000001</v>
      </c>
      <c r="G268" s="2">
        <v>2.6747999999999998</v>
      </c>
      <c r="H268" s="2">
        <v>4.7121000000000004</v>
      </c>
      <c r="I268" s="2">
        <v>1.5348999999999999</v>
      </c>
      <c r="J268" s="2">
        <v>5.6454000000000004</v>
      </c>
      <c r="K268" s="2">
        <v>2302.4499999999998</v>
      </c>
      <c r="L268" s="2">
        <v>0</v>
      </c>
    </row>
    <row r="269" spans="1:12" hidden="1" x14ac:dyDescent="0.35">
      <c r="A269" s="4" t="s">
        <v>280</v>
      </c>
      <c r="B269" s="1" t="str">
        <f t="shared" si="8"/>
        <v>Corumba IV</v>
      </c>
      <c r="C269" s="1">
        <f t="shared" si="9"/>
        <v>-2410</v>
      </c>
      <c r="D269" s="2">
        <v>0</v>
      </c>
      <c r="E269" s="2">
        <v>0</v>
      </c>
      <c r="F269" s="2">
        <v>0</v>
      </c>
      <c r="G269" s="2">
        <v>0.3629</v>
      </c>
      <c r="H269" s="2">
        <v>34.660200000000003</v>
      </c>
      <c r="I269" s="2">
        <v>5.9611999999999998</v>
      </c>
      <c r="J269" s="2">
        <v>29.061900000000001</v>
      </c>
      <c r="K269" s="2">
        <v>0</v>
      </c>
      <c r="L269" s="2">
        <v>0</v>
      </c>
    </row>
    <row r="270" spans="1:12" x14ac:dyDescent="0.35">
      <c r="A270" s="4" t="s">
        <v>281</v>
      </c>
      <c r="B270" s="1" t="str">
        <f t="shared" si="8"/>
        <v>Lago Paranoa</v>
      </c>
      <c r="C270" s="1">
        <f t="shared" si="9"/>
        <v>-2410</v>
      </c>
      <c r="D270" s="2">
        <v>0</v>
      </c>
      <c r="E270" s="2">
        <v>2302.4499999999998</v>
      </c>
      <c r="F270" s="2">
        <v>0.25779999999999997</v>
      </c>
      <c r="G270" s="2">
        <v>2.6741000000000001</v>
      </c>
      <c r="H270" s="2">
        <v>4.7477</v>
      </c>
      <c r="I270" s="2">
        <v>1.5398000000000001</v>
      </c>
      <c r="J270" s="2">
        <v>5.6242000000000001</v>
      </c>
      <c r="K270" s="2">
        <v>2302.4499999999998</v>
      </c>
      <c r="L270" s="2">
        <v>0</v>
      </c>
    </row>
    <row r="271" spans="1:12" hidden="1" x14ac:dyDescent="0.35">
      <c r="A271" s="4" t="s">
        <v>282</v>
      </c>
      <c r="B271" s="1" t="str">
        <f t="shared" si="8"/>
        <v>Corumba IV</v>
      </c>
      <c r="C271" s="1">
        <f t="shared" si="9"/>
        <v>-2409</v>
      </c>
      <c r="D271" s="2">
        <v>0</v>
      </c>
      <c r="E271" s="2">
        <v>0</v>
      </c>
      <c r="F271" s="2">
        <v>0</v>
      </c>
      <c r="G271" s="2">
        <v>0.3629</v>
      </c>
      <c r="H271" s="2">
        <v>32.676499999999997</v>
      </c>
      <c r="I271" s="2">
        <v>6.0753000000000004</v>
      </c>
      <c r="J271" s="2">
        <v>26.964099999999998</v>
      </c>
      <c r="K271" s="2">
        <v>0</v>
      </c>
      <c r="L271" s="2">
        <v>0</v>
      </c>
    </row>
    <row r="272" spans="1:12" x14ac:dyDescent="0.35">
      <c r="A272" s="4" t="s">
        <v>283</v>
      </c>
      <c r="B272" s="1" t="str">
        <f t="shared" si="8"/>
        <v>Lago Paranoa</v>
      </c>
      <c r="C272" s="1">
        <f t="shared" si="9"/>
        <v>-2409</v>
      </c>
      <c r="D272" s="2">
        <v>0</v>
      </c>
      <c r="E272" s="2">
        <v>2302.4499999999998</v>
      </c>
      <c r="F272" s="2">
        <v>0.25800000000000001</v>
      </c>
      <c r="G272" s="2">
        <v>3.8363</v>
      </c>
      <c r="H272" s="2">
        <v>5.1909000000000001</v>
      </c>
      <c r="I272" s="2">
        <v>1.5811999999999999</v>
      </c>
      <c r="J272" s="2">
        <v>7.1879999999999997</v>
      </c>
      <c r="K272" s="2">
        <v>2302.4499999999998</v>
      </c>
      <c r="L272" s="2">
        <v>0</v>
      </c>
    </row>
    <row r="273" spans="1:12" hidden="1" x14ac:dyDescent="0.35">
      <c r="A273" s="4" t="s">
        <v>284</v>
      </c>
      <c r="B273" s="1" t="str">
        <f t="shared" si="8"/>
        <v>Corumba IV</v>
      </c>
      <c r="C273" s="1">
        <f t="shared" si="9"/>
        <v>-2408</v>
      </c>
      <c r="D273" s="2">
        <v>0</v>
      </c>
      <c r="E273" s="2">
        <v>0</v>
      </c>
      <c r="F273" s="2">
        <v>0</v>
      </c>
      <c r="G273" s="2">
        <v>0.3629</v>
      </c>
      <c r="H273" s="2">
        <v>33.144799999999996</v>
      </c>
      <c r="I273" s="2">
        <v>6.0753000000000004</v>
      </c>
      <c r="J273" s="2">
        <v>27.432300000000001</v>
      </c>
      <c r="K273" s="2">
        <v>0</v>
      </c>
      <c r="L273" s="2">
        <v>0</v>
      </c>
    </row>
    <row r="274" spans="1:12" x14ac:dyDescent="0.35">
      <c r="A274" s="4" t="s">
        <v>285</v>
      </c>
      <c r="B274" s="1" t="str">
        <f t="shared" si="8"/>
        <v>Lago Paranoa</v>
      </c>
      <c r="C274" s="1">
        <f t="shared" si="9"/>
        <v>-2408</v>
      </c>
      <c r="D274" s="2">
        <v>0</v>
      </c>
      <c r="E274" s="2">
        <v>2302.4499999999998</v>
      </c>
      <c r="F274" s="2">
        <v>0.2581</v>
      </c>
      <c r="G274" s="2">
        <v>4.0152000000000001</v>
      </c>
      <c r="H274" s="2">
        <v>4.8475999999999999</v>
      </c>
      <c r="I274" s="2">
        <v>1.5811999999999999</v>
      </c>
      <c r="J274" s="2">
        <v>7.0233999999999996</v>
      </c>
      <c r="K274" s="2">
        <v>2302.4499999999998</v>
      </c>
      <c r="L274" s="2">
        <v>0</v>
      </c>
    </row>
    <row r="275" spans="1:12" hidden="1" x14ac:dyDescent="0.35">
      <c r="A275" s="4" t="s">
        <v>286</v>
      </c>
      <c r="B275" s="1" t="str">
        <f t="shared" si="8"/>
        <v>Corumba IV</v>
      </c>
      <c r="C275" s="1">
        <f t="shared" si="9"/>
        <v>-2407</v>
      </c>
      <c r="D275" s="2">
        <v>0</v>
      </c>
      <c r="E275" s="2">
        <v>0</v>
      </c>
      <c r="F275" s="2">
        <v>0</v>
      </c>
      <c r="G275" s="2">
        <v>0.3629</v>
      </c>
      <c r="H275" s="2">
        <v>31.4297</v>
      </c>
      <c r="I275" s="2">
        <v>6.0753000000000004</v>
      </c>
      <c r="J275" s="2">
        <v>25.717300000000002</v>
      </c>
      <c r="K275" s="2">
        <v>0</v>
      </c>
      <c r="L275" s="2">
        <v>0</v>
      </c>
    </row>
    <row r="276" spans="1:12" x14ac:dyDescent="0.35">
      <c r="A276" s="4" t="s">
        <v>287</v>
      </c>
      <c r="B276" s="1" t="str">
        <f t="shared" si="8"/>
        <v>Lago Paranoa</v>
      </c>
      <c r="C276" s="1">
        <f t="shared" si="9"/>
        <v>-2407</v>
      </c>
      <c r="D276" s="2">
        <v>0</v>
      </c>
      <c r="E276" s="2">
        <v>2302.4499999999998</v>
      </c>
      <c r="F276" s="2">
        <v>0.25829999999999997</v>
      </c>
      <c r="G276" s="2">
        <v>3.9870999999999999</v>
      </c>
      <c r="H276" s="2">
        <v>4.8635999999999999</v>
      </c>
      <c r="I276" s="2">
        <v>1.5811999999999999</v>
      </c>
      <c r="J276" s="2">
        <v>7.0110999999999999</v>
      </c>
      <c r="K276" s="2">
        <v>2302.4499999999998</v>
      </c>
      <c r="L276" s="2">
        <v>0</v>
      </c>
    </row>
    <row r="277" spans="1:12" hidden="1" x14ac:dyDescent="0.35">
      <c r="A277" s="4" t="s">
        <v>288</v>
      </c>
      <c r="B277" s="1" t="str">
        <f t="shared" si="8"/>
        <v>Corumba IV</v>
      </c>
      <c r="C277" s="1">
        <f t="shared" si="9"/>
        <v>-2406</v>
      </c>
      <c r="D277" s="2">
        <v>0</v>
      </c>
      <c r="E277" s="2">
        <v>0</v>
      </c>
      <c r="F277" s="2">
        <v>0</v>
      </c>
      <c r="G277" s="2">
        <v>0.3629</v>
      </c>
      <c r="H277" s="2">
        <v>29.122800000000002</v>
      </c>
      <c r="I277" s="2">
        <v>5.7572999999999999</v>
      </c>
      <c r="J277" s="2">
        <v>23.7285</v>
      </c>
      <c r="K277" s="2">
        <v>0</v>
      </c>
      <c r="L277" s="2">
        <v>0</v>
      </c>
    </row>
    <row r="278" spans="1:12" x14ac:dyDescent="0.35">
      <c r="A278" s="4" t="s">
        <v>289</v>
      </c>
      <c r="B278" s="1" t="str">
        <f t="shared" si="8"/>
        <v>Lago Paranoa</v>
      </c>
      <c r="C278" s="1">
        <f t="shared" si="9"/>
        <v>-2406</v>
      </c>
      <c r="D278" s="2">
        <v>0</v>
      </c>
      <c r="E278" s="2">
        <v>2302.4499999999998</v>
      </c>
      <c r="F278" s="2">
        <v>0.25850000000000001</v>
      </c>
      <c r="G278" s="2">
        <v>3.8816000000000002</v>
      </c>
      <c r="H278" s="2">
        <v>4.8579999999999997</v>
      </c>
      <c r="I278" s="2">
        <v>1.5003</v>
      </c>
      <c r="J278" s="2">
        <v>6.9809000000000001</v>
      </c>
      <c r="K278" s="2">
        <v>2302.4499999999998</v>
      </c>
      <c r="L278" s="2">
        <v>0</v>
      </c>
    </row>
    <row r="279" spans="1:12" hidden="1" x14ac:dyDescent="0.35">
      <c r="A279" s="4" t="s">
        <v>290</v>
      </c>
      <c r="B279" s="1" t="str">
        <f t="shared" si="8"/>
        <v>Corumba IV</v>
      </c>
      <c r="C279" s="1">
        <f t="shared" si="9"/>
        <v>-2405</v>
      </c>
      <c r="D279" s="2">
        <v>0</v>
      </c>
      <c r="E279" s="2">
        <v>0</v>
      </c>
      <c r="F279" s="2">
        <v>0</v>
      </c>
      <c r="G279" s="2">
        <v>0.3629</v>
      </c>
      <c r="H279" s="2">
        <v>26.663</v>
      </c>
      <c r="I279" s="2">
        <v>3.8978999999999999</v>
      </c>
      <c r="J279" s="2">
        <v>23.128</v>
      </c>
      <c r="K279" s="2">
        <v>0</v>
      </c>
      <c r="L279" s="2">
        <v>0</v>
      </c>
    </row>
    <row r="280" spans="1:12" x14ac:dyDescent="0.35">
      <c r="A280" s="4" t="s">
        <v>291</v>
      </c>
      <c r="B280" s="1" t="str">
        <f t="shared" si="8"/>
        <v>Lago Paranoa</v>
      </c>
      <c r="C280" s="1">
        <f t="shared" si="9"/>
        <v>-2405</v>
      </c>
      <c r="D280" s="2">
        <v>0</v>
      </c>
      <c r="E280" s="2">
        <v>2302.4499999999998</v>
      </c>
      <c r="F280" s="2">
        <v>0.2276</v>
      </c>
      <c r="G280" s="2">
        <v>4.4021999999999997</v>
      </c>
      <c r="H280" s="2">
        <v>5.5427999999999997</v>
      </c>
      <c r="I280" s="2">
        <v>1.0424</v>
      </c>
      <c r="J280" s="2">
        <v>8.6751000000000005</v>
      </c>
      <c r="K280" s="2">
        <v>2302.4499999999998</v>
      </c>
      <c r="L280" s="2">
        <v>0</v>
      </c>
    </row>
    <row r="281" spans="1:12" hidden="1" x14ac:dyDescent="0.35">
      <c r="A281" s="4" t="s">
        <v>292</v>
      </c>
      <c r="B281" s="1" t="str">
        <f t="shared" si="8"/>
        <v>Corumba IV</v>
      </c>
      <c r="C281" s="1">
        <f t="shared" si="9"/>
        <v>-2404</v>
      </c>
      <c r="D281" s="2">
        <v>0</v>
      </c>
      <c r="E281" s="2">
        <v>0</v>
      </c>
      <c r="F281" s="2">
        <v>0</v>
      </c>
      <c r="G281" s="2">
        <v>0.3629</v>
      </c>
      <c r="H281" s="2">
        <v>29.256799999999998</v>
      </c>
      <c r="I281" s="2">
        <v>3.9630000000000001</v>
      </c>
      <c r="J281" s="2">
        <v>25.656600000000001</v>
      </c>
      <c r="K281" s="2">
        <v>0</v>
      </c>
      <c r="L281" s="2">
        <v>0</v>
      </c>
    </row>
    <row r="282" spans="1:12" x14ac:dyDescent="0.35">
      <c r="A282" s="4" t="s">
        <v>293</v>
      </c>
      <c r="B282" s="1" t="str">
        <f t="shared" si="8"/>
        <v>Lago Paranoa</v>
      </c>
      <c r="C282" s="1">
        <f t="shared" si="9"/>
        <v>-2404</v>
      </c>
      <c r="D282" s="2">
        <v>0</v>
      </c>
      <c r="E282" s="2">
        <v>2302.4499999999998</v>
      </c>
      <c r="F282" s="2">
        <v>0.22770000000000001</v>
      </c>
      <c r="G282" s="2">
        <v>4.4725999999999999</v>
      </c>
      <c r="H282" s="2">
        <v>6.3535000000000004</v>
      </c>
      <c r="I282" s="2">
        <v>1.0795999999999999</v>
      </c>
      <c r="J282" s="2">
        <v>9.5187000000000008</v>
      </c>
      <c r="K282" s="2">
        <v>2302.4499999999998</v>
      </c>
      <c r="L282" s="2">
        <v>0</v>
      </c>
    </row>
    <row r="283" spans="1:12" hidden="1" x14ac:dyDescent="0.35">
      <c r="A283" s="4" t="s">
        <v>294</v>
      </c>
      <c r="B283" s="1" t="str">
        <f t="shared" si="8"/>
        <v>Corumba IV</v>
      </c>
      <c r="C283" s="1">
        <f t="shared" si="9"/>
        <v>-2403</v>
      </c>
      <c r="D283" s="2">
        <v>0</v>
      </c>
      <c r="E283" s="2">
        <v>0</v>
      </c>
      <c r="F283" s="2">
        <v>0</v>
      </c>
      <c r="G283" s="2">
        <v>0.3629</v>
      </c>
      <c r="H283" s="2">
        <v>41.594700000000003</v>
      </c>
      <c r="I283" s="2">
        <v>3.9630000000000001</v>
      </c>
      <c r="J283" s="2">
        <v>37.994599999999998</v>
      </c>
      <c r="K283" s="2">
        <v>0</v>
      </c>
      <c r="L283" s="2">
        <v>0</v>
      </c>
    </row>
    <row r="284" spans="1:12" x14ac:dyDescent="0.35">
      <c r="A284" s="4" t="s">
        <v>295</v>
      </c>
      <c r="B284" s="1" t="str">
        <f t="shared" si="8"/>
        <v>Lago Paranoa</v>
      </c>
      <c r="C284" s="1">
        <f t="shared" si="9"/>
        <v>-2403</v>
      </c>
      <c r="D284" s="2">
        <v>0</v>
      </c>
      <c r="E284" s="2">
        <v>2302.4499999999998</v>
      </c>
      <c r="F284" s="2">
        <v>0.22789999999999999</v>
      </c>
      <c r="G284" s="2">
        <v>4.7270000000000003</v>
      </c>
      <c r="H284" s="2">
        <v>6.8433999999999999</v>
      </c>
      <c r="I284" s="2">
        <v>1.0795999999999999</v>
      </c>
      <c r="J284" s="2">
        <v>10.2629</v>
      </c>
      <c r="K284" s="2">
        <v>2302.4499999999998</v>
      </c>
      <c r="L284" s="2">
        <v>0</v>
      </c>
    </row>
    <row r="285" spans="1:12" hidden="1" x14ac:dyDescent="0.35">
      <c r="A285" s="4" t="s">
        <v>296</v>
      </c>
      <c r="B285" s="1" t="str">
        <f t="shared" si="8"/>
        <v>Corumba IV</v>
      </c>
      <c r="C285" s="1">
        <f t="shared" si="9"/>
        <v>-2402</v>
      </c>
      <c r="D285" s="2">
        <v>0</v>
      </c>
      <c r="E285" s="2">
        <v>0</v>
      </c>
      <c r="F285" s="2">
        <v>0</v>
      </c>
      <c r="G285" s="2">
        <v>0.3629</v>
      </c>
      <c r="H285" s="2">
        <v>98.737899999999996</v>
      </c>
      <c r="I285" s="2">
        <v>3.9630000000000001</v>
      </c>
      <c r="J285" s="2">
        <v>95.137799999999999</v>
      </c>
      <c r="K285" s="2">
        <v>0</v>
      </c>
      <c r="L285" s="2">
        <v>0</v>
      </c>
    </row>
    <row r="286" spans="1:12" x14ac:dyDescent="0.35">
      <c r="A286" s="4" t="s">
        <v>297</v>
      </c>
      <c r="B286" s="1" t="str">
        <f t="shared" si="8"/>
        <v>Lago Paranoa</v>
      </c>
      <c r="C286" s="1">
        <f t="shared" si="9"/>
        <v>-2402</v>
      </c>
      <c r="D286" s="2">
        <v>0</v>
      </c>
      <c r="E286" s="2">
        <v>2302.4499999999998</v>
      </c>
      <c r="F286" s="2">
        <v>0.2281</v>
      </c>
      <c r="G286" s="2">
        <v>5.6397000000000004</v>
      </c>
      <c r="H286" s="2">
        <v>9.6193000000000008</v>
      </c>
      <c r="I286" s="2">
        <v>1.0795999999999999</v>
      </c>
      <c r="J286" s="2">
        <v>13.9513</v>
      </c>
      <c r="K286" s="2">
        <v>2302.4499999999998</v>
      </c>
      <c r="L286" s="2">
        <v>0</v>
      </c>
    </row>
    <row r="287" spans="1:12" hidden="1" x14ac:dyDescent="0.35">
      <c r="A287" s="4" t="s">
        <v>298</v>
      </c>
      <c r="B287" s="1" t="str">
        <f t="shared" si="8"/>
        <v>Corumba IV</v>
      </c>
      <c r="C287" s="1">
        <f t="shared" si="9"/>
        <v>-2401</v>
      </c>
      <c r="D287" s="2">
        <v>0</v>
      </c>
      <c r="E287" s="2">
        <v>0</v>
      </c>
      <c r="F287" s="2">
        <v>0</v>
      </c>
      <c r="G287" s="2">
        <v>0.3629</v>
      </c>
      <c r="H287" s="2">
        <v>97.630300000000005</v>
      </c>
      <c r="I287" s="2">
        <v>4.7667999999999999</v>
      </c>
      <c r="J287" s="2">
        <v>93.226399999999998</v>
      </c>
      <c r="K287" s="2">
        <v>0</v>
      </c>
      <c r="L287" s="2">
        <v>0</v>
      </c>
    </row>
    <row r="288" spans="1:12" x14ac:dyDescent="0.35">
      <c r="A288" s="4" t="s">
        <v>299</v>
      </c>
      <c r="B288" s="1" t="str">
        <f t="shared" si="8"/>
        <v>Lago Paranoa</v>
      </c>
      <c r="C288" s="1">
        <f t="shared" si="9"/>
        <v>-2401</v>
      </c>
      <c r="D288" s="2">
        <v>0</v>
      </c>
      <c r="E288" s="2">
        <v>2302.4499999999998</v>
      </c>
      <c r="F288" s="2">
        <v>0.19989999999999999</v>
      </c>
      <c r="G288" s="2">
        <v>3.6833</v>
      </c>
      <c r="H288" s="2">
        <v>8.3696999999999999</v>
      </c>
      <c r="I288" s="2">
        <v>1.234</v>
      </c>
      <c r="J288" s="2">
        <v>10.619</v>
      </c>
      <c r="K288" s="2">
        <v>2302.4499999999998</v>
      </c>
      <c r="L288" s="2">
        <v>0</v>
      </c>
    </row>
    <row r="289" spans="1:12" hidden="1" x14ac:dyDescent="0.35">
      <c r="A289" s="4" t="s">
        <v>300</v>
      </c>
      <c r="B289" s="1" t="str">
        <f t="shared" si="8"/>
        <v>Corumba IV</v>
      </c>
      <c r="C289" s="1">
        <f t="shared" si="9"/>
        <v>-2400</v>
      </c>
      <c r="D289" s="2">
        <v>0</v>
      </c>
      <c r="E289" s="2">
        <v>0</v>
      </c>
      <c r="F289" s="2">
        <v>0</v>
      </c>
      <c r="G289" s="2">
        <v>0.3629</v>
      </c>
      <c r="H289" s="2">
        <v>32.457000000000001</v>
      </c>
      <c r="I289" s="2">
        <v>5.0883000000000003</v>
      </c>
      <c r="J289" s="2">
        <v>27.7316</v>
      </c>
      <c r="K289" s="2">
        <v>0</v>
      </c>
      <c r="L289" s="2">
        <v>0</v>
      </c>
    </row>
    <row r="290" spans="1:12" x14ac:dyDescent="0.35">
      <c r="A290" s="4" t="s">
        <v>301</v>
      </c>
      <c r="B290" s="1" t="str">
        <f t="shared" si="8"/>
        <v>Lago Paranoa</v>
      </c>
      <c r="C290" s="1">
        <f t="shared" si="9"/>
        <v>-2400</v>
      </c>
      <c r="D290" s="2">
        <v>0</v>
      </c>
      <c r="E290" s="2">
        <v>2302.4499999999998</v>
      </c>
      <c r="F290" s="2">
        <v>0.2001</v>
      </c>
      <c r="G290" s="2">
        <v>2.7151000000000001</v>
      </c>
      <c r="H290" s="2">
        <v>5.6398999999999999</v>
      </c>
      <c r="I290" s="2">
        <v>1.2958000000000001</v>
      </c>
      <c r="J290" s="2">
        <v>6.8590999999999998</v>
      </c>
      <c r="K290" s="2">
        <v>2302.4499999999998</v>
      </c>
      <c r="L290" s="2">
        <v>0</v>
      </c>
    </row>
    <row r="291" spans="1:12" hidden="1" x14ac:dyDescent="0.35">
      <c r="A291" s="4" t="s">
        <v>302</v>
      </c>
      <c r="B291" s="1" t="str">
        <f t="shared" si="8"/>
        <v>Corumba IV</v>
      </c>
      <c r="C291" s="1">
        <f t="shared" si="9"/>
        <v>-2399</v>
      </c>
      <c r="D291" s="2">
        <v>0</v>
      </c>
      <c r="E291" s="2">
        <v>0</v>
      </c>
      <c r="F291" s="2">
        <v>0</v>
      </c>
      <c r="G291" s="2">
        <v>0.3629</v>
      </c>
      <c r="H291" s="2">
        <v>31.155000000000001</v>
      </c>
      <c r="I291" s="2">
        <v>5.0883000000000003</v>
      </c>
      <c r="J291" s="2">
        <v>26.429600000000001</v>
      </c>
      <c r="K291" s="2">
        <v>0</v>
      </c>
      <c r="L291" s="2">
        <v>0</v>
      </c>
    </row>
    <row r="292" spans="1:12" x14ac:dyDescent="0.35">
      <c r="A292" s="4" t="s">
        <v>303</v>
      </c>
      <c r="B292" s="1" t="str">
        <f t="shared" si="8"/>
        <v>Lago Paranoa</v>
      </c>
      <c r="C292" s="1">
        <f t="shared" si="9"/>
        <v>-2399</v>
      </c>
      <c r="D292" s="2">
        <v>0</v>
      </c>
      <c r="E292" s="2">
        <v>2302.4499999999998</v>
      </c>
      <c r="F292" s="2">
        <v>0.20019999999999999</v>
      </c>
      <c r="G292" s="2">
        <v>3.86</v>
      </c>
      <c r="H292" s="2">
        <v>6.3587999999999996</v>
      </c>
      <c r="I292" s="2">
        <v>1.2958000000000001</v>
      </c>
      <c r="J292" s="2">
        <v>8.7228999999999992</v>
      </c>
      <c r="K292" s="2">
        <v>2302.4499999999998</v>
      </c>
      <c r="L292" s="2">
        <v>0</v>
      </c>
    </row>
    <row r="293" spans="1:12" hidden="1" x14ac:dyDescent="0.35">
      <c r="A293" s="4" t="s">
        <v>304</v>
      </c>
      <c r="B293" s="1" t="str">
        <f t="shared" si="8"/>
        <v>Corumba IV</v>
      </c>
      <c r="C293" s="1">
        <f t="shared" si="9"/>
        <v>-2398</v>
      </c>
      <c r="D293" s="2">
        <v>0</v>
      </c>
      <c r="E293" s="2">
        <v>0</v>
      </c>
      <c r="F293" s="2">
        <v>0</v>
      </c>
      <c r="G293" s="2">
        <v>0.3629</v>
      </c>
      <c r="H293" s="2">
        <v>38.283799999999999</v>
      </c>
      <c r="I293" s="2">
        <v>5.0883000000000003</v>
      </c>
      <c r="J293" s="2">
        <v>33.558399999999999</v>
      </c>
      <c r="K293" s="2">
        <v>0</v>
      </c>
      <c r="L293" s="2">
        <v>0</v>
      </c>
    </row>
    <row r="294" spans="1:12" x14ac:dyDescent="0.35">
      <c r="A294" s="4" t="s">
        <v>305</v>
      </c>
      <c r="B294" s="1" t="str">
        <f t="shared" si="8"/>
        <v>Lago Paranoa</v>
      </c>
      <c r="C294" s="1">
        <f t="shared" si="9"/>
        <v>-2398</v>
      </c>
      <c r="D294" s="2">
        <v>0</v>
      </c>
      <c r="E294" s="2">
        <v>2302.4499999999998</v>
      </c>
      <c r="F294" s="2">
        <v>0.20039999999999999</v>
      </c>
      <c r="G294" s="2">
        <v>3.0503999999999998</v>
      </c>
      <c r="H294" s="2">
        <v>6.6725000000000003</v>
      </c>
      <c r="I294" s="2">
        <v>1.2958000000000001</v>
      </c>
      <c r="J294" s="2">
        <v>8.2268000000000008</v>
      </c>
      <c r="K294" s="2">
        <v>2302.4499999999998</v>
      </c>
      <c r="L294" s="2">
        <v>0</v>
      </c>
    </row>
    <row r="295" spans="1:12" hidden="1" x14ac:dyDescent="0.35">
      <c r="A295" s="4" t="s">
        <v>306</v>
      </c>
      <c r="B295" s="1" t="str">
        <f t="shared" si="8"/>
        <v>Corumba IV</v>
      </c>
      <c r="C295" s="1">
        <f t="shared" si="9"/>
        <v>-2397</v>
      </c>
      <c r="D295" s="2">
        <v>0</v>
      </c>
      <c r="E295" s="2">
        <v>0</v>
      </c>
      <c r="F295" s="2">
        <v>0</v>
      </c>
      <c r="G295" s="2">
        <v>0.3629</v>
      </c>
      <c r="H295" s="2">
        <v>36.543700000000001</v>
      </c>
      <c r="I295" s="2">
        <v>4.6901999999999999</v>
      </c>
      <c r="J295" s="2">
        <v>32.2164</v>
      </c>
      <c r="K295" s="2">
        <v>0</v>
      </c>
      <c r="L295" s="2">
        <v>0</v>
      </c>
    </row>
    <row r="296" spans="1:12" x14ac:dyDescent="0.35">
      <c r="A296" s="4" t="s">
        <v>307</v>
      </c>
      <c r="B296" s="1" t="str">
        <f t="shared" si="8"/>
        <v>Lago Paranoa</v>
      </c>
      <c r="C296" s="1">
        <f t="shared" si="9"/>
        <v>-2397</v>
      </c>
      <c r="D296" s="2">
        <v>0</v>
      </c>
      <c r="E296" s="2">
        <v>2302.4499999999998</v>
      </c>
      <c r="F296" s="2">
        <v>0.14149999999999999</v>
      </c>
      <c r="G296" s="2">
        <v>2.6393</v>
      </c>
      <c r="H296" s="2">
        <v>5.8464999999999998</v>
      </c>
      <c r="I296" s="2">
        <v>1.1123000000000001</v>
      </c>
      <c r="J296" s="2">
        <v>7.2320000000000002</v>
      </c>
      <c r="K296" s="2">
        <v>2302.4499999999998</v>
      </c>
      <c r="L296" s="2">
        <v>0</v>
      </c>
    </row>
    <row r="297" spans="1:12" hidden="1" x14ac:dyDescent="0.35">
      <c r="A297" s="4" t="s">
        <v>308</v>
      </c>
      <c r="B297" s="1" t="str">
        <f t="shared" si="8"/>
        <v>Corumba IV</v>
      </c>
      <c r="C297" s="1">
        <f t="shared" si="9"/>
        <v>-2396</v>
      </c>
      <c r="D297" s="2">
        <v>0</v>
      </c>
      <c r="E297" s="2">
        <v>0</v>
      </c>
      <c r="F297" s="2">
        <v>0</v>
      </c>
      <c r="G297" s="2">
        <v>0.3629</v>
      </c>
      <c r="H297" s="2">
        <v>42.657400000000003</v>
      </c>
      <c r="I297" s="2">
        <v>4.0095999999999998</v>
      </c>
      <c r="J297" s="2">
        <v>39.0107</v>
      </c>
      <c r="K297" s="2">
        <v>0</v>
      </c>
      <c r="L297" s="2">
        <v>0</v>
      </c>
    </row>
    <row r="298" spans="1:12" x14ac:dyDescent="0.35">
      <c r="A298" s="4" t="s">
        <v>309</v>
      </c>
      <c r="B298" s="1" t="str">
        <f t="shared" si="8"/>
        <v>Lago Paranoa</v>
      </c>
      <c r="C298" s="1">
        <f t="shared" si="9"/>
        <v>-2396</v>
      </c>
      <c r="D298" s="2">
        <v>0</v>
      </c>
      <c r="E298" s="2">
        <v>2302.4499999999998</v>
      </c>
      <c r="F298" s="2">
        <v>0.14169999999999999</v>
      </c>
      <c r="G298" s="2">
        <v>2.8822000000000001</v>
      </c>
      <c r="H298" s="2">
        <v>7.6574999999999998</v>
      </c>
      <c r="I298" s="2">
        <v>1.0535000000000001</v>
      </c>
      <c r="J298" s="2">
        <v>9.3445</v>
      </c>
      <c r="K298" s="2">
        <v>2302.4499999999998</v>
      </c>
      <c r="L298" s="2">
        <v>0</v>
      </c>
    </row>
    <row r="299" spans="1:12" hidden="1" x14ac:dyDescent="0.35">
      <c r="A299" s="4" t="s">
        <v>310</v>
      </c>
      <c r="B299" s="1" t="str">
        <f t="shared" si="8"/>
        <v>Corumba IV</v>
      </c>
      <c r="C299" s="1">
        <f t="shared" si="9"/>
        <v>-2499</v>
      </c>
      <c r="D299" s="2">
        <v>0</v>
      </c>
      <c r="E299" s="2">
        <v>0</v>
      </c>
      <c r="F299" s="2">
        <v>0</v>
      </c>
      <c r="G299" s="2">
        <v>0.3629</v>
      </c>
      <c r="H299" s="2">
        <v>72.424499999999995</v>
      </c>
      <c r="I299" s="2">
        <v>4.5795000000000003</v>
      </c>
      <c r="J299" s="2">
        <v>68.207899999999995</v>
      </c>
      <c r="K299" s="2">
        <v>0</v>
      </c>
      <c r="L299" s="2">
        <v>0</v>
      </c>
    </row>
    <row r="300" spans="1:12" x14ac:dyDescent="0.35">
      <c r="A300" s="4" t="s">
        <v>311</v>
      </c>
      <c r="B300" s="1" t="str">
        <f t="shared" si="8"/>
        <v>Lago Paranoa</v>
      </c>
      <c r="C300" s="1">
        <f t="shared" si="9"/>
        <v>-2499</v>
      </c>
      <c r="D300" s="2">
        <v>0</v>
      </c>
      <c r="E300" s="2">
        <v>2302.4499999999998</v>
      </c>
      <c r="F300" s="2">
        <v>0.26050000000000001</v>
      </c>
      <c r="G300" s="2">
        <v>5.8544</v>
      </c>
      <c r="H300" s="2">
        <v>11.3575</v>
      </c>
      <c r="I300" s="2">
        <v>1.1447000000000001</v>
      </c>
      <c r="J300" s="2">
        <v>15.8066</v>
      </c>
      <c r="K300" s="2">
        <v>2302.4499999999998</v>
      </c>
      <c r="L300" s="2">
        <v>0</v>
      </c>
    </row>
    <row r="301" spans="1:12" hidden="1" x14ac:dyDescent="0.35">
      <c r="A301" s="4" t="s">
        <v>312</v>
      </c>
      <c r="B301" s="1" t="str">
        <f t="shared" si="8"/>
        <v>Corumba IV</v>
      </c>
      <c r="C301" s="1">
        <f t="shared" si="9"/>
        <v>-2498</v>
      </c>
      <c r="D301" s="2">
        <v>0</v>
      </c>
      <c r="E301" s="2">
        <v>0</v>
      </c>
      <c r="F301" s="2">
        <v>0</v>
      </c>
      <c r="G301" s="2">
        <v>0.3629</v>
      </c>
      <c r="H301" s="2">
        <v>190.82480000000001</v>
      </c>
      <c r="I301" s="2">
        <v>4.5795000000000003</v>
      </c>
      <c r="J301" s="2">
        <v>186.60820000000001</v>
      </c>
      <c r="K301" s="2">
        <v>0</v>
      </c>
      <c r="L301" s="2">
        <v>0</v>
      </c>
    </row>
    <row r="302" spans="1:12" x14ac:dyDescent="0.35">
      <c r="A302" s="4" t="s">
        <v>313</v>
      </c>
      <c r="B302" s="1" t="str">
        <f t="shared" si="8"/>
        <v>Lago Paranoa</v>
      </c>
      <c r="C302" s="1">
        <f t="shared" si="9"/>
        <v>-2498</v>
      </c>
      <c r="D302" s="2">
        <v>0</v>
      </c>
      <c r="E302" s="2">
        <v>2302.4499999999998</v>
      </c>
      <c r="F302" s="2">
        <v>0.1449</v>
      </c>
      <c r="G302" s="2">
        <v>4.7493999999999996</v>
      </c>
      <c r="H302" s="2">
        <v>22.7364</v>
      </c>
      <c r="I302" s="2">
        <v>1.1447000000000001</v>
      </c>
      <c r="J302" s="2">
        <v>26.196200000000001</v>
      </c>
      <c r="K302" s="2">
        <v>2302.4499999999998</v>
      </c>
      <c r="L302" s="2">
        <v>0</v>
      </c>
    </row>
    <row r="303" spans="1:12" hidden="1" x14ac:dyDescent="0.35">
      <c r="A303" s="4" t="s">
        <v>314</v>
      </c>
      <c r="B303" s="1" t="str">
        <f t="shared" si="8"/>
        <v>Corumba IV</v>
      </c>
      <c r="C303" s="1">
        <f t="shared" si="9"/>
        <v>-2497</v>
      </c>
      <c r="D303" s="2">
        <v>0</v>
      </c>
      <c r="E303" s="2">
        <v>0</v>
      </c>
      <c r="F303" s="2">
        <v>0</v>
      </c>
      <c r="G303" s="2">
        <v>0.3629</v>
      </c>
      <c r="H303" s="2">
        <v>327.94420000000002</v>
      </c>
      <c r="I303" s="2">
        <v>4.1506999999999996</v>
      </c>
      <c r="J303" s="2">
        <v>324.15629999999999</v>
      </c>
      <c r="K303" s="2">
        <v>0</v>
      </c>
      <c r="L303" s="2">
        <v>0</v>
      </c>
    </row>
    <row r="304" spans="1:12" x14ac:dyDescent="0.35">
      <c r="A304" s="4" t="s">
        <v>315</v>
      </c>
      <c r="B304" s="1" t="str">
        <f t="shared" si="8"/>
        <v>Lago Paranoa</v>
      </c>
      <c r="C304" s="1">
        <f t="shared" si="9"/>
        <v>-2497</v>
      </c>
      <c r="D304" s="2">
        <v>0</v>
      </c>
      <c r="E304" s="2">
        <v>2302.4499999999998</v>
      </c>
      <c r="F304" s="2">
        <v>0.1434</v>
      </c>
      <c r="G304" s="2">
        <v>5.1802999999999999</v>
      </c>
      <c r="H304" s="2">
        <v>25.4693</v>
      </c>
      <c r="I304" s="2">
        <v>1.0911</v>
      </c>
      <c r="J304" s="2">
        <v>29.415099999999999</v>
      </c>
      <c r="K304" s="2">
        <v>2302.4499999999998</v>
      </c>
      <c r="L304" s="2">
        <v>0</v>
      </c>
    </row>
    <row r="305" spans="1:12" hidden="1" x14ac:dyDescent="0.35">
      <c r="A305" s="4" t="s">
        <v>316</v>
      </c>
      <c r="B305" s="1" t="str">
        <f t="shared" si="8"/>
        <v>Corumba IV</v>
      </c>
      <c r="C305" s="1">
        <f t="shared" si="9"/>
        <v>-2496</v>
      </c>
      <c r="D305" s="2">
        <v>0</v>
      </c>
      <c r="E305" s="2">
        <v>0</v>
      </c>
      <c r="F305" s="2">
        <v>0</v>
      </c>
      <c r="G305" s="2">
        <v>0.3629</v>
      </c>
      <c r="H305" s="2">
        <v>116.6236</v>
      </c>
      <c r="I305" s="2">
        <v>3.7875999999999999</v>
      </c>
      <c r="J305" s="2">
        <v>113.19889999999999</v>
      </c>
      <c r="K305" s="2">
        <v>0</v>
      </c>
      <c r="L305" s="2">
        <v>0</v>
      </c>
    </row>
    <row r="306" spans="1:12" x14ac:dyDescent="0.35">
      <c r="A306" s="4" t="s">
        <v>317</v>
      </c>
      <c r="B306" s="1" t="str">
        <f t="shared" si="8"/>
        <v>Lago Paranoa</v>
      </c>
      <c r="C306" s="1">
        <f t="shared" si="9"/>
        <v>-2496</v>
      </c>
      <c r="D306" s="2">
        <v>0</v>
      </c>
      <c r="E306" s="2">
        <v>2302.4499999999998</v>
      </c>
      <c r="F306" s="2">
        <v>0.1593</v>
      </c>
      <c r="G306" s="2">
        <v>5.4412000000000003</v>
      </c>
      <c r="H306" s="2">
        <v>11.711499999999999</v>
      </c>
      <c r="I306" s="2">
        <v>0.8952</v>
      </c>
      <c r="J306" s="2">
        <v>16.098199999999999</v>
      </c>
      <c r="K306" s="2">
        <v>2302.4499999999998</v>
      </c>
      <c r="L306" s="2">
        <v>0</v>
      </c>
    </row>
    <row r="307" spans="1:12" hidden="1" x14ac:dyDescent="0.35">
      <c r="A307" s="4" t="s">
        <v>318</v>
      </c>
      <c r="B307" s="1" t="str">
        <f t="shared" si="8"/>
        <v>Corumba IV</v>
      </c>
      <c r="C307" s="1">
        <f t="shared" si="9"/>
        <v>-2495</v>
      </c>
      <c r="D307" s="2">
        <v>0</v>
      </c>
      <c r="E307" s="2">
        <v>0</v>
      </c>
      <c r="F307" s="2">
        <v>0</v>
      </c>
      <c r="G307" s="2">
        <v>0.3629</v>
      </c>
      <c r="H307" s="2">
        <v>108.68</v>
      </c>
      <c r="I307" s="2">
        <v>4.4733000000000001</v>
      </c>
      <c r="J307" s="2">
        <v>104.56950000000001</v>
      </c>
      <c r="K307" s="2">
        <v>0</v>
      </c>
      <c r="L307" s="2">
        <v>0</v>
      </c>
    </row>
    <row r="308" spans="1:12" x14ac:dyDescent="0.35">
      <c r="A308" s="4" t="s">
        <v>319</v>
      </c>
      <c r="B308" s="1" t="str">
        <f t="shared" si="8"/>
        <v>Lago Paranoa</v>
      </c>
      <c r="C308" s="1">
        <f t="shared" si="9"/>
        <v>-2495</v>
      </c>
      <c r="D308" s="2">
        <v>0</v>
      </c>
      <c r="E308" s="2">
        <v>2302.4499999999998</v>
      </c>
      <c r="F308" s="2">
        <v>0.15229999999999999</v>
      </c>
      <c r="G308" s="2">
        <v>4.9966999999999997</v>
      </c>
      <c r="H308" s="2">
        <v>10.471299999999999</v>
      </c>
      <c r="I308" s="2">
        <v>1.1091</v>
      </c>
      <c r="J308" s="2">
        <v>14.2066</v>
      </c>
      <c r="K308" s="2">
        <v>2302.4499999999998</v>
      </c>
      <c r="L308" s="2">
        <v>0</v>
      </c>
    </row>
    <row r="309" spans="1:12" hidden="1" x14ac:dyDescent="0.35">
      <c r="A309" s="4" t="s">
        <v>320</v>
      </c>
      <c r="B309" s="1" t="str">
        <f t="shared" si="8"/>
        <v>Corumba IV</v>
      </c>
      <c r="C309" s="1">
        <f t="shared" si="9"/>
        <v>-2494</v>
      </c>
      <c r="D309" s="2">
        <v>0</v>
      </c>
      <c r="E309" s="2">
        <v>0</v>
      </c>
      <c r="F309" s="2">
        <v>0</v>
      </c>
      <c r="G309" s="2">
        <v>0.3629</v>
      </c>
      <c r="H309" s="2">
        <v>109.06270000000001</v>
      </c>
      <c r="I309" s="2">
        <v>4.4733000000000001</v>
      </c>
      <c r="J309" s="2">
        <v>104.95229999999999</v>
      </c>
      <c r="K309" s="2">
        <v>0</v>
      </c>
      <c r="L309" s="2">
        <v>0</v>
      </c>
    </row>
    <row r="310" spans="1:12" x14ac:dyDescent="0.35">
      <c r="A310" s="4" t="s">
        <v>321</v>
      </c>
      <c r="B310" s="1" t="str">
        <f t="shared" si="8"/>
        <v>Lago Paranoa</v>
      </c>
      <c r="C310" s="1">
        <f t="shared" si="9"/>
        <v>-2494</v>
      </c>
      <c r="D310" s="2">
        <v>0</v>
      </c>
      <c r="E310" s="2">
        <v>2302.4499999999998</v>
      </c>
      <c r="F310" s="2">
        <v>0.15240000000000001</v>
      </c>
      <c r="G310" s="2">
        <v>5.2587000000000002</v>
      </c>
      <c r="H310" s="2">
        <v>11.5618</v>
      </c>
      <c r="I310" s="2">
        <v>1.1091</v>
      </c>
      <c r="J310" s="2">
        <v>15.558999999999999</v>
      </c>
      <c r="K310" s="2">
        <v>2302.4499999999998</v>
      </c>
      <c r="L310" s="2">
        <v>0</v>
      </c>
    </row>
    <row r="311" spans="1:12" hidden="1" x14ac:dyDescent="0.35">
      <c r="A311" s="4" t="s">
        <v>322</v>
      </c>
      <c r="B311" s="1" t="str">
        <f t="shared" si="8"/>
        <v>Corumba IV</v>
      </c>
      <c r="C311" s="1">
        <f t="shared" si="9"/>
        <v>-2493</v>
      </c>
      <c r="D311" s="2">
        <v>0</v>
      </c>
      <c r="E311" s="2">
        <v>0</v>
      </c>
      <c r="F311" s="2">
        <v>0</v>
      </c>
      <c r="G311" s="2">
        <v>0.3629</v>
      </c>
      <c r="H311" s="2">
        <v>98.767300000000006</v>
      </c>
      <c r="I311" s="2">
        <v>4.4733000000000001</v>
      </c>
      <c r="J311" s="2">
        <v>94.656899999999993</v>
      </c>
      <c r="K311" s="2">
        <v>0</v>
      </c>
      <c r="L311" s="2">
        <v>0</v>
      </c>
    </row>
    <row r="312" spans="1:12" x14ac:dyDescent="0.35">
      <c r="A312" s="4" t="s">
        <v>323</v>
      </c>
      <c r="B312" s="1" t="str">
        <f t="shared" si="8"/>
        <v>Lago Paranoa</v>
      </c>
      <c r="C312" s="1">
        <f t="shared" si="9"/>
        <v>-2493</v>
      </c>
      <c r="D312" s="2">
        <v>0</v>
      </c>
      <c r="E312" s="2">
        <v>2302.4499999999998</v>
      </c>
      <c r="F312" s="2">
        <v>0.1525</v>
      </c>
      <c r="G312" s="2">
        <v>5.6776999999999997</v>
      </c>
      <c r="H312" s="2">
        <v>11.6694</v>
      </c>
      <c r="I312" s="2">
        <v>1.1091</v>
      </c>
      <c r="J312" s="2">
        <v>16.0853</v>
      </c>
      <c r="K312" s="2">
        <v>2302.4499999999998</v>
      </c>
      <c r="L312" s="2">
        <v>0</v>
      </c>
    </row>
    <row r="313" spans="1:12" hidden="1" x14ac:dyDescent="0.35">
      <c r="A313" s="4" t="s">
        <v>324</v>
      </c>
      <c r="B313" s="1" t="str">
        <f t="shared" si="8"/>
        <v>Corumba IV</v>
      </c>
      <c r="C313" s="1">
        <f t="shared" si="9"/>
        <v>-2492</v>
      </c>
      <c r="D313" s="2">
        <v>0</v>
      </c>
      <c r="E313" s="2">
        <v>0</v>
      </c>
      <c r="F313" s="2">
        <v>0</v>
      </c>
      <c r="G313" s="2">
        <v>0.3629</v>
      </c>
      <c r="H313" s="2">
        <v>131.56909999999999</v>
      </c>
      <c r="I313" s="2">
        <v>4.5563000000000002</v>
      </c>
      <c r="J313" s="2">
        <v>127.37569999999999</v>
      </c>
      <c r="K313" s="2">
        <v>0</v>
      </c>
      <c r="L313" s="2">
        <v>0</v>
      </c>
    </row>
    <row r="314" spans="1:12" x14ac:dyDescent="0.35">
      <c r="A314" s="4" t="s">
        <v>325</v>
      </c>
      <c r="B314" s="1" t="str">
        <f t="shared" si="8"/>
        <v>Lago Paranoa</v>
      </c>
      <c r="C314" s="1">
        <f t="shared" si="9"/>
        <v>-2492</v>
      </c>
      <c r="D314" s="2">
        <v>0</v>
      </c>
      <c r="E314" s="2">
        <v>2302.4499999999998</v>
      </c>
      <c r="F314" s="2">
        <v>0.21609999999999999</v>
      </c>
      <c r="G314" s="2">
        <v>5.0212000000000003</v>
      </c>
      <c r="H314" s="2">
        <v>13.9856</v>
      </c>
      <c r="I314" s="2">
        <v>1.272</v>
      </c>
      <c r="J314" s="2">
        <v>17.518699999999999</v>
      </c>
      <c r="K314" s="2">
        <v>2302.4499999999998</v>
      </c>
      <c r="L314" s="2">
        <v>0</v>
      </c>
    </row>
    <row r="315" spans="1:12" hidden="1" x14ac:dyDescent="0.35">
      <c r="A315" s="4" t="s">
        <v>326</v>
      </c>
      <c r="B315" s="1" t="str">
        <f t="shared" si="8"/>
        <v>Corumba IV</v>
      </c>
      <c r="C315" s="1">
        <f t="shared" si="9"/>
        <v>-2491</v>
      </c>
      <c r="D315" s="2">
        <v>0</v>
      </c>
      <c r="E315" s="2">
        <v>0</v>
      </c>
      <c r="F315" s="2">
        <v>0</v>
      </c>
      <c r="G315" s="2">
        <v>0.3629</v>
      </c>
      <c r="H315" s="2">
        <v>121.99160000000001</v>
      </c>
      <c r="I315" s="2">
        <v>4.2152000000000003</v>
      </c>
      <c r="J315" s="2">
        <v>118.13930000000001</v>
      </c>
      <c r="K315" s="2">
        <v>0</v>
      </c>
      <c r="L315" s="2">
        <v>0</v>
      </c>
    </row>
    <row r="316" spans="1:12" x14ac:dyDescent="0.35">
      <c r="A316" s="4" t="s">
        <v>327</v>
      </c>
      <c r="B316" s="1" t="str">
        <f t="shared" si="8"/>
        <v>Lago Paranoa</v>
      </c>
      <c r="C316" s="1">
        <f t="shared" si="9"/>
        <v>-2491</v>
      </c>
      <c r="D316" s="2">
        <v>0</v>
      </c>
      <c r="E316" s="2">
        <v>2302.4499999999998</v>
      </c>
      <c r="F316" s="2">
        <v>0.21629999999999999</v>
      </c>
      <c r="G316" s="2">
        <v>5.8211000000000004</v>
      </c>
      <c r="H316" s="2">
        <v>12.0213</v>
      </c>
      <c r="I316" s="2">
        <v>1.1927000000000001</v>
      </c>
      <c r="J316" s="2">
        <v>16.433399999999999</v>
      </c>
      <c r="K316" s="2">
        <v>2302.4499999999998</v>
      </c>
      <c r="L316" s="2">
        <v>0</v>
      </c>
    </row>
    <row r="317" spans="1:12" hidden="1" x14ac:dyDescent="0.35">
      <c r="A317" s="4" t="s">
        <v>328</v>
      </c>
      <c r="B317" s="1" t="str">
        <f t="shared" si="8"/>
        <v>Corumba IV</v>
      </c>
      <c r="C317" s="1">
        <f t="shared" si="9"/>
        <v>-2490</v>
      </c>
      <c r="D317" s="2">
        <v>0</v>
      </c>
      <c r="E317" s="2">
        <v>0</v>
      </c>
      <c r="F317" s="2">
        <v>0</v>
      </c>
      <c r="G317" s="2">
        <v>0.3629</v>
      </c>
      <c r="H317" s="2">
        <v>175.64779999999999</v>
      </c>
      <c r="I317" s="2">
        <v>4.2152000000000003</v>
      </c>
      <c r="J317" s="2">
        <v>171.7954</v>
      </c>
      <c r="K317" s="2">
        <v>0</v>
      </c>
      <c r="L317" s="2">
        <v>0</v>
      </c>
    </row>
    <row r="318" spans="1:12" x14ac:dyDescent="0.35">
      <c r="A318" s="4" t="s">
        <v>329</v>
      </c>
      <c r="B318" s="1" t="str">
        <f t="shared" si="8"/>
        <v>Lago Paranoa</v>
      </c>
      <c r="C318" s="1">
        <f t="shared" si="9"/>
        <v>-2490</v>
      </c>
      <c r="D318" s="2">
        <v>0</v>
      </c>
      <c r="E318" s="2">
        <v>2302.4499999999998</v>
      </c>
      <c r="F318" s="2">
        <v>0.21640000000000001</v>
      </c>
      <c r="G318" s="2">
        <v>5.9005999999999998</v>
      </c>
      <c r="H318" s="2">
        <v>13.257999999999999</v>
      </c>
      <c r="I318" s="2">
        <v>1.1927000000000001</v>
      </c>
      <c r="J318" s="2">
        <v>17.749500000000001</v>
      </c>
      <c r="K318" s="2">
        <v>2302.4499999999998</v>
      </c>
      <c r="L318" s="2">
        <v>0</v>
      </c>
    </row>
    <row r="319" spans="1:12" hidden="1" x14ac:dyDescent="0.35">
      <c r="A319" s="4" t="s">
        <v>330</v>
      </c>
      <c r="B319" s="1" t="str">
        <f t="shared" si="8"/>
        <v>Corumba IV</v>
      </c>
      <c r="C319" s="1">
        <f t="shared" si="9"/>
        <v>-2489</v>
      </c>
      <c r="D319" s="2">
        <v>0</v>
      </c>
      <c r="E319" s="2">
        <v>0</v>
      </c>
      <c r="F319" s="2">
        <v>0</v>
      </c>
      <c r="G319" s="2">
        <v>0.3629</v>
      </c>
      <c r="H319" s="2">
        <v>136.57769999999999</v>
      </c>
      <c r="I319" s="2">
        <v>4.2152000000000003</v>
      </c>
      <c r="J319" s="2">
        <v>132.7253</v>
      </c>
      <c r="K319" s="2">
        <v>0</v>
      </c>
      <c r="L319" s="2">
        <v>0</v>
      </c>
    </row>
    <row r="320" spans="1:12" x14ac:dyDescent="0.35">
      <c r="A320" s="4" t="s">
        <v>331</v>
      </c>
      <c r="B320" s="1" t="str">
        <f t="shared" si="8"/>
        <v>Lago Paranoa</v>
      </c>
      <c r="C320" s="1">
        <f t="shared" si="9"/>
        <v>-2489</v>
      </c>
      <c r="D320" s="2">
        <v>0</v>
      </c>
      <c r="E320" s="2">
        <v>2302.4499999999998</v>
      </c>
      <c r="F320" s="2">
        <v>0.21659999999999999</v>
      </c>
      <c r="G320" s="2">
        <v>6.9432999999999998</v>
      </c>
      <c r="H320" s="2">
        <v>13.4787</v>
      </c>
      <c r="I320" s="2">
        <v>1.1927000000000001</v>
      </c>
      <c r="J320" s="2">
        <v>19.012799999999999</v>
      </c>
      <c r="K320" s="2">
        <v>2302.4499999999998</v>
      </c>
      <c r="L320" s="2">
        <v>0</v>
      </c>
    </row>
    <row r="321" spans="1:12" hidden="1" x14ac:dyDescent="0.35">
      <c r="A321" s="4" t="s">
        <v>332</v>
      </c>
      <c r="B321" s="1" t="str">
        <f t="shared" si="8"/>
        <v>Corumba IV</v>
      </c>
      <c r="C321" s="1">
        <f t="shared" si="9"/>
        <v>-2488</v>
      </c>
      <c r="D321" s="2">
        <v>0</v>
      </c>
      <c r="E321" s="2">
        <v>0</v>
      </c>
      <c r="F321" s="2">
        <v>0</v>
      </c>
      <c r="G321" s="2">
        <v>0.3629</v>
      </c>
      <c r="H321" s="2">
        <v>137.7311</v>
      </c>
      <c r="I321" s="2">
        <v>4.1147999999999998</v>
      </c>
      <c r="J321" s="2">
        <v>133.97909999999999</v>
      </c>
      <c r="K321" s="2">
        <v>0</v>
      </c>
      <c r="L321" s="2">
        <v>0</v>
      </c>
    </row>
    <row r="322" spans="1:12" x14ac:dyDescent="0.35">
      <c r="A322" s="4" t="s">
        <v>333</v>
      </c>
      <c r="B322" s="1" t="str">
        <f t="shared" si="8"/>
        <v>Lago Paranoa</v>
      </c>
      <c r="C322" s="1">
        <f t="shared" si="9"/>
        <v>-2488</v>
      </c>
      <c r="D322" s="2">
        <v>0</v>
      </c>
      <c r="E322" s="2">
        <v>2302.4499999999998</v>
      </c>
      <c r="F322" s="2">
        <v>0.13150000000000001</v>
      </c>
      <c r="G322" s="2">
        <v>5.7621000000000002</v>
      </c>
      <c r="H322" s="2">
        <v>12.539099999999999</v>
      </c>
      <c r="I322" s="2">
        <v>1.1631</v>
      </c>
      <c r="J322" s="2">
        <v>17.006599999999999</v>
      </c>
      <c r="K322" s="2">
        <v>2302.4499999999998</v>
      </c>
      <c r="L322" s="2">
        <v>0</v>
      </c>
    </row>
    <row r="323" spans="1:12" hidden="1" x14ac:dyDescent="0.35">
      <c r="A323" s="4" t="s">
        <v>334</v>
      </c>
      <c r="B323" s="1" t="str">
        <f t="shared" ref="B323:B386" si="10">_xlfn.TEXTBEFORE(_xlfn.TEXTAFTER(A323,"["),"]")</f>
        <v>Corumba IV</v>
      </c>
      <c r="C323" s="1">
        <f t="shared" ref="C323:C386" si="11">--_xlfn.TEXTBEFORE(_xlfn.TEXTAFTER(A323,"Week "),":")</f>
        <v>-2487</v>
      </c>
      <c r="D323" s="2">
        <v>0</v>
      </c>
      <c r="E323" s="2">
        <v>0</v>
      </c>
      <c r="F323" s="2">
        <v>0</v>
      </c>
      <c r="G323" s="2">
        <v>1.3170999999999999</v>
      </c>
      <c r="H323" s="2">
        <v>157.91069999999999</v>
      </c>
      <c r="I323" s="2">
        <v>3.7570999999999999</v>
      </c>
      <c r="J323" s="2">
        <v>155.47059999999999</v>
      </c>
      <c r="K323" s="2">
        <v>0</v>
      </c>
      <c r="L323" s="2">
        <v>0</v>
      </c>
    </row>
    <row r="324" spans="1:12" x14ac:dyDescent="0.35">
      <c r="A324" s="4" t="s">
        <v>335</v>
      </c>
      <c r="B324" s="1" t="str">
        <f t="shared" si="10"/>
        <v>Lago Paranoa</v>
      </c>
      <c r="C324" s="1">
        <f t="shared" si="11"/>
        <v>-2487</v>
      </c>
      <c r="D324" s="2">
        <v>0</v>
      </c>
      <c r="E324" s="2">
        <v>2302.4499999999998</v>
      </c>
      <c r="F324" s="2">
        <v>0.13159999999999999</v>
      </c>
      <c r="G324" s="2">
        <v>5.8182</v>
      </c>
      <c r="H324" s="2">
        <v>15.465299999999999</v>
      </c>
      <c r="I324" s="2">
        <v>1.0602</v>
      </c>
      <c r="J324" s="2">
        <v>20.0916</v>
      </c>
      <c r="K324" s="2">
        <v>2302.4499999999998</v>
      </c>
      <c r="L324" s="2">
        <v>0</v>
      </c>
    </row>
    <row r="325" spans="1:12" hidden="1" x14ac:dyDescent="0.35">
      <c r="A325" s="4" t="s">
        <v>336</v>
      </c>
      <c r="B325" s="1" t="str">
        <f t="shared" si="10"/>
        <v>Corumba IV</v>
      </c>
      <c r="C325" s="1">
        <f t="shared" si="11"/>
        <v>-2486</v>
      </c>
      <c r="D325" s="2">
        <v>0</v>
      </c>
      <c r="E325" s="2">
        <v>0</v>
      </c>
      <c r="F325" s="2">
        <v>0</v>
      </c>
      <c r="G325" s="2">
        <v>5.2615999999999996</v>
      </c>
      <c r="H325" s="2">
        <v>182.26859999999999</v>
      </c>
      <c r="I325" s="2">
        <v>3.7570999999999999</v>
      </c>
      <c r="J325" s="2">
        <v>183.773</v>
      </c>
      <c r="K325" s="2">
        <v>0</v>
      </c>
      <c r="L325" s="2">
        <v>0</v>
      </c>
    </row>
    <row r="326" spans="1:12" x14ac:dyDescent="0.35">
      <c r="A326" s="4" t="s">
        <v>337</v>
      </c>
      <c r="B326" s="1" t="str">
        <f t="shared" si="10"/>
        <v>Lago Paranoa</v>
      </c>
      <c r="C326" s="1">
        <f t="shared" si="11"/>
        <v>-2486</v>
      </c>
      <c r="D326" s="2">
        <v>0</v>
      </c>
      <c r="E326" s="2">
        <v>2302.4499999999998</v>
      </c>
      <c r="F326" s="2">
        <v>0.1318</v>
      </c>
      <c r="G326" s="2">
        <v>5.7630999999999997</v>
      </c>
      <c r="H326" s="2">
        <v>14.0998</v>
      </c>
      <c r="I326" s="2">
        <v>1.0602</v>
      </c>
      <c r="J326" s="2">
        <v>18.6709</v>
      </c>
      <c r="K326" s="2">
        <v>2302.4499999999998</v>
      </c>
      <c r="L326" s="2">
        <v>0</v>
      </c>
    </row>
    <row r="327" spans="1:12" hidden="1" x14ac:dyDescent="0.35">
      <c r="A327" s="4" t="s">
        <v>338</v>
      </c>
      <c r="B327" s="1" t="str">
        <f t="shared" si="10"/>
        <v>Corumba IV</v>
      </c>
      <c r="C327" s="1">
        <f t="shared" si="11"/>
        <v>-2485</v>
      </c>
      <c r="D327" s="2">
        <v>0</v>
      </c>
      <c r="E327" s="2">
        <v>0</v>
      </c>
      <c r="F327" s="2">
        <v>0</v>
      </c>
      <c r="G327" s="2">
        <v>3.9472</v>
      </c>
      <c r="H327" s="2">
        <v>151.0514</v>
      </c>
      <c r="I327" s="2">
        <v>3.7570999999999999</v>
      </c>
      <c r="J327" s="2">
        <v>151.2415</v>
      </c>
      <c r="K327" s="2">
        <v>0</v>
      </c>
      <c r="L327" s="2">
        <v>0</v>
      </c>
    </row>
    <row r="328" spans="1:12" x14ac:dyDescent="0.35">
      <c r="A328" s="4" t="s">
        <v>339</v>
      </c>
      <c r="B328" s="1" t="str">
        <f t="shared" si="10"/>
        <v>Lago Paranoa</v>
      </c>
      <c r="C328" s="1">
        <f t="shared" si="11"/>
        <v>-2485</v>
      </c>
      <c r="D328" s="2">
        <v>0</v>
      </c>
      <c r="E328" s="2">
        <v>2302.4499999999998</v>
      </c>
      <c r="F328" s="2">
        <v>0.13189999999999999</v>
      </c>
      <c r="G328" s="2">
        <v>6.6764999999999999</v>
      </c>
      <c r="H328" s="2">
        <v>13.821099999999999</v>
      </c>
      <c r="I328" s="2">
        <v>1.0602</v>
      </c>
      <c r="J328" s="2">
        <v>19.305499999999999</v>
      </c>
      <c r="K328" s="2">
        <v>2302.4499999999998</v>
      </c>
      <c r="L328" s="2">
        <v>0</v>
      </c>
    </row>
    <row r="329" spans="1:12" hidden="1" x14ac:dyDescent="0.35">
      <c r="A329" s="4" t="s">
        <v>340</v>
      </c>
      <c r="B329" s="1" t="str">
        <f t="shared" si="10"/>
        <v>Corumba IV</v>
      </c>
      <c r="C329" s="1">
        <f t="shared" si="11"/>
        <v>-2484</v>
      </c>
      <c r="D329" s="2">
        <v>0</v>
      </c>
      <c r="E329" s="2">
        <v>0</v>
      </c>
      <c r="F329" s="2">
        <v>0</v>
      </c>
      <c r="G329" s="2">
        <v>5.4424000000000001</v>
      </c>
      <c r="H329" s="2">
        <v>186.89789999999999</v>
      </c>
      <c r="I329" s="2">
        <v>3.5295999999999998</v>
      </c>
      <c r="J329" s="2">
        <v>188.81059999999999</v>
      </c>
      <c r="K329" s="2">
        <v>0</v>
      </c>
      <c r="L329" s="2">
        <v>0</v>
      </c>
    </row>
    <row r="330" spans="1:12" x14ac:dyDescent="0.35">
      <c r="A330" s="4" t="s">
        <v>341</v>
      </c>
      <c r="B330" s="1" t="str">
        <f t="shared" si="10"/>
        <v>Lago Paranoa</v>
      </c>
      <c r="C330" s="1">
        <f t="shared" si="11"/>
        <v>-2484</v>
      </c>
      <c r="D330" s="2">
        <v>0</v>
      </c>
      <c r="E330" s="2">
        <v>2302.4499999999998</v>
      </c>
      <c r="F330" s="2">
        <v>0.13200000000000001</v>
      </c>
      <c r="G330" s="2">
        <v>7.1875</v>
      </c>
      <c r="H330" s="2">
        <v>21.6676</v>
      </c>
      <c r="I330" s="2">
        <v>0.97699999999999998</v>
      </c>
      <c r="J330" s="2">
        <v>27.745999999999999</v>
      </c>
      <c r="K330" s="2">
        <v>2302.4499999999998</v>
      </c>
      <c r="L330" s="2">
        <v>0</v>
      </c>
    </row>
    <row r="331" spans="1:12" hidden="1" x14ac:dyDescent="0.35">
      <c r="A331" s="4" t="s">
        <v>342</v>
      </c>
      <c r="B331" s="1" t="str">
        <f t="shared" si="10"/>
        <v>Corumba IV</v>
      </c>
      <c r="C331" s="1">
        <f t="shared" si="11"/>
        <v>-2483</v>
      </c>
      <c r="D331" s="2">
        <v>0</v>
      </c>
      <c r="E331" s="2">
        <v>0</v>
      </c>
      <c r="F331" s="2">
        <v>0</v>
      </c>
      <c r="G331" s="2">
        <v>5.0579000000000001</v>
      </c>
      <c r="H331" s="2">
        <v>179.7362</v>
      </c>
      <c r="I331" s="2">
        <v>2.9609999999999999</v>
      </c>
      <c r="J331" s="2">
        <v>181.8331</v>
      </c>
      <c r="K331" s="2">
        <v>0</v>
      </c>
      <c r="L331" s="2">
        <v>0</v>
      </c>
    </row>
    <row r="332" spans="1:12" x14ac:dyDescent="0.35">
      <c r="A332" s="4" t="s">
        <v>343</v>
      </c>
      <c r="B332" s="1" t="str">
        <f t="shared" si="10"/>
        <v>Lago Paranoa</v>
      </c>
      <c r="C332" s="1">
        <f t="shared" si="11"/>
        <v>-2483</v>
      </c>
      <c r="D332" s="2">
        <v>0</v>
      </c>
      <c r="E332" s="2">
        <v>2302.4499999999998</v>
      </c>
      <c r="F332" s="2">
        <v>0.153</v>
      </c>
      <c r="G332" s="2">
        <v>5.0044000000000004</v>
      </c>
      <c r="H332" s="2">
        <v>13.870900000000001</v>
      </c>
      <c r="I332" s="2">
        <v>0.76880000000000004</v>
      </c>
      <c r="J332" s="2">
        <v>17.953399999999998</v>
      </c>
      <c r="K332" s="2">
        <v>2302.4499999999998</v>
      </c>
      <c r="L332" s="2">
        <v>0</v>
      </c>
    </row>
    <row r="333" spans="1:12" hidden="1" x14ac:dyDescent="0.35">
      <c r="A333" s="4" t="s">
        <v>344</v>
      </c>
      <c r="B333" s="1" t="str">
        <f t="shared" si="10"/>
        <v>Corumba IV</v>
      </c>
      <c r="C333" s="1">
        <f t="shared" si="11"/>
        <v>-2482</v>
      </c>
      <c r="D333" s="2">
        <v>0</v>
      </c>
      <c r="E333" s="2">
        <v>0</v>
      </c>
      <c r="F333" s="2">
        <v>0</v>
      </c>
      <c r="G333" s="2">
        <v>3.7532000000000001</v>
      </c>
      <c r="H333" s="2">
        <v>149.01410000000001</v>
      </c>
      <c r="I333" s="2">
        <v>2.9609999999999999</v>
      </c>
      <c r="J333" s="2">
        <v>149.80629999999999</v>
      </c>
      <c r="K333" s="2">
        <v>0</v>
      </c>
      <c r="L333" s="2">
        <v>0</v>
      </c>
    </row>
    <row r="334" spans="1:12" x14ac:dyDescent="0.35">
      <c r="A334" s="4" t="s">
        <v>345</v>
      </c>
      <c r="B334" s="1" t="str">
        <f t="shared" si="10"/>
        <v>Lago Paranoa</v>
      </c>
      <c r="C334" s="1">
        <f t="shared" si="11"/>
        <v>-2482</v>
      </c>
      <c r="D334" s="2">
        <v>0</v>
      </c>
      <c r="E334" s="2">
        <v>2302.4499999999998</v>
      </c>
      <c r="F334" s="2">
        <v>0.1532</v>
      </c>
      <c r="G334" s="2">
        <v>4.6136999999999997</v>
      </c>
      <c r="H334" s="2">
        <v>12.527900000000001</v>
      </c>
      <c r="I334" s="2">
        <v>0.76880000000000004</v>
      </c>
      <c r="J334" s="2">
        <v>16.2196</v>
      </c>
      <c r="K334" s="2">
        <v>2302.4499999999998</v>
      </c>
      <c r="L334" s="2">
        <v>0</v>
      </c>
    </row>
    <row r="335" spans="1:12" hidden="1" x14ac:dyDescent="0.35">
      <c r="A335" s="4" t="s">
        <v>346</v>
      </c>
      <c r="B335" s="1" t="str">
        <f t="shared" si="10"/>
        <v>Corumba IV</v>
      </c>
      <c r="C335" s="1">
        <f t="shared" si="11"/>
        <v>-2481</v>
      </c>
      <c r="D335" s="2">
        <v>0</v>
      </c>
      <c r="E335" s="2">
        <v>0</v>
      </c>
      <c r="F335" s="2">
        <v>0</v>
      </c>
      <c r="G335" s="2">
        <v>2.9455</v>
      </c>
      <c r="H335" s="2">
        <v>129.65700000000001</v>
      </c>
      <c r="I335" s="2">
        <v>2.9609999999999999</v>
      </c>
      <c r="J335" s="2">
        <v>129.64150000000001</v>
      </c>
      <c r="K335" s="2">
        <v>0</v>
      </c>
      <c r="L335" s="2">
        <v>0</v>
      </c>
    </row>
    <row r="336" spans="1:12" x14ac:dyDescent="0.35">
      <c r="A336" s="4" t="s">
        <v>347</v>
      </c>
      <c r="B336" s="1" t="str">
        <f t="shared" si="10"/>
        <v>Lago Paranoa</v>
      </c>
      <c r="C336" s="1">
        <f t="shared" si="11"/>
        <v>-2481</v>
      </c>
      <c r="D336" s="2">
        <v>0</v>
      </c>
      <c r="E336" s="2">
        <v>2302.4499999999998</v>
      </c>
      <c r="F336" s="2">
        <v>0.15329999999999999</v>
      </c>
      <c r="G336" s="2">
        <v>4.6135000000000002</v>
      </c>
      <c r="H336" s="2">
        <v>10.6829</v>
      </c>
      <c r="I336" s="2">
        <v>0.76880000000000004</v>
      </c>
      <c r="J336" s="2">
        <v>14.3742</v>
      </c>
      <c r="K336" s="2">
        <v>2302.4499999999998</v>
      </c>
      <c r="L336" s="2">
        <v>0</v>
      </c>
    </row>
    <row r="337" spans="1:12" hidden="1" x14ac:dyDescent="0.35">
      <c r="A337" s="4" t="s">
        <v>348</v>
      </c>
      <c r="B337" s="1" t="str">
        <f t="shared" si="10"/>
        <v>Corumba IV</v>
      </c>
      <c r="C337" s="1">
        <f t="shared" si="11"/>
        <v>-2480</v>
      </c>
      <c r="D337" s="2">
        <v>0</v>
      </c>
      <c r="E337" s="2">
        <v>0</v>
      </c>
      <c r="F337" s="2">
        <v>0</v>
      </c>
      <c r="G337" s="2">
        <v>1.4801</v>
      </c>
      <c r="H337" s="2">
        <v>98.159000000000006</v>
      </c>
      <c r="I337" s="2">
        <v>3.31</v>
      </c>
      <c r="J337" s="2">
        <v>96.3292</v>
      </c>
      <c r="K337" s="2">
        <v>0</v>
      </c>
      <c r="L337" s="2">
        <v>0</v>
      </c>
    </row>
    <row r="338" spans="1:12" x14ac:dyDescent="0.35">
      <c r="A338" s="4" t="s">
        <v>349</v>
      </c>
      <c r="B338" s="1" t="str">
        <f t="shared" si="10"/>
        <v>Lago Paranoa</v>
      </c>
      <c r="C338" s="1">
        <f t="shared" si="11"/>
        <v>-2480</v>
      </c>
      <c r="D338" s="2">
        <v>0</v>
      </c>
      <c r="E338" s="2">
        <v>2302.4499999999998</v>
      </c>
      <c r="F338" s="2">
        <v>0.1535</v>
      </c>
      <c r="G338" s="2">
        <v>4.2489999999999997</v>
      </c>
      <c r="H338" s="2">
        <v>9.6306999999999992</v>
      </c>
      <c r="I338" s="2">
        <v>0.83750000000000002</v>
      </c>
      <c r="J338" s="2">
        <v>12.8888</v>
      </c>
      <c r="K338" s="2">
        <v>2302.4499999999998</v>
      </c>
      <c r="L338" s="2">
        <v>0</v>
      </c>
    </row>
    <row r="339" spans="1:12" hidden="1" x14ac:dyDescent="0.35">
      <c r="A339" s="4" t="s">
        <v>350</v>
      </c>
      <c r="B339" s="1" t="str">
        <f t="shared" si="10"/>
        <v>Corumba IV</v>
      </c>
      <c r="C339" s="1">
        <f t="shared" si="11"/>
        <v>-2479</v>
      </c>
      <c r="D339" s="2">
        <v>0</v>
      </c>
      <c r="E339" s="2">
        <v>0</v>
      </c>
      <c r="F339" s="2">
        <v>0</v>
      </c>
      <c r="G339" s="2">
        <v>0.69540000000000002</v>
      </c>
      <c r="H339" s="2">
        <v>85.418499999999995</v>
      </c>
      <c r="I339" s="2">
        <v>3.5207999999999999</v>
      </c>
      <c r="J339" s="2">
        <v>82.593100000000007</v>
      </c>
      <c r="K339" s="2">
        <v>0</v>
      </c>
      <c r="L339" s="2">
        <v>0</v>
      </c>
    </row>
    <row r="340" spans="1:12" x14ac:dyDescent="0.35">
      <c r="A340" s="4" t="s">
        <v>351</v>
      </c>
      <c r="B340" s="1" t="str">
        <f t="shared" si="10"/>
        <v>Lago Paranoa</v>
      </c>
      <c r="C340" s="1">
        <f t="shared" si="11"/>
        <v>-2479</v>
      </c>
      <c r="D340" s="2">
        <v>0</v>
      </c>
      <c r="E340" s="2">
        <v>2302.4499999999998</v>
      </c>
      <c r="F340" s="2">
        <v>0.14549999999999999</v>
      </c>
      <c r="G340" s="2">
        <v>3.4165000000000001</v>
      </c>
      <c r="H340" s="2">
        <v>9.2803000000000004</v>
      </c>
      <c r="I340" s="2">
        <v>0.97460000000000002</v>
      </c>
      <c r="J340" s="2">
        <v>11.576700000000001</v>
      </c>
      <c r="K340" s="2">
        <v>2302.4499999999998</v>
      </c>
      <c r="L340" s="2">
        <v>0</v>
      </c>
    </row>
    <row r="341" spans="1:12" hidden="1" x14ac:dyDescent="0.35">
      <c r="A341" s="4" t="s">
        <v>352</v>
      </c>
      <c r="B341" s="1" t="str">
        <f t="shared" si="10"/>
        <v>Corumba IV</v>
      </c>
      <c r="C341" s="1">
        <f t="shared" si="11"/>
        <v>-2478</v>
      </c>
      <c r="D341" s="2">
        <v>0</v>
      </c>
      <c r="E341" s="2">
        <v>0</v>
      </c>
      <c r="F341" s="2">
        <v>0</v>
      </c>
      <c r="G341" s="2">
        <v>0.62629999999999997</v>
      </c>
      <c r="H341" s="2">
        <v>76.2834</v>
      </c>
      <c r="I341" s="2">
        <v>3.9243999999999999</v>
      </c>
      <c r="J341" s="2">
        <v>72.985399999999998</v>
      </c>
      <c r="K341" s="2">
        <v>0</v>
      </c>
      <c r="L341" s="2">
        <v>0</v>
      </c>
    </row>
    <row r="342" spans="1:12" x14ac:dyDescent="0.35">
      <c r="A342" s="4" t="s">
        <v>353</v>
      </c>
      <c r="B342" s="1" t="str">
        <f t="shared" si="10"/>
        <v>Lago Paranoa</v>
      </c>
      <c r="C342" s="1">
        <f t="shared" si="11"/>
        <v>-2478</v>
      </c>
      <c r="D342" s="2">
        <v>0</v>
      </c>
      <c r="E342" s="2">
        <v>2302.4499999999998</v>
      </c>
      <c r="F342" s="2">
        <v>0.14560000000000001</v>
      </c>
      <c r="G342" s="2">
        <v>3.5655000000000001</v>
      </c>
      <c r="H342" s="2">
        <v>8.9808000000000003</v>
      </c>
      <c r="I342" s="2">
        <v>0.99870000000000003</v>
      </c>
      <c r="J342" s="2">
        <v>11.401999999999999</v>
      </c>
      <c r="K342" s="2">
        <v>2302.4499999999998</v>
      </c>
      <c r="L342" s="2">
        <v>0</v>
      </c>
    </row>
    <row r="343" spans="1:12" hidden="1" x14ac:dyDescent="0.35">
      <c r="A343" s="4" t="s">
        <v>354</v>
      </c>
      <c r="B343" s="1" t="str">
        <f t="shared" si="10"/>
        <v>Corumba IV</v>
      </c>
      <c r="C343" s="1">
        <f t="shared" si="11"/>
        <v>-2477</v>
      </c>
      <c r="D343" s="2">
        <v>0</v>
      </c>
      <c r="E343" s="2">
        <v>0</v>
      </c>
      <c r="F343" s="2">
        <v>0</v>
      </c>
      <c r="G343" s="2">
        <v>0.38269999999999998</v>
      </c>
      <c r="H343" s="2">
        <v>70.828999999999994</v>
      </c>
      <c r="I343" s="2">
        <v>3.9243999999999999</v>
      </c>
      <c r="J343" s="2">
        <v>67.287400000000005</v>
      </c>
      <c r="K343" s="2">
        <v>0</v>
      </c>
      <c r="L343" s="2">
        <v>0</v>
      </c>
    </row>
    <row r="344" spans="1:12" x14ac:dyDescent="0.35">
      <c r="A344" s="4" t="s">
        <v>355</v>
      </c>
      <c r="B344" s="1" t="str">
        <f t="shared" si="10"/>
        <v>Lago Paranoa</v>
      </c>
      <c r="C344" s="1">
        <f t="shared" si="11"/>
        <v>-2477</v>
      </c>
      <c r="D344" s="2">
        <v>0</v>
      </c>
      <c r="E344" s="2">
        <v>2302.4499999999998</v>
      </c>
      <c r="F344" s="2">
        <v>0.14580000000000001</v>
      </c>
      <c r="G344" s="2">
        <v>3.4618000000000002</v>
      </c>
      <c r="H344" s="2">
        <v>7.5006000000000004</v>
      </c>
      <c r="I344" s="2">
        <v>0.99870000000000003</v>
      </c>
      <c r="J344" s="2">
        <v>9.8178999999999998</v>
      </c>
      <c r="K344" s="2">
        <v>2302.4499999999998</v>
      </c>
      <c r="L344" s="2">
        <v>0</v>
      </c>
    </row>
    <row r="345" spans="1:12" hidden="1" x14ac:dyDescent="0.35">
      <c r="A345" s="4" t="s">
        <v>356</v>
      </c>
      <c r="B345" s="1" t="str">
        <f t="shared" si="10"/>
        <v>Corumba IV</v>
      </c>
      <c r="C345" s="1">
        <f t="shared" si="11"/>
        <v>-2476</v>
      </c>
      <c r="D345" s="2">
        <v>0</v>
      </c>
      <c r="E345" s="2">
        <v>0</v>
      </c>
      <c r="F345" s="2">
        <v>0</v>
      </c>
      <c r="G345" s="2">
        <v>0.50409999999999999</v>
      </c>
      <c r="H345" s="2">
        <v>69.939899999999994</v>
      </c>
      <c r="I345" s="2">
        <v>3.9243999999999999</v>
      </c>
      <c r="J345" s="2">
        <v>66.519599999999997</v>
      </c>
      <c r="K345" s="2">
        <v>0</v>
      </c>
      <c r="L345" s="2">
        <v>0</v>
      </c>
    </row>
    <row r="346" spans="1:12" x14ac:dyDescent="0.35">
      <c r="A346" s="4" t="s">
        <v>357</v>
      </c>
      <c r="B346" s="1" t="str">
        <f t="shared" si="10"/>
        <v>Lago Paranoa</v>
      </c>
      <c r="C346" s="1">
        <f t="shared" si="11"/>
        <v>-2476</v>
      </c>
      <c r="D346" s="2">
        <v>0</v>
      </c>
      <c r="E346" s="2">
        <v>2302.4499999999998</v>
      </c>
      <c r="F346" s="2">
        <v>0.1459</v>
      </c>
      <c r="G346" s="2">
        <v>3.3020999999999998</v>
      </c>
      <c r="H346" s="2">
        <v>7.0541999999999998</v>
      </c>
      <c r="I346" s="2">
        <v>0.99870000000000003</v>
      </c>
      <c r="J346" s="2">
        <v>9.2117000000000004</v>
      </c>
      <c r="K346" s="2">
        <v>2302.4499999999998</v>
      </c>
      <c r="L346" s="2">
        <v>0</v>
      </c>
    </row>
    <row r="347" spans="1:12" hidden="1" x14ac:dyDescent="0.35">
      <c r="A347" s="4" t="s">
        <v>358</v>
      </c>
      <c r="B347" s="1" t="str">
        <f t="shared" si="10"/>
        <v>Corumba IV</v>
      </c>
      <c r="C347" s="1">
        <f t="shared" si="11"/>
        <v>-2475</v>
      </c>
      <c r="D347" s="2">
        <v>0</v>
      </c>
      <c r="E347" s="2">
        <v>0</v>
      </c>
      <c r="F347" s="2">
        <v>0</v>
      </c>
      <c r="G347" s="2">
        <v>0.3629</v>
      </c>
      <c r="H347" s="2">
        <v>66.988500000000002</v>
      </c>
      <c r="I347" s="2">
        <v>4.2992999999999997</v>
      </c>
      <c r="J347" s="2">
        <v>63.052100000000003</v>
      </c>
      <c r="K347" s="2">
        <v>0</v>
      </c>
      <c r="L347" s="2">
        <v>0</v>
      </c>
    </row>
    <row r="348" spans="1:12" x14ac:dyDescent="0.35">
      <c r="A348" s="4" t="s">
        <v>359</v>
      </c>
      <c r="B348" s="1" t="str">
        <f t="shared" si="10"/>
        <v>Lago Paranoa</v>
      </c>
      <c r="C348" s="1">
        <f t="shared" si="11"/>
        <v>-2475</v>
      </c>
      <c r="D348" s="2">
        <v>0</v>
      </c>
      <c r="E348" s="2">
        <v>2302.4499999999998</v>
      </c>
      <c r="F348" s="2">
        <v>0.17480000000000001</v>
      </c>
      <c r="G348" s="2">
        <v>2.9319000000000002</v>
      </c>
      <c r="H348" s="2">
        <v>6.5252999999999997</v>
      </c>
      <c r="I348" s="2">
        <v>1.0036</v>
      </c>
      <c r="J348" s="2">
        <v>8.2787000000000006</v>
      </c>
      <c r="K348" s="2">
        <v>2302.4499999999998</v>
      </c>
      <c r="L348" s="2">
        <v>0</v>
      </c>
    </row>
    <row r="349" spans="1:12" hidden="1" x14ac:dyDescent="0.35">
      <c r="A349" s="4" t="s">
        <v>360</v>
      </c>
      <c r="B349" s="1" t="str">
        <f t="shared" si="10"/>
        <v>Corumba IV</v>
      </c>
      <c r="C349" s="1">
        <f t="shared" si="11"/>
        <v>-2474</v>
      </c>
      <c r="D349" s="2">
        <v>0</v>
      </c>
      <c r="E349" s="2">
        <v>0</v>
      </c>
      <c r="F349" s="2">
        <v>0</v>
      </c>
      <c r="G349" s="2">
        <v>0.3629</v>
      </c>
      <c r="H349" s="2">
        <v>62.530200000000001</v>
      </c>
      <c r="I349" s="2">
        <v>4.4827000000000004</v>
      </c>
      <c r="J349" s="2">
        <v>58.410299999999999</v>
      </c>
      <c r="K349" s="2">
        <v>0</v>
      </c>
      <c r="L349" s="2">
        <v>0</v>
      </c>
    </row>
    <row r="350" spans="1:12" x14ac:dyDescent="0.35">
      <c r="A350" s="4" t="s">
        <v>361</v>
      </c>
      <c r="B350" s="1" t="str">
        <f t="shared" si="10"/>
        <v>Lago Paranoa</v>
      </c>
      <c r="C350" s="1">
        <f t="shared" si="11"/>
        <v>-2474</v>
      </c>
      <c r="D350" s="2">
        <v>0</v>
      </c>
      <c r="E350" s="2">
        <v>2302.4499999999998</v>
      </c>
      <c r="F350" s="2">
        <v>0.17499999999999999</v>
      </c>
      <c r="G350" s="2">
        <v>2.8380000000000001</v>
      </c>
      <c r="H350" s="2">
        <v>6.3174999999999999</v>
      </c>
      <c r="I350" s="2">
        <v>0.92759999999999998</v>
      </c>
      <c r="J350" s="2">
        <v>8.0528999999999993</v>
      </c>
      <c r="K350" s="2">
        <v>2302.4499999999998</v>
      </c>
      <c r="L350" s="2">
        <v>0</v>
      </c>
    </row>
    <row r="351" spans="1:12" hidden="1" x14ac:dyDescent="0.35">
      <c r="A351" s="4" t="s">
        <v>362</v>
      </c>
      <c r="B351" s="1" t="str">
        <f t="shared" si="10"/>
        <v>Corumba IV</v>
      </c>
      <c r="C351" s="1">
        <f t="shared" si="11"/>
        <v>-2473</v>
      </c>
      <c r="D351" s="2">
        <v>0</v>
      </c>
      <c r="E351" s="2">
        <v>0</v>
      </c>
      <c r="F351" s="2">
        <v>0</v>
      </c>
      <c r="G351" s="2">
        <v>0.3629</v>
      </c>
      <c r="H351" s="2">
        <v>56.719099999999997</v>
      </c>
      <c r="I351" s="2">
        <v>4.4095000000000004</v>
      </c>
      <c r="J351" s="2">
        <v>52.672499999999999</v>
      </c>
      <c r="K351" s="2">
        <v>0</v>
      </c>
      <c r="L351" s="2">
        <v>0</v>
      </c>
    </row>
    <row r="352" spans="1:12" x14ac:dyDescent="0.35">
      <c r="A352" s="4" t="s">
        <v>363</v>
      </c>
      <c r="B352" s="1" t="str">
        <f t="shared" si="10"/>
        <v>Lago Paranoa</v>
      </c>
      <c r="C352" s="1">
        <f t="shared" si="11"/>
        <v>-2473</v>
      </c>
      <c r="D352" s="2">
        <v>0</v>
      </c>
      <c r="E352" s="2">
        <v>2302.4499999999998</v>
      </c>
      <c r="F352" s="2">
        <v>0.17510000000000001</v>
      </c>
      <c r="G352" s="2">
        <v>2.7999000000000001</v>
      </c>
      <c r="H352" s="2">
        <v>6.1311</v>
      </c>
      <c r="I352" s="2">
        <v>0.86799999999999999</v>
      </c>
      <c r="J352" s="2">
        <v>7.8879000000000001</v>
      </c>
      <c r="K352" s="2">
        <v>2302.4499999999998</v>
      </c>
      <c r="L352" s="2">
        <v>0</v>
      </c>
    </row>
    <row r="353" spans="1:12" hidden="1" x14ac:dyDescent="0.35">
      <c r="A353" s="4" t="s">
        <v>364</v>
      </c>
      <c r="B353" s="1" t="str">
        <f t="shared" si="10"/>
        <v>Corumba IV</v>
      </c>
      <c r="C353" s="1">
        <f t="shared" si="11"/>
        <v>-2472</v>
      </c>
      <c r="D353" s="2">
        <v>0</v>
      </c>
      <c r="E353" s="2">
        <v>0</v>
      </c>
      <c r="F353" s="2">
        <v>0</v>
      </c>
      <c r="G353" s="2">
        <v>0.3629</v>
      </c>
      <c r="H353" s="2">
        <v>53.790999999999997</v>
      </c>
      <c r="I353" s="2">
        <v>4.4095000000000004</v>
      </c>
      <c r="J353" s="2">
        <v>49.744399999999999</v>
      </c>
      <c r="K353" s="2">
        <v>0</v>
      </c>
      <c r="L353" s="2">
        <v>0</v>
      </c>
    </row>
    <row r="354" spans="1:12" x14ac:dyDescent="0.35">
      <c r="A354" s="4" t="s">
        <v>365</v>
      </c>
      <c r="B354" s="1" t="str">
        <f t="shared" si="10"/>
        <v>Lago Paranoa</v>
      </c>
      <c r="C354" s="1">
        <f t="shared" si="11"/>
        <v>-2472</v>
      </c>
      <c r="D354" s="2">
        <v>0</v>
      </c>
      <c r="E354" s="2">
        <v>2302.4499999999998</v>
      </c>
      <c r="F354" s="2">
        <v>0.17530000000000001</v>
      </c>
      <c r="G354" s="2">
        <v>2.73</v>
      </c>
      <c r="H354" s="2">
        <v>5.9333</v>
      </c>
      <c r="I354" s="2">
        <v>0.86799999999999999</v>
      </c>
      <c r="J354" s="2">
        <v>7.62</v>
      </c>
      <c r="K354" s="2">
        <v>2302.4499999999998</v>
      </c>
      <c r="L354" s="2">
        <v>0</v>
      </c>
    </row>
    <row r="355" spans="1:12" hidden="1" x14ac:dyDescent="0.35">
      <c r="A355" s="4" t="s">
        <v>366</v>
      </c>
      <c r="B355" s="1" t="str">
        <f t="shared" si="10"/>
        <v>Corumba IV</v>
      </c>
      <c r="C355" s="1">
        <f t="shared" si="11"/>
        <v>-2471</v>
      </c>
      <c r="D355" s="2">
        <v>0</v>
      </c>
      <c r="E355" s="2">
        <v>0</v>
      </c>
      <c r="F355" s="2">
        <v>0</v>
      </c>
      <c r="G355" s="2">
        <v>0.3629</v>
      </c>
      <c r="H355" s="2">
        <v>56.298200000000001</v>
      </c>
      <c r="I355" s="2">
        <v>4.0750000000000002</v>
      </c>
      <c r="J355" s="2">
        <v>52.586100000000002</v>
      </c>
      <c r="K355" s="2">
        <v>0</v>
      </c>
      <c r="L355" s="2">
        <v>0</v>
      </c>
    </row>
    <row r="356" spans="1:12" x14ac:dyDescent="0.35">
      <c r="A356" s="4" t="s">
        <v>367</v>
      </c>
      <c r="B356" s="1" t="str">
        <f t="shared" si="10"/>
        <v>Lago Paranoa</v>
      </c>
      <c r="C356" s="1">
        <f t="shared" si="11"/>
        <v>-2471</v>
      </c>
      <c r="D356" s="2">
        <v>0</v>
      </c>
      <c r="E356" s="2">
        <v>2302.4499999999998</v>
      </c>
      <c r="F356" s="2">
        <v>0.1754</v>
      </c>
      <c r="G356" s="2">
        <v>2.9287999999999998</v>
      </c>
      <c r="H356" s="2">
        <v>6.9198000000000004</v>
      </c>
      <c r="I356" s="2">
        <v>0.84130000000000005</v>
      </c>
      <c r="J356" s="2">
        <v>8.8318999999999992</v>
      </c>
      <c r="K356" s="2">
        <v>2302.4499999999998</v>
      </c>
      <c r="L356" s="2">
        <v>0</v>
      </c>
    </row>
    <row r="357" spans="1:12" hidden="1" x14ac:dyDescent="0.35">
      <c r="A357" s="4" t="s">
        <v>368</v>
      </c>
      <c r="B357" s="1" t="str">
        <f t="shared" si="10"/>
        <v>Corumba IV</v>
      </c>
      <c r="C357" s="1">
        <f t="shared" si="11"/>
        <v>-2470</v>
      </c>
      <c r="D357" s="2">
        <v>0</v>
      </c>
      <c r="E357" s="2">
        <v>0</v>
      </c>
      <c r="F357" s="2">
        <v>0</v>
      </c>
      <c r="G357" s="2">
        <v>0.3629</v>
      </c>
      <c r="H357" s="2">
        <v>50.552199999999999</v>
      </c>
      <c r="I357" s="2">
        <v>3.4424999999999999</v>
      </c>
      <c r="J357" s="2">
        <v>47.4726</v>
      </c>
      <c r="K357" s="2">
        <v>0</v>
      </c>
      <c r="L357" s="2">
        <v>0</v>
      </c>
    </row>
    <row r="358" spans="1:12" x14ac:dyDescent="0.35">
      <c r="A358" s="4" t="s">
        <v>369</v>
      </c>
      <c r="B358" s="1" t="str">
        <f t="shared" si="10"/>
        <v>Lago Paranoa</v>
      </c>
      <c r="C358" s="1">
        <f t="shared" si="11"/>
        <v>-2470</v>
      </c>
      <c r="D358" s="2">
        <v>0</v>
      </c>
      <c r="E358" s="2">
        <v>2302.4499999999998</v>
      </c>
      <c r="F358" s="2">
        <v>0.19139999999999999</v>
      </c>
      <c r="G358" s="2">
        <v>2.9516</v>
      </c>
      <c r="H358" s="2">
        <v>6.4268000000000001</v>
      </c>
      <c r="I358" s="2">
        <v>0.82899999999999996</v>
      </c>
      <c r="J358" s="2">
        <v>8.3579000000000008</v>
      </c>
      <c r="K358" s="2">
        <v>2302.4499999999998</v>
      </c>
      <c r="L358" s="2">
        <v>0</v>
      </c>
    </row>
    <row r="359" spans="1:12" hidden="1" x14ac:dyDescent="0.35">
      <c r="A359" s="4" t="s">
        <v>370</v>
      </c>
      <c r="B359" s="1" t="str">
        <f t="shared" si="10"/>
        <v>Corumba IV</v>
      </c>
      <c r="C359" s="1">
        <f t="shared" si="11"/>
        <v>-2469</v>
      </c>
      <c r="D359" s="2">
        <v>0</v>
      </c>
      <c r="E359" s="2">
        <v>0</v>
      </c>
      <c r="F359" s="2">
        <v>0</v>
      </c>
      <c r="G359" s="2">
        <v>0.3629</v>
      </c>
      <c r="H359" s="2">
        <v>46.207599999999999</v>
      </c>
      <c r="I359" s="2">
        <v>4.6647999999999996</v>
      </c>
      <c r="J359" s="2">
        <v>41.9056</v>
      </c>
      <c r="K359" s="2">
        <v>0</v>
      </c>
      <c r="L359" s="2">
        <v>0</v>
      </c>
    </row>
    <row r="360" spans="1:12" x14ac:dyDescent="0.35">
      <c r="A360" s="4" t="s">
        <v>371</v>
      </c>
      <c r="B360" s="1" t="str">
        <f t="shared" si="10"/>
        <v>Lago Paranoa</v>
      </c>
      <c r="C360" s="1">
        <f t="shared" si="11"/>
        <v>-2469</v>
      </c>
      <c r="D360" s="2">
        <v>0</v>
      </c>
      <c r="E360" s="2">
        <v>2302.4499999999998</v>
      </c>
      <c r="F360" s="2">
        <v>0.1915</v>
      </c>
      <c r="G360" s="2">
        <v>2.9024000000000001</v>
      </c>
      <c r="H360" s="2">
        <v>6.2332000000000001</v>
      </c>
      <c r="I360" s="2">
        <v>1.1564000000000001</v>
      </c>
      <c r="J360" s="2">
        <v>7.7876000000000003</v>
      </c>
      <c r="K360" s="2">
        <v>2302.4499999999998</v>
      </c>
      <c r="L360" s="2">
        <v>0</v>
      </c>
    </row>
    <row r="361" spans="1:12" hidden="1" x14ac:dyDescent="0.35">
      <c r="A361" s="4" t="s">
        <v>372</v>
      </c>
      <c r="B361" s="1" t="str">
        <f t="shared" si="10"/>
        <v>Corumba IV</v>
      </c>
      <c r="C361" s="1">
        <f t="shared" si="11"/>
        <v>-2468</v>
      </c>
      <c r="D361" s="2">
        <v>0</v>
      </c>
      <c r="E361" s="2">
        <v>0</v>
      </c>
      <c r="F361" s="2">
        <v>0</v>
      </c>
      <c r="G361" s="2">
        <v>0.3629</v>
      </c>
      <c r="H361" s="2">
        <v>43.167700000000004</v>
      </c>
      <c r="I361" s="2">
        <v>4.6647999999999996</v>
      </c>
      <c r="J361" s="2">
        <v>38.865699999999997</v>
      </c>
      <c r="K361" s="2">
        <v>0</v>
      </c>
      <c r="L361" s="2">
        <v>0</v>
      </c>
    </row>
    <row r="362" spans="1:12" x14ac:dyDescent="0.35">
      <c r="A362" s="4" t="s">
        <v>373</v>
      </c>
      <c r="B362" s="1" t="str">
        <f t="shared" si="10"/>
        <v>Lago Paranoa</v>
      </c>
      <c r="C362" s="1">
        <f t="shared" si="11"/>
        <v>-2468</v>
      </c>
      <c r="D362" s="2">
        <v>0</v>
      </c>
      <c r="E362" s="2">
        <v>2302.4499999999998</v>
      </c>
      <c r="F362" s="2">
        <v>0.19170000000000001</v>
      </c>
      <c r="G362" s="2">
        <v>2.6737000000000002</v>
      </c>
      <c r="H362" s="2">
        <v>5.6604999999999999</v>
      </c>
      <c r="I362" s="2">
        <v>1.1564000000000001</v>
      </c>
      <c r="J362" s="2">
        <v>6.9861000000000004</v>
      </c>
      <c r="K362" s="2">
        <v>2302.4499999999998</v>
      </c>
      <c r="L362" s="2">
        <v>0</v>
      </c>
    </row>
    <row r="363" spans="1:12" hidden="1" x14ac:dyDescent="0.35">
      <c r="A363" s="4" t="s">
        <v>374</v>
      </c>
      <c r="B363" s="1" t="str">
        <f t="shared" si="10"/>
        <v>Corumba IV</v>
      </c>
      <c r="C363" s="1">
        <f t="shared" si="11"/>
        <v>-2467</v>
      </c>
      <c r="D363" s="2">
        <v>0</v>
      </c>
      <c r="E363" s="2">
        <v>0</v>
      </c>
      <c r="F363" s="2">
        <v>0</v>
      </c>
      <c r="G363" s="2">
        <v>0.3629</v>
      </c>
      <c r="H363" s="2">
        <v>41.049300000000002</v>
      </c>
      <c r="I363" s="2">
        <v>4.6647999999999996</v>
      </c>
      <c r="J363" s="2">
        <v>36.747399999999999</v>
      </c>
      <c r="K363" s="2">
        <v>0</v>
      </c>
      <c r="L363" s="2">
        <v>0</v>
      </c>
    </row>
    <row r="364" spans="1:12" x14ac:dyDescent="0.35">
      <c r="A364" s="4" t="s">
        <v>375</v>
      </c>
      <c r="B364" s="1" t="str">
        <f t="shared" si="10"/>
        <v>Lago Paranoa</v>
      </c>
      <c r="C364" s="1">
        <f t="shared" si="11"/>
        <v>-2467</v>
      </c>
      <c r="D364" s="2">
        <v>0</v>
      </c>
      <c r="E364" s="2">
        <v>2302.4499999999998</v>
      </c>
      <c r="F364" s="2">
        <v>0.1918</v>
      </c>
      <c r="G364" s="2">
        <v>2.3485999999999998</v>
      </c>
      <c r="H364" s="2">
        <v>5.5815000000000001</v>
      </c>
      <c r="I364" s="2">
        <v>1.1564000000000001</v>
      </c>
      <c r="J364" s="2">
        <v>6.5819999999999999</v>
      </c>
      <c r="K364" s="2">
        <v>2302.4499999999998</v>
      </c>
      <c r="L364" s="2">
        <v>0</v>
      </c>
    </row>
    <row r="365" spans="1:12" hidden="1" x14ac:dyDescent="0.35">
      <c r="A365" s="4" t="s">
        <v>376</v>
      </c>
      <c r="B365" s="1" t="str">
        <f t="shared" si="10"/>
        <v>Corumba IV</v>
      </c>
      <c r="C365" s="1">
        <f t="shared" si="11"/>
        <v>-2466</v>
      </c>
      <c r="D365" s="2">
        <v>0</v>
      </c>
      <c r="E365" s="2">
        <v>0</v>
      </c>
      <c r="F365" s="2">
        <v>0</v>
      </c>
      <c r="G365" s="2">
        <v>0.3629</v>
      </c>
      <c r="H365" s="2">
        <v>38.033999999999999</v>
      </c>
      <c r="I365" s="2">
        <v>5.8029000000000002</v>
      </c>
      <c r="J365" s="2">
        <v>32.594000000000001</v>
      </c>
      <c r="K365" s="2">
        <v>0</v>
      </c>
      <c r="L365" s="2">
        <v>0</v>
      </c>
    </row>
    <row r="366" spans="1:12" x14ac:dyDescent="0.35">
      <c r="A366" s="4" t="s">
        <v>377</v>
      </c>
      <c r="B366" s="1" t="str">
        <f t="shared" si="10"/>
        <v>Lago Paranoa</v>
      </c>
      <c r="C366" s="1">
        <f t="shared" si="11"/>
        <v>-2466</v>
      </c>
      <c r="D366" s="2">
        <v>0</v>
      </c>
      <c r="E366" s="2">
        <v>2302.4499999999998</v>
      </c>
      <c r="F366" s="2">
        <v>0.20610000000000001</v>
      </c>
      <c r="G366" s="2">
        <v>2.2385999999999999</v>
      </c>
      <c r="H366" s="2">
        <v>5.5239000000000003</v>
      </c>
      <c r="I366" s="2">
        <v>1.4234</v>
      </c>
      <c r="J366" s="2">
        <v>6.133</v>
      </c>
      <c r="K366" s="2">
        <v>2302.4499999999998</v>
      </c>
      <c r="L366" s="2">
        <v>0</v>
      </c>
    </row>
    <row r="367" spans="1:12" hidden="1" x14ac:dyDescent="0.35">
      <c r="A367" s="4" t="s">
        <v>378</v>
      </c>
      <c r="B367" s="1" t="str">
        <f t="shared" si="10"/>
        <v>Corumba IV</v>
      </c>
      <c r="C367" s="1">
        <f t="shared" si="11"/>
        <v>-2465</v>
      </c>
      <c r="D367" s="2">
        <v>0</v>
      </c>
      <c r="E367" s="2">
        <v>0</v>
      </c>
      <c r="F367" s="2">
        <v>0</v>
      </c>
      <c r="G367" s="2">
        <v>0.3629</v>
      </c>
      <c r="H367" s="2">
        <v>35.522500000000001</v>
      </c>
      <c r="I367" s="2">
        <v>5.9926000000000004</v>
      </c>
      <c r="J367" s="2">
        <v>29.892800000000001</v>
      </c>
      <c r="K367" s="2">
        <v>0</v>
      </c>
      <c r="L367" s="2">
        <v>0</v>
      </c>
    </row>
    <row r="368" spans="1:12" x14ac:dyDescent="0.35">
      <c r="A368" s="4" t="s">
        <v>379</v>
      </c>
      <c r="B368" s="1" t="str">
        <f t="shared" si="10"/>
        <v>Lago Paranoa</v>
      </c>
      <c r="C368" s="1">
        <f t="shared" si="11"/>
        <v>-2465</v>
      </c>
      <c r="D368" s="2">
        <v>0</v>
      </c>
      <c r="E368" s="2">
        <v>2302.4499999999998</v>
      </c>
      <c r="F368" s="2">
        <v>0.20630000000000001</v>
      </c>
      <c r="G368" s="2">
        <v>2.4123000000000001</v>
      </c>
      <c r="H368" s="2">
        <v>5.3757000000000001</v>
      </c>
      <c r="I368" s="2">
        <v>1.4679</v>
      </c>
      <c r="J368" s="2">
        <v>6.1138000000000003</v>
      </c>
      <c r="K368" s="2">
        <v>2302.4499999999998</v>
      </c>
      <c r="L368" s="2">
        <v>0</v>
      </c>
    </row>
    <row r="369" spans="1:12" hidden="1" x14ac:dyDescent="0.35">
      <c r="A369" s="4" t="s">
        <v>380</v>
      </c>
      <c r="B369" s="1" t="str">
        <f t="shared" si="10"/>
        <v>Corumba IV</v>
      </c>
      <c r="C369" s="1">
        <f t="shared" si="11"/>
        <v>-2464</v>
      </c>
      <c r="D369" s="2">
        <v>0</v>
      </c>
      <c r="E369" s="2">
        <v>0</v>
      </c>
      <c r="F369" s="2">
        <v>0</v>
      </c>
      <c r="G369" s="2">
        <v>0.3629</v>
      </c>
      <c r="H369" s="2">
        <v>33.424700000000001</v>
      </c>
      <c r="I369" s="2">
        <v>5.9926000000000004</v>
      </c>
      <c r="J369" s="2">
        <v>27.795000000000002</v>
      </c>
      <c r="K369" s="2">
        <v>0</v>
      </c>
      <c r="L369" s="2">
        <v>0</v>
      </c>
    </row>
    <row r="370" spans="1:12" x14ac:dyDescent="0.35">
      <c r="A370" s="4" t="s">
        <v>381</v>
      </c>
      <c r="B370" s="1" t="str">
        <f t="shared" si="10"/>
        <v>Lago Paranoa</v>
      </c>
      <c r="C370" s="1">
        <f t="shared" si="11"/>
        <v>-2464</v>
      </c>
      <c r="D370" s="2">
        <v>0</v>
      </c>
      <c r="E370" s="2">
        <v>2302.4499999999998</v>
      </c>
      <c r="F370" s="2">
        <v>0.2064</v>
      </c>
      <c r="G370" s="2">
        <v>2.4563000000000001</v>
      </c>
      <c r="H370" s="2">
        <v>5.2343000000000002</v>
      </c>
      <c r="I370" s="2">
        <v>1.4679</v>
      </c>
      <c r="J370" s="2">
        <v>6.0163000000000002</v>
      </c>
      <c r="K370" s="2">
        <v>2302.4499999999998</v>
      </c>
      <c r="L370" s="2">
        <v>0</v>
      </c>
    </row>
    <row r="371" spans="1:12" hidden="1" x14ac:dyDescent="0.35">
      <c r="A371" s="4" t="s">
        <v>382</v>
      </c>
      <c r="B371" s="1" t="str">
        <f t="shared" si="10"/>
        <v>Corumba IV</v>
      </c>
      <c r="C371" s="1">
        <f t="shared" si="11"/>
        <v>-2463</v>
      </c>
      <c r="D371" s="2">
        <v>0</v>
      </c>
      <c r="E371" s="2">
        <v>0</v>
      </c>
      <c r="F371" s="2">
        <v>0</v>
      </c>
      <c r="G371" s="2">
        <v>0.3629</v>
      </c>
      <c r="H371" s="2">
        <v>31.653500000000001</v>
      </c>
      <c r="I371" s="2">
        <v>5.9926000000000004</v>
      </c>
      <c r="J371" s="2">
        <v>26.023800000000001</v>
      </c>
      <c r="K371" s="2">
        <v>0</v>
      </c>
      <c r="L371" s="2">
        <v>0</v>
      </c>
    </row>
    <row r="372" spans="1:12" x14ac:dyDescent="0.35">
      <c r="A372" s="4" t="s">
        <v>383</v>
      </c>
      <c r="B372" s="1" t="str">
        <f t="shared" si="10"/>
        <v>Lago Paranoa</v>
      </c>
      <c r="C372" s="1">
        <f t="shared" si="11"/>
        <v>-2463</v>
      </c>
      <c r="D372" s="2">
        <v>0</v>
      </c>
      <c r="E372" s="2">
        <v>2302.4499999999998</v>
      </c>
      <c r="F372" s="2">
        <v>0.20660000000000001</v>
      </c>
      <c r="G372" s="2">
        <v>2.4329999999999998</v>
      </c>
      <c r="H372" s="2">
        <v>5.1520000000000001</v>
      </c>
      <c r="I372" s="2">
        <v>1.4679</v>
      </c>
      <c r="J372" s="2">
        <v>5.9104999999999999</v>
      </c>
      <c r="K372" s="2">
        <v>2302.4499999999998</v>
      </c>
      <c r="L372" s="2">
        <v>0</v>
      </c>
    </row>
    <row r="373" spans="1:12" hidden="1" x14ac:dyDescent="0.35">
      <c r="A373" s="4" t="s">
        <v>384</v>
      </c>
      <c r="B373" s="1" t="str">
        <f t="shared" si="10"/>
        <v>Corumba IV</v>
      </c>
      <c r="C373" s="1">
        <f t="shared" si="11"/>
        <v>-2462</v>
      </c>
      <c r="D373" s="2">
        <v>0</v>
      </c>
      <c r="E373" s="2">
        <v>0</v>
      </c>
      <c r="F373" s="2">
        <v>0</v>
      </c>
      <c r="G373" s="2">
        <v>0.3629</v>
      </c>
      <c r="H373" s="2">
        <v>30.264199999999999</v>
      </c>
      <c r="I373" s="2">
        <v>6.1775000000000002</v>
      </c>
      <c r="J373" s="2">
        <v>24.4496</v>
      </c>
      <c r="K373" s="2">
        <v>0</v>
      </c>
      <c r="L373" s="2">
        <v>0</v>
      </c>
    </row>
    <row r="374" spans="1:12" x14ac:dyDescent="0.35">
      <c r="A374" s="4" t="s">
        <v>385</v>
      </c>
      <c r="B374" s="1" t="str">
        <f t="shared" si="10"/>
        <v>Lago Paranoa</v>
      </c>
      <c r="C374" s="1">
        <f t="shared" si="11"/>
        <v>-2462</v>
      </c>
      <c r="D374" s="2">
        <v>0</v>
      </c>
      <c r="E374" s="2">
        <v>2302.4499999999998</v>
      </c>
      <c r="F374" s="2">
        <v>0.25779999999999997</v>
      </c>
      <c r="G374" s="2">
        <v>2.4691000000000001</v>
      </c>
      <c r="H374" s="2">
        <v>5.2054999999999998</v>
      </c>
      <c r="I374" s="2">
        <v>1.4944</v>
      </c>
      <c r="J374" s="2">
        <v>5.9223999999999997</v>
      </c>
      <c r="K374" s="2">
        <v>2302.4499999999998</v>
      </c>
      <c r="L374" s="2">
        <v>0</v>
      </c>
    </row>
    <row r="375" spans="1:12" hidden="1" x14ac:dyDescent="0.35">
      <c r="A375" s="4" t="s">
        <v>386</v>
      </c>
      <c r="B375" s="1" t="str">
        <f t="shared" si="10"/>
        <v>Corumba IV</v>
      </c>
      <c r="C375" s="1">
        <f t="shared" si="11"/>
        <v>-2461</v>
      </c>
      <c r="D375" s="2">
        <v>0</v>
      </c>
      <c r="E375" s="2">
        <v>0</v>
      </c>
      <c r="F375" s="2">
        <v>0</v>
      </c>
      <c r="G375" s="2">
        <v>0.3629</v>
      </c>
      <c r="H375" s="2">
        <v>32.764600000000002</v>
      </c>
      <c r="I375" s="2">
        <v>6.5984999999999996</v>
      </c>
      <c r="J375" s="2">
        <v>26.529</v>
      </c>
      <c r="K375" s="2">
        <v>0</v>
      </c>
      <c r="L375" s="2">
        <v>0</v>
      </c>
    </row>
    <row r="376" spans="1:12" x14ac:dyDescent="0.35">
      <c r="A376" s="4" t="s">
        <v>387</v>
      </c>
      <c r="B376" s="1" t="str">
        <f t="shared" si="10"/>
        <v>Lago Paranoa</v>
      </c>
      <c r="C376" s="1">
        <f t="shared" si="11"/>
        <v>-2461</v>
      </c>
      <c r="D376" s="2">
        <v>0</v>
      </c>
      <c r="E376" s="2">
        <v>2302.4499999999998</v>
      </c>
      <c r="F376" s="2">
        <v>0.25800000000000001</v>
      </c>
      <c r="G376" s="2">
        <v>2.4020999999999999</v>
      </c>
      <c r="H376" s="2">
        <v>5.3224</v>
      </c>
      <c r="I376" s="2">
        <v>1.5647</v>
      </c>
      <c r="J376" s="2">
        <v>5.9017999999999997</v>
      </c>
      <c r="K376" s="2">
        <v>2302.4499999999998</v>
      </c>
      <c r="L376" s="2">
        <v>0</v>
      </c>
    </row>
    <row r="377" spans="1:12" hidden="1" x14ac:dyDescent="0.35">
      <c r="A377" s="4" t="s">
        <v>388</v>
      </c>
      <c r="B377" s="1" t="str">
        <f t="shared" si="10"/>
        <v>Corumba IV</v>
      </c>
      <c r="C377" s="1">
        <f t="shared" si="11"/>
        <v>-2460</v>
      </c>
      <c r="D377" s="2">
        <v>0</v>
      </c>
      <c r="E377" s="2">
        <v>0</v>
      </c>
      <c r="F377" s="2">
        <v>0</v>
      </c>
      <c r="G377" s="2">
        <v>0.3629</v>
      </c>
      <c r="H377" s="2">
        <v>29.026900000000001</v>
      </c>
      <c r="I377" s="2">
        <v>6.5984999999999996</v>
      </c>
      <c r="J377" s="2">
        <v>22.7913</v>
      </c>
      <c r="K377" s="2">
        <v>0</v>
      </c>
      <c r="L377" s="2">
        <v>0</v>
      </c>
    </row>
    <row r="378" spans="1:12" x14ac:dyDescent="0.35">
      <c r="A378" s="4" t="s">
        <v>389</v>
      </c>
      <c r="B378" s="1" t="str">
        <f t="shared" si="10"/>
        <v>Lago Paranoa</v>
      </c>
      <c r="C378" s="1">
        <f t="shared" si="11"/>
        <v>-2460</v>
      </c>
      <c r="D378" s="2">
        <v>0</v>
      </c>
      <c r="E378" s="2">
        <v>2302.4499999999998</v>
      </c>
      <c r="F378" s="2">
        <v>0.25819999999999999</v>
      </c>
      <c r="G378" s="2">
        <v>2.1941999999999999</v>
      </c>
      <c r="H378" s="2">
        <v>4.8056000000000001</v>
      </c>
      <c r="I378" s="2">
        <v>1.5647</v>
      </c>
      <c r="J378" s="2">
        <v>5.1769999999999996</v>
      </c>
      <c r="K378" s="2">
        <v>2302.4499999999998</v>
      </c>
      <c r="L378" s="2">
        <v>0</v>
      </c>
    </row>
    <row r="379" spans="1:12" hidden="1" x14ac:dyDescent="0.35">
      <c r="A379" s="4" t="s">
        <v>390</v>
      </c>
      <c r="B379" s="1" t="str">
        <f t="shared" si="10"/>
        <v>Corumba IV</v>
      </c>
      <c r="C379" s="1">
        <f t="shared" si="11"/>
        <v>-2459</v>
      </c>
      <c r="D379" s="2">
        <v>0</v>
      </c>
      <c r="E379" s="2">
        <v>0</v>
      </c>
      <c r="F379" s="2">
        <v>0</v>
      </c>
      <c r="G379" s="2">
        <v>0.3629</v>
      </c>
      <c r="H379" s="2">
        <v>26.802099999999999</v>
      </c>
      <c r="I379" s="2">
        <v>6.5984999999999996</v>
      </c>
      <c r="J379" s="2">
        <v>20.566500000000001</v>
      </c>
      <c r="K379" s="2">
        <v>0</v>
      </c>
      <c r="L379" s="2">
        <v>0</v>
      </c>
    </row>
    <row r="380" spans="1:12" x14ac:dyDescent="0.35">
      <c r="A380" s="4" t="s">
        <v>391</v>
      </c>
      <c r="B380" s="1" t="str">
        <f t="shared" si="10"/>
        <v>Lago Paranoa</v>
      </c>
      <c r="C380" s="1">
        <f t="shared" si="11"/>
        <v>-2459</v>
      </c>
      <c r="D380" s="2">
        <v>0</v>
      </c>
      <c r="E380" s="2">
        <v>2302.4499999999998</v>
      </c>
      <c r="F380" s="2">
        <v>0.25829999999999997</v>
      </c>
      <c r="G380" s="2">
        <v>2.2012999999999998</v>
      </c>
      <c r="H380" s="2">
        <v>4.4212999999999996</v>
      </c>
      <c r="I380" s="2">
        <v>1.5647</v>
      </c>
      <c r="J380" s="2">
        <v>4.7995999999999999</v>
      </c>
      <c r="K380" s="2">
        <v>2302.4499999999998</v>
      </c>
      <c r="L380" s="2">
        <v>0</v>
      </c>
    </row>
    <row r="381" spans="1:12" hidden="1" x14ac:dyDescent="0.35">
      <c r="A381" s="4" t="s">
        <v>392</v>
      </c>
      <c r="B381" s="1" t="str">
        <f t="shared" si="10"/>
        <v>Corumba IV</v>
      </c>
      <c r="C381" s="1">
        <f t="shared" si="11"/>
        <v>-2458</v>
      </c>
      <c r="D381" s="2">
        <v>0</v>
      </c>
      <c r="E381" s="2">
        <v>0</v>
      </c>
      <c r="F381" s="2">
        <v>0</v>
      </c>
      <c r="G381" s="2">
        <v>0.3629</v>
      </c>
      <c r="H381" s="2">
        <v>31.7866</v>
      </c>
      <c r="I381" s="2">
        <v>6.5670000000000002</v>
      </c>
      <c r="J381" s="2">
        <v>25.5825</v>
      </c>
      <c r="K381" s="2">
        <v>0</v>
      </c>
      <c r="L381" s="2">
        <v>0</v>
      </c>
    </row>
    <row r="382" spans="1:12" x14ac:dyDescent="0.35">
      <c r="A382" s="4" t="s">
        <v>393</v>
      </c>
      <c r="B382" s="1" t="str">
        <f t="shared" si="10"/>
        <v>Lago Paranoa</v>
      </c>
      <c r="C382" s="1">
        <f t="shared" si="11"/>
        <v>-2458</v>
      </c>
      <c r="D382" s="2">
        <v>0</v>
      </c>
      <c r="E382" s="2">
        <v>2302.4499999999998</v>
      </c>
      <c r="F382" s="2">
        <v>0.25850000000000001</v>
      </c>
      <c r="G382" s="2">
        <v>3.7831999999999999</v>
      </c>
      <c r="H382" s="2">
        <v>6.6471999999999998</v>
      </c>
      <c r="I382" s="2">
        <v>1.5672999999999999</v>
      </c>
      <c r="J382" s="2">
        <v>8.6044999999999998</v>
      </c>
      <c r="K382" s="2">
        <v>2302.4499999999998</v>
      </c>
      <c r="L382" s="2">
        <v>0</v>
      </c>
    </row>
    <row r="383" spans="1:12" hidden="1" x14ac:dyDescent="0.35">
      <c r="A383" s="4" t="s">
        <v>394</v>
      </c>
      <c r="B383" s="1" t="str">
        <f t="shared" si="10"/>
        <v>Corumba IV</v>
      </c>
      <c r="C383" s="1">
        <f t="shared" si="11"/>
        <v>-2457</v>
      </c>
      <c r="D383" s="2">
        <v>0</v>
      </c>
      <c r="E383" s="2">
        <v>0</v>
      </c>
      <c r="F383" s="2">
        <v>0</v>
      </c>
      <c r="G383" s="2">
        <v>0.3629</v>
      </c>
      <c r="H383" s="2">
        <v>44.6342</v>
      </c>
      <c r="I383" s="2">
        <v>6.3776999999999999</v>
      </c>
      <c r="J383" s="2">
        <v>38.619399999999999</v>
      </c>
      <c r="K383" s="2">
        <v>0</v>
      </c>
      <c r="L383" s="2">
        <v>0</v>
      </c>
    </row>
    <row r="384" spans="1:12" x14ac:dyDescent="0.35">
      <c r="A384" s="4" t="s">
        <v>395</v>
      </c>
      <c r="B384" s="1" t="str">
        <f t="shared" si="10"/>
        <v>Lago Paranoa</v>
      </c>
      <c r="C384" s="1">
        <f t="shared" si="11"/>
        <v>-2457</v>
      </c>
      <c r="D384" s="2">
        <v>0</v>
      </c>
      <c r="E384" s="2">
        <v>2302.4499999999998</v>
      </c>
      <c r="F384" s="2">
        <v>0.2276</v>
      </c>
      <c r="G384" s="2">
        <v>4.0404999999999998</v>
      </c>
      <c r="H384" s="2">
        <v>6.9542000000000002</v>
      </c>
      <c r="I384" s="2">
        <v>1.583</v>
      </c>
      <c r="J384" s="2">
        <v>9.1842000000000006</v>
      </c>
      <c r="K384" s="2">
        <v>2302.4499999999998</v>
      </c>
      <c r="L384" s="2">
        <v>0</v>
      </c>
    </row>
    <row r="385" spans="1:12" hidden="1" x14ac:dyDescent="0.35">
      <c r="A385" s="4" t="s">
        <v>396</v>
      </c>
      <c r="B385" s="1" t="str">
        <f t="shared" si="10"/>
        <v>Corumba IV</v>
      </c>
      <c r="C385" s="1">
        <f t="shared" si="11"/>
        <v>-2456</v>
      </c>
      <c r="D385" s="2">
        <v>0</v>
      </c>
      <c r="E385" s="2">
        <v>0</v>
      </c>
      <c r="F385" s="2">
        <v>0</v>
      </c>
      <c r="G385" s="2">
        <v>0.3629</v>
      </c>
      <c r="H385" s="2">
        <v>45.118099999999998</v>
      </c>
      <c r="I385" s="2">
        <v>6.3776999999999999</v>
      </c>
      <c r="J385" s="2">
        <v>39.103299999999997</v>
      </c>
      <c r="K385" s="2">
        <v>0</v>
      </c>
      <c r="L385" s="2">
        <v>0</v>
      </c>
    </row>
    <row r="386" spans="1:12" x14ac:dyDescent="0.35">
      <c r="A386" s="4" t="s">
        <v>397</v>
      </c>
      <c r="B386" s="1" t="str">
        <f t="shared" si="10"/>
        <v>Lago Paranoa</v>
      </c>
      <c r="C386" s="1">
        <f t="shared" si="11"/>
        <v>-2456</v>
      </c>
      <c r="D386" s="2">
        <v>0</v>
      </c>
      <c r="E386" s="2">
        <v>2302.4499999999998</v>
      </c>
      <c r="F386" s="2">
        <v>0.22770000000000001</v>
      </c>
      <c r="G386" s="2">
        <v>4.3715000000000002</v>
      </c>
      <c r="H386" s="2">
        <v>7.7925000000000004</v>
      </c>
      <c r="I386" s="2">
        <v>1.583</v>
      </c>
      <c r="J386" s="2">
        <v>10.353300000000001</v>
      </c>
      <c r="K386" s="2">
        <v>2302.4499999999998</v>
      </c>
      <c r="L386" s="2">
        <v>0</v>
      </c>
    </row>
    <row r="387" spans="1:12" hidden="1" x14ac:dyDescent="0.35">
      <c r="A387" s="4" t="s">
        <v>398</v>
      </c>
      <c r="B387" s="1" t="str">
        <f t="shared" ref="B387:B450" si="12">_xlfn.TEXTBEFORE(_xlfn.TEXTAFTER(A387,"["),"]")</f>
        <v>Corumba IV</v>
      </c>
      <c r="C387" s="1">
        <f t="shared" ref="C387:C450" si="13">--_xlfn.TEXTBEFORE(_xlfn.TEXTAFTER(A387,"Week "),":")</f>
        <v>-2455</v>
      </c>
      <c r="D387" s="2">
        <v>0</v>
      </c>
      <c r="E387" s="2">
        <v>0</v>
      </c>
      <c r="F387" s="2">
        <v>0</v>
      </c>
      <c r="G387" s="2">
        <v>0.3629</v>
      </c>
      <c r="H387" s="2">
        <v>93.260199999999998</v>
      </c>
      <c r="I387" s="2">
        <v>6.3776999999999999</v>
      </c>
      <c r="J387" s="2">
        <v>87.2453</v>
      </c>
      <c r="K387" s="2">
        <v>0</v>
      </c>
      <c r="L387" s="2">
        <v>0</v>
      </c>
    </row>
    <row r="388" spans="1:12" x14ac:dyDescent="0.35">
      <c r="A388" s="4" t="s">
        <v>399</v>
      </c>
      <c r="B388" s="1" t="str">
        <f t="shared" si="12"/>
        <v>Lago Paranoa</v>
      </c>
      <c r="C388" s="1">
        <f t="shared" si="13"/>
        <v>-2455</v>
      </c>
      <c r="D388" s="2">
        <v>0</v>
      </c>
      <c r="E388" s="2">
        <v>2302.4499999999998</v>
      </c>
      <c r="F388" s="2">
        <v>0.22789999999999999</v>
      </c>
      <c r="G388" s="2">
        <v>5.4751000000000003</v>
      </c>
      <c r="H388" s="2">
        <v>13.4543</v>
      </c>
      <c r="I388" s="2">
        <v>1.583</v>
      </c>
      <c r="J388" s="2">
        <v>17.118500000000001</v>
      </c>
      <c r="K388" s="2">
        <v>2302.4499999999998</v>
      </c>
      <c r="L388" s="2">
        <v>0</v>
      </c>
    </row>
    <row r="389" spans="1:12" hidden="1" x14ac:dyDescent="0.35">
      <c r="A389" s="4" t="s">
        <v>400</v>
      </c>
      <c r="B389" s="1" t="str">
        <f t="shared" si="12"/>
        <v>Corumba IV</v>
      </c>
      <c r="C389" s="1">
        <f t="shared" si="13"/>
        <v>-2454</v>
      </c>
      <c r="D389" s="2">
        <v>0</v>
      </c>
      <c r="E389" s="2">
        <v>0</v>
      </c>
      <c r="F389" s="2">
        <v>0</v>
      </c>
      <c r="G389" s="2">
        <v>0.3629</v>
      </c>
      <c r="H389" s="2">
        <v>95.869399999999999</v>
      </c>
      <c r="I389" s="2">
        <v>6.3776999999999999</v>
      </c>
      <c r="J389" s="2">
        <v>89.854600000000005</v>
      </c>
      <c r="K389" s="2">
        <v>0</v>
      </c>
      <c r="L389" s="2">
        <v>0</v>
      </c>
    </row>
    <row r="390" spans="1:12" x14ac:dyDescent="0.35">
      <c r="A390" s="4" t="s">
        <v>401</v>
      </c>
      <c r="B390" s="1" t="str">
        <f t="shared" si="12"/>
        <v>Lago Paranoa</v>
      </c>
      <c r="C390" s="1">
        <f t="shared" si="13"/>
        <v>-2454</v>
      </c>
      <c r="D390" s="2">
        <v>0</v>
      </c>
      <c r="E390" s="2">
        <v>2302.4499999999998</v>
      </c>
      <c r="F390" s="2">
        <v>0.2281</v>
      </c>
      <c r="G390" s="2">
        <v>7.7104999999999997</v>
      </c>
      <c r="H390" s="2">
        <v>10.7395</v>
      </c>
      <c r="I390" s="2">
        <v>1.583</v>
      </c>
      <c r="J390" s="2">
        <v>16.638999999999999</v>
      </c>
      <c r="K390" s="2">
        <v>2302.4499999999998</v>
      </c>
      <c r="L390" s="2">
        <v>0</v>
      </c>
    </row>
    <row r="391" spans="1:12" hidden="1" x14ac:dyDescent="0.35">
      <c r="A391" s="4" t="s">
        <v>402</v>
      </c>
      <c r="B391" s="1" t="str">
        <f t="shared" si="12"/>
        <v>Corumba IV</v>
      </c>
      <c r="C391" s="1">
        <f t="shared" si="13"/>
        <v>-2453</v>
      </c>
      <c r="D391" s="2">
        <v>0</v>
      </c>
      <c r="E391" s="2">
        <v>0</v>
      </c>
      <c r="F391" s="2">
        <v>0</v>
      </c>
      <c r="G391" s="2">
        <v>0.3629</v>
      </c>
      <c r="H391" s="2">
        <v>103.1054</v>
      </c>
      <c r="I391" s="2">
        <v>5.0914000000000001</v>
      </c>
      <c r="J391" s="2">
        <v>98.376999999999995</v>
      </c>
      <c r="K391" s="2">
        <v>0</v>
      </c>
      <c r="L391" s="2">
        <v>0</v>
      </c>
    </row>
    <row r="392" spans="1:12" x14ac:dyDescent="0.35">
      <c r="A392" s="4" t="s">
        <v>403</v>
      </c>
      <c r="B392" s="1" t="str">
        <f t="shared" si="12"/>
        <v>Lago Paranoa</v>
      </c>
      <c r="C392" s="1">
        <f t="shared" si="13"/>
        <v>-2453</v>
      </c>
      <c r="D392" s="2">
        <v>0</v>
      </c>
      <c r="E392" s="2">
        <v>2302.4499999999998</v>
      </c>
      <c r="F392" s="2">
        <v>0.19989999999999999</v>
      </c>
      <c r="G392" s="2">
        <v>4.3993000000000002</v>
      </c>
      <c r="H392" s="2">
        <v>11.201499999999999</v>
      </c>
      <c r="I392" s="2">
        <v>1.4177999999999999</v>
      </c>
      <c r="J392" s="2">
        <v>13.983000000000001</v>
      </c>
      <c r="K392" s="2">
        <v>2302.4499999999998</v>
      </c>
      <c r="L392" s="2">
        <v>0</v>
      </c>
    </row>
    <row r="393" spans="1:12" hidden="1" x14ac:dyDescent="0.35">
      <c r="A393" s="4" t="s">
        <v>404</v>
      </c>
      <c r="B393" s="1" t="str">
        <f t="shared" si="12"/>
        <v>Corumba IV</v>
      </c>
      <c r="C393" s="1">
        <f t="shared" si="13"/>
        <v>-2452</v>
      </c>
      <c r="D393" s="2">
        <v>0</v>
      </c>
      <c r="E393" s="2">
        <v>0</v>
      </c>
      <c r="F393" s="2">
        <v>0</v>
      </c>
      <c r="G393" s="2">
        <v>0.3629</v>
      </c>
      <c r="H393" s="2">
        <v>93.685199999999995</v>
      </c>
      <c r="I393" s="2">
        <v>3.7183999999999999</v>
      </c>
      <c r="J393" s="2">
        <v>90.329800000000006</v>
      </c>
      <c r="K393" s="2">
        <v>0</v>
      </c>
      <c r="L393" s="2">
        <v>0</v>
      </c>
    </row>
    <row r="394" spans="1:12" x14ac:dyDescent="0.35">
      <c r="A394" s="4" t="s">
        <v>405</v>
      </c>
      <c r="B394" s="1" t="str">
        <f t="shared" si="12"/>
        <v>Lago Paranoa</v>
      </c>
      <c r="C394" s="1">
        <f t="shared" si="13"/>
        <v>-2452</v>
      </c>
      <c r="D394" s="2">
        <v>0</v>
      </c>
      <c r="E394" s="2">
        <v>2302.4499999999998</v>
      </c>
      <c r="F394" s="2">
        <v>0.2001</v>
      </c>
      <c r="G394" s="2">
        <v>4.9034000000000004</v>
      </c>
      <c r="H394" s="2">
        <v>11.351599999999999</v>
      </c>
      <c r="I394" s="2">
        <v>1.0725</v>
      </c>
      <c r="J394" s="2">
        <v>14.9825</v>
      </c>
      <c r="K394" s="2">
        <v>2302.4499999999998</v>
      </c>
      <c r="L394" s="2">
        <v>0</v>
      </c>
    </row>
    <row r="395" spans="1:12" hidden="1" x14ac:dyDescent="0.35">
      <c r="A395" s="4" t="s">
        <v>406</v>
      </c>
      <c r="B395" s="1" t="str">
        <f t="shared" si="12"/>
        <v>Corumba IV</v>
      </c>
      <c r="C395" s="1">
        <f t="shared" si="13"/>
        <v>-2451</v>
      </c>
      <c r="D395" s="2">
        <v>0</v>
      </c>
      <c r="E395" s="2">
        <v>0</v>
      </c>
      <c r="F395" s="2">
        <v>0</v>
      </c>
      <c r="G395" s="2">
        <v>0.3629</v>
      </c>
      <c r="H395" s="2">
        <v>76.384500000000003</v>
      </c>
      <c r="I395" s="2">
        <v>3.5360999999999998</v>
      </c>
      <c r="J395" s="2">
        <v>73.211299999999994</v>
      </c>
      <c r="K395" s="2">
        <v>0</v>
      </c>
      <c r="L395" s="2">
        <v>0</v>
      </c>
    </row>
    <row r="396" spans="1:12" x14ac:dyDescent="0.35">
      <c r="A396" s="4" t="s">
        <v>407</v>
      </c>
      <c r="B396" s="1" t="str">
        <f t="shared" si="12"/>
        <v>Lago Paranoa</v>
      </c>
      <c r="C396" s="1">
        <f t="shared" si="13"/>
        <v>-2451</v>
      </c>
      <c r="D396" s="2">
        <v>0</v>
      </c>
      <c r="E396" s="2">
        <v>2302.4499999999998</v>
      </c>
      <c r="F396" s="2">
        <v>0.20019999999999999</v>
      </c>
      <c r="G396" s="2">
        <v>6.8612000000000002</v>
      </c>
      <c r="H396" s="2">
        <v>13.285500000000001</v>
      </c>
      <c r="I396" s="2">
        <v>1.0158</v>
      </c>
      <c r="J396" s="2">
        <v>18.930700000000002</v>
      </c>
      <c r="K396" s="2">
        <v>2302.4499999999998</v>
      </c>
      <c r="L396" s="2">
        <v>0</v>
      </c>
    </row>
    <row r="397" spans="1:12" hidden="1" x14ac:dyDescent="0.35">
      <c r="A397" s="4" t="s">
        <v>408</v>
      </c>
      <c r="B397" s="1" t="str">
        <f t="shared" si="12"/>
        <v>Corumba IV</v>
      </c>
      <c r="C397" s="1">
        <f t="shared" si="13"/>
        <v>-2450</v>
      </c>
      <c r="D397" s="2">
        <v>0</v>
      </c>
      <c r="E397" s="2">
        <v>0</v>
      </c>
      <c r="F397" s="2">
        <v>0</v>
      </c>
      <c r="G397" s="2">
        <v>0.3629</v>
      </c>
      <c r="H397" s="2">
        <v>107.479</v>
      </c>
      <c r="I397" s="2">
        <v>3.5360999999999998</v>
      </c>
      <c r="J397" s="2">
        <v>104.3058</v>
      </c>
      <c r="K397" s="2">
        <v>0</v>
      </c>
      <c r="L397" s="2">
        <v>0</v>
      </c>
    </row>
    <row r="398" spans="1:12" x14ac:dyDescent="0.35">
      <c r="A398" s="4" t="s">
        <v>409</v>
      </c>
      <c r="B398" s="1" t="str">
        <f t="shared" si="12"/>
        <v>Lago Paranoa</v>
      </c>
      <c r="C398" s="1">
        <f t="shared" si="13"/>
        <v>-2450</v>
      </c>
      <c r="D398" s="2">
        <v>0</v>
      </c>
      <c r="E398" s="2">
        <v>2302.4499999999998</v>
      </c>
      <c r="F398" s="2">
        <v>0.20039999999999999</v>
      </c>
      <c r="G398" s="2">
        <v>5.9634999999999998</v>
      </c>
      <c r="H398" s="2">
        <v>17.95</v>
      </c>
      <c r="I398" s="2">
        <v>1.0158</v>
      </c>
      <c r="J398" s="2">
        <v>22.697399999999998</v>
      </c>
      <c r="K398" s="2">
        <v>2302.4499999999998</v>
      </c>
      <c r="L398" s="2">
        <v>0</v>
      </c>
    </row>
    <row r="399" spans="1:12" hidden="1" x14ac:dyDescent="0.35">
      <c r="A399" s="4" t="s">
        <v>410</v>
      </c>
      <c r="B399" s="1" t="str">
        <f t="shared" si="12"/>
        <v>Corumba IV</v>
      </c>
      <c r="C399" s="1">
        <f t="shared" si="13"/>
        <v>-2449</v>
      </c>
      <c r="D399" s="2">
        <v>0</v>
      </c>
      <c r="E399" s="2">
        <v>0</v>
      </c>
      <c r="F399" s="2">
        <v>0</v>
      </c>
      <c r="G399" s="2">
        <v>0.3629</v>
      </c>
      <c r="H399" s="2">
        <v>127.9731</v>
      </c>
      <c r="I399" s="2">
        <v>3.9268000000000001</v>
      </c>
      <c r="J399" s="2">
        <v>124.4092</v>
      </c>
      <c r="K399" s="2">
        <v>0</v>
      </c>
      <c r="L399" s="2">
        <v>0</v>
      </c>
    </row>
    <row r="400" spans="1:12" x14ac:dyDescent="0.35">
      <c r="A400" s="4" t="s">
        <v>411</v>
      </c>
      <c r="B400" s="1" t="str">
        <f t="shared" si="12"/>
        <v>Lago Paranoa</v>
      </c>
      <c r="C400" s="1">
        <f t="shared" si="13"/>
        <v>-2449</v>
      </c>
      <c r="D400" s="2">
        <v>0</v>
      </c>
      <c r="E400" s="2">
        <v>2302.4499999999998</v>
      </c>
      <c r="F400" s="2">
        <v>0.14149999999999999</v>
      </c>
      <c r="G400" s="2">
        <v>3.5802</v>
      </c>
      <c r="H400" s="2">
        <v>17.818000000000001</v>
      </c>
      <c r="I400" s="2">
        <v>1.0381</v>
      </c>
      <c r="J400" s="2">
        <v>20.218499999999999</v>
      </c>
      <c r="K400" s="2">
        <v>2302.4499999999998</v>
      </c>
      <c r="L400" s="2">
        <v>0</v>
      </c>
    </row>
    <row r="401" spans="1:12" hidden="1" x14ac:dyDescent="0.35">
      <c r="A401" s="4" t="s">
        <v>412</v>
      </c>
      <c r="B401" s="1" t="str">
        <f t="shared" si="12"/>
        <v>Corumba IV</v>
      </c>
      <c r="C401" s="1">
        <f t="shared" si="13"/>
        <v>-2448</v>
      </c>
      <c r="D401" s="2">
        <v>0</v>
      </c>
      <c r="E401" s="2">
        <v>0</v>
      </c>
      <c r="F401" s="2">
        <v>0</v>
      </c>
      <c r="G401" s="2">
        <v>0.3629</v>
      </c>
      <c r="H401" s="2">
        <v>117.5403</v>
      </c>
      <c r="I401" s="2">
        <v>4.4478</v>
      </c>
      <c r="J401" s="2">
        <v>113.4554</v>
      </c>
      <c r="K401" s="2">
        <v>0</v>
      </c>
      <c r="L401" s="2">
        <v>0</v>
      </c>
    </row>
    <row r="402" spans="1:12" x14ac:dyDescent="0.35">
      <c r="A402" s="4" t="s">
        <v>413</v>
      </c>
      <c r="B402" s="1" t="str">
        <f t="shared" si="12"/>
        <v>Lago Paranoa</v>
      </c>
      <c r="C402" s="1">
        <f t="shared" si="13"/>
        <v>-2448</v>
      </c>
      <c r="D402" s="2">
        <v>0</v>
      </c>
      <c r="E402" s="2">
        <v>2302.4499999999998</v>
      </c>
      <c r="F402" s="2">
        <v>0.14169999999999999</v>
      </c>
      <c r="G402" s="2">
        <v>4.8299000000000003</v>
      </c>
      <c r="H402" s="2">
        <v>13.423299999999999</v>
      </c>
      <c r="I402" s="2">
        <v>1.0680000000000001</v>
      </c>
      <c r="J402" s="2">
        <v>17.043600000000001</v>
      </c>
      <c r="K402" s="2">
        <v>2302.4499999999998</v>
      </c>
      <c r="L402" s="2">
        <v>0</v>
      </c>
    </row>
    <row r="403" spans="1:12" hidden="1" x14ac:dyDescent="0.35">
      <c r="A403" s="4" t="s">
        <v>414</v>
      </c>
      <c r="B403" s="1" t="str">
        <f t="shared" si="12"/>
        <v>Corumba IV</v>
      </c>
      <c r="C403" s="1">
        <f t="shared" si="13"/>
        <v>-2551</v>
      </c>
      <c r="D403" s="2">
        <v>0</v>
      </c>
      <c r="E403" s="2">
        <v>0</v>
      </c>
      <c r="F403" s="2">
        <v>0</v>
      </c>
      <c r="G403" s="2">
        <v>0.3629</v>
      </c>
      <c r="H403" s="2">
        <v>144.59129999999999</v>
      </c>
      <c r="I403" s="2">
        <v>4.3529</v>
      </c>
      <c r="J403" s="2">
        <v>140.60130000000001</v>
      </c>
      <c r="K403" s="2">
        <v>0</v>
      </c>
      <c r="L403" s="2">
        <v>0</v>
      </c>
    </row>
    <row r="404" spans="1:12" x14ac:dyDescent="0.35">
      <c r="A404" s="4" t="s">
        <v>415</v>
      </c>
      <c r="B404" s="1" t="str">
        <f t="shared" si="12"/>
        <v>Lago Paranoa</v>
      </c>
      <c r="C404" s="1">
        <f t="shared" si="13"/>
        <v>-2551</v>
      </c>
      <c r="D404" s="2">
        <v>0</v>
      </c>
      <c r="E404" s="2">
        <v>2302.4499999999998</v>
      </c>
      <c r="F404" s="2">
        <v>0.26050000000000001</v>
      </c>
      <c r="G404" s="2">
        <v>5.1910999999999996</v>
      </c>
      <c r="H404" s="2">
        <v>13.8253</v>
      </c>
      <c r="I404" s="2">
        <v>1.0916999999999999</v>
      </c>
      <c r="J404" s="2">
        <v>17.664100000000001</v>
      </c>
      <c r="K404" s="2">
        <v>2302.4499999999998</v>
      </c>
      <c r="L404" s="2">
        <v>0</v>
      </c>
    </row>
    <row r="405" spans="1:12" hidden="1" x14ac:dyDescent="0.35">
      <c r="A405" s="4" t="s">
        <v>416</v>
      </c>
      <c r="B405" s="1" t="str">
        <f t="shared" si="12"/>
        <v>Corumba IV</v>
      </c>
      <c r="C405" s="1">
        <f t="shared" si="13"/>
        <v>-2550</v>
      </c>
      <c r="D405" s="2">
        <v>0</v>
      </c>
      <c r="E405" s="2">
        <v>0</v>
      </c>
      <c r="F405" s="2">
        <v>0</v>
      </c>
      <c r="G405" s="2">
        <v>0.3629</v>
      </c>
      <c r="H405" s="2">
        <v>180.74529999999999</v>
      </c>
      <c r="I405" s="2">
        <v>4.3529</v>
      </c>
      <c r="J405" s="2">
        <v>176.75530000000001</v>
      </c>
      <c r="K405" s="2">
        <v>0</v>
      </c>
      <c r="L405" s="2">
        <v>0</v>
      </c>
    </row>
    <row r="406" spans="1:12" x14ac:dyDescent="0.35">
      <c r="A406" s="4" t="s">
        <v>417</v>
      </c>
      <c r="B406" s="1" t="str">
        <f t="shared" si="12"/>
        <v>Lago Paranoa</v>
      </c>
      <c r="C406" s="1">
        <f t="shared" si="13"/>
        <v>-2550</v>
      </c>
      <c r="D406" s="2">
        <v>0</v>
      </c>
      <c r="E406" s="2">
        <v>2302.4499999999998</v>
      </c>
      <c r="F406" s="2">
        <v>0.1447</v>
      </c>
      <c r="G406" s="2">
        <v>4.6974999999999998</v>
      </c>
      <c r="H406" s="2">
        <v>14.159700000000001</v>
      </c>
      <c r="I406" s="2">
        <v>1.0916999999999999</v>
      </c>
      <c r="J406" s="2">
        <v>17.620899999999999</v>
      </c>
      <c r="K406" s="2">
        <v>2302.4499999999998</v>
      </c>
      <c r="L406" s="2">
        <v>0</v>
      </c>
    </row>
    <row r="407" spans="1:12" hidden="1" x14ac:dyDescent="0.35">
      <c r="A407" s="4" t="s">
        <v>418</v>
      </c>
      <c r="B407" s="1" t="str">
        <f t="shared" si="12"/>
        <v>Corumba IV</v>
      </c>
      <c r="C407" s="1">
        <f t="shared" si="13"/>
        <v>-2549</v>
      </c>
      <c r="D407" s="2">
        <v>0</v>
      </c>
      <c r="E407" s="2">
        <v>0</v>
      </c>
      <c r="F407" s="2">
        <v>0</v>
      </c>
      <c r="G407" s="2">
        <v>0.3629</v>
      </c>
      <c r="H407" s="2">
        <v>161.11529999999999</v>
      </c>
      <c r="I407" s="2">
        <v>4.3529</v>
      </c>
      <c r="J407" s="2">
        <v>157.12530000000001</v>
      </c>
      <c r="K407" s="2">
        <v>0</v>
      </c>
      <c r="L407" s="2">
        <v>0</v>
      </c>
    </row>
    <row r="408" spans="1:12" x14ac:dyDescent="0.35">
      <c r="A408" s="4" t="s">
        <v>419</v>
      </c>
      <c r="B408" s="1" t="str">
        <f t="shared" si="12"/>
        <v>Lago Paranoa</v>
      </c>
      <c r="C408" s="1">
        <f t="shared" si="13"/>
        <v>-2549</v>
      </c>
      <c r="D408" s="2">
        <v>0</v>
      </c>
      <c r="E408" s="2">
        <v>2302.4499999999998</v>
      </c>
      <c r="F408" s="2">
        <v>0.14319999999999999</v>
      </c>
      <c r="G408" s="2">
        <v>6.2035</v>
      </c>
      <c r="H408" s="2">
        <v>17.078800000000001</v>
      </c>
      <c r="I408" s="2">
        <v>1.0916999999999999</v>
      </c>
      <c r="J408" s="2">
        <v>22.0474</v>
      </c>
      <c r="K408" s="2">
        <v>2302.4499999999998</v>
      </c>
      <c r="L408" s="2">
        <v>0</v>
      </c>
    </row>
    <row r="409" spans="1:12" hidden="1" x14ac:dyDescent="0.35">
      <c r="A409" s="4" t="s">
        <v>420</v>
      </c>
      <c r="B409" s="1" t="str">
        <f t="shared" si="12"/>
        <v>Corumba IV</v>
      </c>
      <c r="C409" s="1">
        <f t="shared" si="13"/>
        <v>-2548</v>
      </c>
      <c r="D409" s="2">
        <v>0</v>
      </c>
      <c r="E409" s="2">
        <v>0</v>
      </c>
      <c r="F409" s="2">
        <v>0</v>
      </c>
      <c r="G409" s="2">
        <v>0.3629</v>
      </c>
      <c r="H409" s="2">
        <v>104.82389999999999</v>
      </c>
      <c r="I409" s="2">
        <v>3.9243000000000001</v>
      </c>
      <c r="J409" s="2">
        <v>101.2625</v>
      </c>
      <c r="K409" s="2">
        <v>0</v>
      </c>
      <c r="L409" s="2">
        <v>0</v>
      </c>
    </row>
    <row r="410" spans="1:12" x14ac:dyDescent="0.35">
      <c r="A410" s="4" t="s">
        <v>421</v>
      </c>
      <c r="B410" s="1" t="str">
        <f t="shared" si="12"/>
        <v>Lago Paranoa</v>
      </c>
      <c r="C410" s="1">
        <f t="shared" si="13"/>
        <v>-2548</v>
      </c>
      <c r="D410" s="2">
        <v>0</v>
      </c>
      <c r="E410" s="2">
        <v>2302.4499999999998</v>
      </c>
      <c r="F410" s="2">
        <v>0.1593</v>
      </c>
      <c r="G410" s="2">
        <v>3.9348999999999998</v>
      </c>
      <c r="H410" s="2">
        <v>9.6780000000000008</v>
      </c>
      <c r="I410" s="2">
        <v>0.78280000000000005</v>
      </c>
      <c r="J410" s="2">
        <v>12.6707</v>
      </c>
      <c r="K410" s="2">
        <v>2302.4499999999998</v>
      </c>
      <c r="L410" s="2">
        <v>0</v>
      </c>
    </row>
    <row r="411" spans="1:12" hidden="1" x14ac:dyDescent="0.35">
      <c r="A411" s="4" t="s">
        <v>422</v>
      </c>
      <c r="B411" s="1" t="str">
        <f t="shared" si="12"/>
        <v>Corumba IV</v>
      </c>
      <c r="C411" s="1">
        <f t="shared" si="13"/>
        <v>-2547</v>
      </c>
      <c r="D411" s="2">
        <v>0</v>
      </c>
      <c r="E411" s="2">
        <v>0</v>
      </c>
      <c r="F411" s="2">
        <v>0</v>
      </c>
      <c r="G411" s="2">
        <v>0.3629</v>
      </c>
      <c r="H411" s="2">
        <v>90.459900000000005</v>
      </c>
      <c r="I411" s="2">
        <v>3.9243000000000001</v>
      </c>
      <c r="J411" s="2">
        <v>86.898499999999999</v>
      </c>
      <c r="K411" s="2">
        <v>0</v>
      </c>
      <c r="L411" s="2">
        <v>0</v>
      </c>
    </row>
    <row r="412" spans="1:12" x14ac:dyDescent="0.35">
      <c r="A412" s="4" t="s">
        <v>423</v>
      </c>
      <c r="B412" s="1" t="str">
        <f t="shared" si="12"/>
        <v>Lago Paranoa</v>
      </c>
      <c r="C412" s="1">
        <f t="shared" si="13"/>
        <v>-2547</v>
      </c>
      <c r="D412" s="2">
        <v>0</v>
      </c>
      <c r="E412" s="2">
        <v>2302.4499999999998</v>
      </c>
      <c r="F412" s="2">
        <v>0.15229999999999999</v>
      </c>
      <c r="G412" s="2">
        <v>3.6635</v>
      </c>
      <c r="H412" s="2">
        <v>8.8400999999999996</v>
      </c>
      <c r="I412" s="2">
        <v>0.78280000000000005</v>
      </c>
      <c r="J412" s="2">
        <v>11.5685</v>
      </c>
      <c r="K412" s="2">
        <v>2302.4499999999998</v>
      </c>
      <c r="L412" s="2">
        <v>0</v>
      </c>
    </row>
    <row r="413" spans="1:12" hidden="1" x14ac:dyDescent="0.35">
      <c r="A413" s="4" t="s">
        <v>424</v>
      </c>
      <c r="B413" s="1" t="str">
        <f t="shared" si="12"/>
        <v>Corumba IV</v>
      </c>
      <c r="C413" s="1">
        <f t="shared" si="13"/>
        <v>-2546</v>
      </c>
      <c r="D413" s="2">
        <v>0</v>
      </c>
      <c r="E413" s="2">
        <v>0</v>
      </c>
      <c r="F413" s="2">
        <v>0</v>
      </c>
      <c r="G413" s="2">
        <v>0.3629</v>
      </c>
      <c r="H413" s="2">
        <v>81.807000000000002</v>
      </c>
      <c r="I413" s="2">
        <v>3.9243000000000001</v>
      </c>
      <c r="J413" s="2">
        <v>78.245599999999996</v>
      </c>
      <c r="K413" s="2">
        <v>0</v>
      </c>
      <c r="L413" s="2">
        <v>0</v>
      </c>
    </row>
    <row r="414" spans="1:12" x14ac:dyDescent="0.35">
      <c r="A414" s="4" t="s">
        <v>425</v>
      </c>
      <c r="B414" s="1" t="str">
        <f t="shared" si="12"/>
        <v>Lago Paranoa</v>
      </c>
      <c r="C414" s="1">
        <f t="shared" si="13"/>
        <v>-2546</v>
      </c>
      <c r="D414" s="2">
        <v>0</v>
      </c>
      <c r="E414" s="2">
        <v>2302.4499999999998</v>
      </c>
      <c r="F414" s="2">
        <v>0.15240000000000001</v>
      </c>
      <c r="G414" s="2">
        <v>3.419</v>
      </c>
      <c r="H414" s="2">
        <v>8.4146999999999998</v>
      </c>
      <c r="I414" s="2">
        <v>0.78280000000000005</v>
      </c>
      <c r="J414" s="2">
        <v>10.8985</v>
      </c>
      <c r="K414" s="2">
        <v>2302.4499999999998</v>
      </c>
      <c r="L414" s="2">
        <v>0</v>
      </c>
    </row>
    <row r="415" spans="1:12" hidden="1" x14ac:dyDescent="0.35">
      <c r="A415" s="4" t="s">
        <v>426</v>
      </c>
      <c r="B415" s="1" t="str">
        <f t="shared" si="12"/>
        <v>Corumba IV</v>
      </c>
      <c r="C415" s="1">
        <f t="shared" si="13"/>
        <v>-2545</v>
      </c>
      <c r="D415" s="2">
        <v>0</v>
      </c>
      <c r="E415" s="2">
        <v>0</v>
      </c>
      <c r="F415" s="2">
        <v>0</v>
      </c>
      <c r="G415" s="2">
        <v>0.3629</v>
      </c>
      <c r="H415" s="2">
        <v>82.620900000000006</v>
      </c>
      <c r="I415" s="2">
        <v>4.1264000000000003</v>
      </c>
      <c r="J415" s="2">
        <v>78.857299999999995</v>
      </c>
      <c r="K415" s="2">
        <v>0</v>
      </c>
      <c r="L415" s="2">
        <v>0</v>
      </c>
    </row>
    <row r="416" spans="1:12" x14ac:dyDescent="0.35">
      <c r="A416" s="4" t="s">
        <v>427</v>
      </c>
      <c r="B416" s="1" t="str">
        <f t="shared" si="12"/>
        <v>Lago Paranoa</v>
      </c>
      <c r="C416" s="1">
        <f t="shared" si="13"/>
        <v>-2545</v>
      </c>
      <c r="D416" s="2">
        <v>0</v>
      </c>
      <c r="E416" s="2">
        <v>2302.4499999999998</v>
      </c>
      <c r="F416" s="2">
        <v>0.1525</v>
      </c>
      <c r="G416" s="2">
        <v>3.4666999999999999</v>
      </c>
      <c r="H416" s="2">
        <v>8.7835999999999999</v>
      </c>
      <c r="I416" s="2">
        <v>0.89590000000000003</v>
      </c>
      <c r="J416" s="2">
        <v>11.2018</v>
      </c>
      <c r="K416" s="2">
        <v>2302.4499999999998</v>
      </c>
      <c r="L416" s="2">
        <v>0</v>
      </c>
    </row>
    <row r="417" spans="1:12" hidden="1" x14ac:dyDescent="0.35">
      <c r="A417" s="4" t="s">
        <v>428</v>
      </c>
      <c r="B417" s="1" t="str">
        <f t="shared" si="12"/>
        <v>Corumba IV</v>
      </c>
      <c r="C417" s="1">
        <f t="shared" si="13"/>
        <v>-2544</v>
      </c>
      <c r="D417" s="2">
        <v>0</v>
      </c>
      <c r="E417" s="2">
        <v>0</v>
      </c>
      <c r="F417" s="2">
        <v>0</v>
      </c>
      <c r="G417" s="2">
        <v>0.3629</v>
      </c>
      <c r="H417" s="2">
        <v>86.111400000000003</v>
      </c>
      <c r="I417" s="2">
        <v>4.8048000000000002</v>
      </c>
      <c r="J417" s="2">
        <v>81.669499999999999</v>
      </c>
      <c r="K417" s="2">
        <v>0</v>
      </c>
      <c r="L417" s="2">
        <v>0</v>
      </c>
    </row>
    <row r="418" spans="1:12" x14ac:dyDescent="0.35">
      <c r="A418" s="4" t="s">
        <v>429</v>
      </c>
      <c r="B418" s="1" t="str">
        <f t="shared" si="12"/>
        <v>Lago Paranoa</v>
      </c>
      <c r="C418" s="1">
        <f t="shared" si="13"/>
        <v>-2544</v>
      </c>
      <c r="D418" s="2">
        <v>0</v>
      </c>
      <c r="E418" s="2">
        <v>2302.4499999999998</v>
      </c>
      <c r="F418" s="2">
        <v>0.21609999999999999</v>
      </c>
      <c r="G418" s="2">
        <v>3.6311</v>
      </c>
      <c r="H418" s="2">
        <v>8.9026999999999994</v>
      </c>
      <c r="I418" s="2">
        <v>1.3026</v>
      </c>
      <c r="J418" s="2">
        <v>11.0151</v>
      </c>
      <c r="K418" s="2">
        <v>2302.4499999999998</v>
      </c>
      <c r="L418" s="2">
        <v>0</v>
      </c>
    </row>
    <row r="419" spans="1:12" hidden="1" x14ac:dyDescent="0.35">
      <c r="A419" s="4" t="s">
        <v>430</v>
      </c>
      <c r="B419" s="1" t="str">
        <f t="shared" si="12"/>
        <v>Corumba IV</v>
      </c>
      <c r="C419" s="1">
        <f t="shared" si="13"/>
        <v>-2543</v>
      </c>
      <c r="D419" s="2">
        <v>0</v>
      </c>
      <c r="E419" s="2">
        <v>0</v>
      </c>
      <c r="F419" s="2">
        <v>0</v>
      </c>
      <c r="G419" s="2">
        <v>0.3629</v>
      </c>
      <c r="H419" s="2">
        <v>78.589399999999998</v>
      </c>
      <c r="I419" s="2">
        <v>4.9683999999999999</v>
      </c>
      <c r="J419" s="2">
        <v>73.983900000000006</v>
      </c>
      <c r="K419" s="2">
        <v>0</v>
      </c>
      <c r="L419" s="2">
        <v>0</v>
      </c>
    </row>
    <row r="420" spans="1:12" x14ac:dyDescent="0.35">
      <c r="A420" s="4" t="s">
        <v>431</v>
      </c>
      <c r="B420" s="1" t="str">
        <f t="shared" si="12"/>
        <v>Lago Paranoa</v>
      </c>
      <c r="C420" s="1">
        <f t="shared" si="13"/>
        <v>-2543</v>
      </c>
      <c r="D420" s="2">
        <v>0</v>
      </c>
      <c r="E420" s="2">
        <v>2302.4499999999998</v>
      </c>
      <c r="F420" s="2">
        <v>0.21629999999999999</v>
      </c>
      <c r="G420" s="2">
        <v>3.6122000000000001</v>
      </c>
      <c r="H420" s="2">
        <v>8.2210000000000001</v>
      </c>
      <c r="I420" s="2">
        <v>1.405</v>
      </c>
      <c r="J420" s="2">
        <v>10.2119</v>
      </c>
      <c r="K420" s="2">
        <v>2302.4499999999998</v>
      </c>
      <c r="L420" s="2">
        <v>0</v>
      </c>
    </row>
    <row r="421" spans="1:12" hidden="1" x14ac:dyDescent="0.35">
      <c r="A421" s="4" t="s">
        <v>432</v>
      </c>
      <c r="B421" s="1" t="str">
        <f t="shared" si="12"/>
        <v>Corumba IV</v>
      </c>
      <c r="C421" s="1">
        <f t="shared" si="13"/>
        <v>-2542</v>
      </c>
      <c r="D421" s="2">
        <v>0</v>
      </c>
      <c r="E421" s="2">
        <v>0</v>
      </c>
      <c r="F421" s="2">
        <v>0</v>
      </c>
      <c r="G421" s="2">
        <v>0.3629</v>
      </c>
      <c r="H421" s="2">
        <v>89.200199999999995</v>
      </c>
      <c r="I421" s="2">
        <v>4.9683999999999999</v>
      </c>
      <c r="J421" s="2">
        <v>84.594700000000003</v>
      </c>
      <c r="K421" s="2">
        <v>0</v>
      </c>
      <c r="L421" s="2">
        <v>0</v>
      </c>
    </row>
    <row r="422" spans="1:12" x14ac:dyDescent="0.35">
      <c r="A422" s="4" t="s">
        <v>433</v>
      </c>
      <c r="B422" s="1" t="str">
        <f t="shared" si="12"/>
        <v>Lago Paranoa</v>
      </c>
      <c r="C422" s="1">
        <f t="shared" si="13"/>
        <v>-2542</v>
      </c>
      <c r="D422" s="2">
        <v>0</v>
      </c>
      <c r="E422" s="2">
        <v>2302.4499999999998</v>
      </c>
      <c r="F422" s="2">
        <v>0.21640000000000001</v>
      </c>
      <c r="G422" s="2">
        <v>4.0473999999999997</v>
      </c>
      <c r="H422" s="2">
        <v>9.0984999999999996</v>
      </c>
      <c r="I422" s="2">
        <v>1.405</v>
      </c>
      <c r="J422" s="2">
        <v>11.5245</v>
      </c>
      <c r="K422" s="2">
        <v>2302.4499999999998</v>
      </c>
      <c r="L422" s="2">
        <v>0</v>
      </c>
    </row>
    <row r="423" spans="1:12" hidden="1" x14ac:dyDescent="0.35">
      <c r="A423" s="4" t="s">
        <v>434</v>
      </c>
      <c r="B423" s="1" t="str">
        <f t="shared" si="12"/>
        <v>Corumba IV</v>
      </c>
      <c r="C423" s="1">
        <f t="shared" si="13"/>
        <v>-2541</v>
      </c>
      <c r="D423" s="2">
        <v>0</v>
      </c>
      <c r="E423" s="2">
        <v>0</v>
      </c>
      <c r="F423" s="2">
        <v>0</v>
      </c>
      <c r="G423" s="2">
        <v>0.3629</v>
      </c>
      <c r="H423" s="2">
        <v>91.042299999999997</v>
      </c>
      <c r="I423" s="2">
        <v>4.9683999999999999</v>
      </c>
      <c r="J423" s="2">
        <v>86.436800000000005</v>
      </c>
      <c r="K423" s="2">
        <v>0</v>
      </c>
      <c r="L423" s="2">
        <v>0</v>
      </c>
    </row>
    <row r="424" spans="1:12" x14ac:dyDescent="0.35">
      <c r="A424" s="4" t="s">
        <v>435</v>
      </c>
      <c r="B424" s="1" t="str">
        <f t="shared" si="12"/>
        <v>Lago Paranoa</v>
      </c>
      <c r="C424" s="1">
        <f t="shared" si="13"/>
        <v>-2541</v>
      </c>
      <c r="D424" s="2">
        <v>0</v>
      </c>
      <c r="E424" s="2">
        <v>2302.4499999999998</v>
      </c>
      <c r="F424" s="2">
        <v>0.21659999999999999</v>
      </c>
      <c r="G424" s="2">
        <v>3.6150000000000002</v>
      </c>
      <c r="H424" s="2">
        <v>8.9509000000000007</v>
      </c>
      <c r="I424" s="2">
        <v>1.405</v>
      </c>
      <c r="J424" s="2">
        <v>10.9443</v>
      </c>
      <c r="K424" s="2">
        <v>2302.4499999999998</v>
      </c>
      <c r="L424" s="2">
        <v>0</v>
      </c>
    </row>
    <row r="425" spans="1:12" hidden="1" x14ac:dyDescent="0.35">
      <c r="A425" s="4" t="s">
        <v>436</v>
      </c>
      <c r="B425" s="1" t="str">
        <f t="shared" si="12"/>
        <v>Corumba IV</v>
      </c>
      <c r="C425" s="1">
        <f t="shared" si="13"/>
        <v>-2540</v>
      </c>
      <c r="D425" s="2">
        <v>0</v>
      </c>
      <c r="E425" s="2">
        <v>0</v>
      </c>
      <c r="F425" s="2">
        <v>0</v>
      </c>
      <c r="G425" s="2">
        <v>0.3629</v>
      </c>
      <c r="H425" s="2">
        <v>96.420699999999997</v>
      </c>
      <c r="I425" s="2">
        <v>4.5151000000000003</v>
      </c>
      <c r="J425" s="2">
        <v>92.268500000000003</v>
      </c>
      <c r="K425" s="2">
        <v>0</v>
      </c>
      <c r="L425" s="2">
        <v>0</v>
      </c>
    </row>
    <row r="426" spans="1:12" x14ac:dyDescent="0.35">
      <c r="A426" s="4" t="s">
        <v>437</v>
      </c>
      <c r="B426" s="1" t="str">
        <f t="shared" si="12"/>
        <v>Lago Paranoa</v>
      </c>
      <c r="C426" s="1">
        <f t="shared" si="13"/>
        <v>-2540</v>
      </c>
      <c r="D426" s="2">
        <v>0</v>
      </c>
      <c r="E426" s="2">
        <v>2302.4499999999998</v>
      </c>
      <c r="F426" s="2">
        <v>0.13150000000000001</v>
      </c>
      <c r="G426" s="2">
        <v>4.5296000000000003</v>
      </c>
      <c r="H426" s="2">
        <v>9.9754000000000005</v>
      </c>
      <c r="I426" s="2">
        <v>1.2390000000000001</v>
      </c>
      <c r="J426" s="2">
        <v>13.134499999999999</v>
      </c>
      <c r="K426" s="2">
        <v>2302.4499999999998</v>
      </c>
      <c r="L426" s="2">
        <v>0</v>
      </c>
    </row>
    <row r="427" spans="1:12" hidden="1" x14ac:dyDescent="0.35">
      <c r="A427" s="4" t="s">
        <v>438</v>
      </c>
      <c r="B427" s="1" t="str">
        <f t="shared" si="12"/>
        <v>Corumba IV</v>
      </c>
      <c r="C427" s="1">
        <f t="shared" si="13"/>
        <v>-2539</v>
      </c>
      <c r="D427" s="2">
        <v>0</v>
      </c>
      <c r="E427" s="2">
        <v>0</v>
      </c>
      <c r="F427" s="2">
        <v>0</v>
      </c>
      <c r="G427" s="2">
        <v>0.3629</v>
      </c>
      <c r="H427" s="2">
        <v>103.4796</v>
      </c>
      <c r="I427" s="2">
        <v>4.3304999999999998</v>
      </c>
      <c r="J427" s="2">
        <v>99.511899999999997</v>
      </c>
      <c r="K427" s="2">
        <v>0</v>
      </c>
      <c r="L427" s="2">
        <v>0</v>
      </c>
    </row>
    <row r="428" spans="1:12" x14ac:dyDescent="0.35">
      <c r="A428" s="4" t="s">
        <v>439</v>
      </c>
      <c r="B428" s="1" t="str">
        <f t="shared" si="12"/>
        <v>Lago Paranoa</v>
      </c>
      <c r="C428" s="1">
        <f t="shared" si="13"/>
        <v>-2539</v>
      </c>
      <c r="D428" s="2">
        <v>0</v>
      </c>
      <c r="E428" s="2">
        <v>2302.4499999999998</v>
      </c>
      <c r="F428" s="2">
        <v>0.13159999999999999</v>
      </c>
      <c r="G428" s="2">
        <v>3.7856000000000001</v>
      </c>
      <c r="H428" s="2">
        <v>9.5404999999999998</v>
      </c>
      <c r="I428" s="2">
        <v>1.1223000000000001</v>
      </c>
      <c r="J428" s="2">
        <v>12.0722</v>
      </c>
      <c r="K428" s="2">
        <v>2302.4499999999998</v>
      </c>
      <c r="L428" s="2">
        <v>0</v>
      </c>
    </row>
    <row r="429" spans="1:12" hidden="1" x14ac:dyDescent="0.35">
      <c r="A429" s="4" t="s">
        <v>440</v>
      </c>
      <c r="B429" s="1" t="str">
        <f t="shared" si="12"/>
        <v>Corumba IV</v>
      </c>
      <c r="C429" s="1">
        <f t="shared" si="13"/>
        <v>-2538</v>
      </c>
      <c r="D429" s="2">
        <v>0</v>
      </c>
      <c r="E429" s="2">
        <v>0</v>
      </c>
      <c r="F429" s="2">
        <v>0</v>
      </c>
      <c r="G429" s="2">
        <v>0.3629</v>
      </c>
      <c r="H429" s="2">
        <v>90.842699999999994</v>
      </c>
      <c r="I429" s="2">
        <v>4.133</v>
      </c>
      <c r="J429" s="2">
        <v>87.072599999999994</v>
      </c>
      <c r="K429" s="2">
        <v>0</v>
      </c>
      <c r="L429" s="2">
        <v>0</v>
      </c>
    </row>
    <row r="430" spans="1:12" x14ac:dyDescent="0.35">
      <c r="A430" s="4" t="s">
        <v>441</v>
      </c>
      <c r="B430" s="1" t="str">
        <f t="shared" si="12"/>
        <v>Lago Paranoa</v>
      </c>
      <c r="C430" s="1">
        <f t="shared" si="13"/>
        <v>-2538</v>
      </c>
      <c r="D430" s="2">
        <v>0</v>
      </c>
      <c r="E430" s="2">
        <v>2302.4499999999998</v>
      </c>
      <c r="F430" s="2">
        <v>0.1318</v>
      </c>
      <c r="G430" s="2">
        <v>3.7357999999999998</v>
      </c>
      <c r="H430" s="2">
        <v>9.4727999999999994</v>
      </c>
      <c r="I430" s="2">
        <v>1.0269999999999999</v>
      </c>
      <c r="J430" s="2">
        <v>12.049899999999999</v>
      </c>
      <c r="K430" s="2">
        <v>2302.4499999999998</v>
      </c>
      <c r="L430" s="2">
        <v>0</v>
      </c>
    </row>
    <row r="431" spans="1:12" hidden="1" x14ac:dyDescent="0.35">
      <c r="A431" s="4" t="s">
        <v>442</v>
      </c>
      <c r="B431" s="1" t="str">
        <f t="shared" si="12"/>
        <v>Corumba IV</v>
      </c>
      <c r="C431" s="1">
        <f t="shared" si="13"/>
        <v>-2537</v>
      </c>
      <c r="D431" s="2">
        <v>0</v>
      </c>
      <c r="E431" s="2">
        <v>0</v>
      </c>
      <c r="F431" s="2">
        <v>0</v>
      </c>
      <c r="G431" s="2">
        <v>0.3629</v>
      </c>
      <c r="H431" s="2">
        <v>111.88200000000001</v>
      </c>
      <c r="I431" s="2">
        <v>4.133</v>
      </c>
      <c r="J431" s="2">
        <v>108.1118</v>
      </c>
      <c r="K431" s="2">
        <v>0</v>
      </c>
      <c r="L431" s="2">
        <v>0</v>
      </c>
    </row>
    <row r="432" spans="1:12" x14ac:dyDescent="0.35">
      <c r="A432" s="4" t="s">
        <v>443</v>
      </c>
      <c r="B432" s="1" t="str">
        <f t="shared" si="12"/>
        <v>Lago Paranoa</v>
      </c>
      <c r="C432" s="1">
        <f t="shared" si="13"/>
        <v>-2537</v>
      </c>
      <c r="D432" s="2">
        <v>0</v>
      </c>
      <c r="E432" s="2">
        <v>2302.4499999999998</v>
      </c>
      <c r="F432" s="2">
        <v>0.13189999999999999</v>
      </c>
      <c r="G432" s="2">
        <v>3.4314</v>
      </c>
      <c r="H432" s="2">
        <v>9.3539999999999992</v>
      </c>
      <c r="I432" s="2">
        <v>1.0269999999999999</v>
      </c>
      <c r="J432" s="2">
        <v>11.6265</v>
      </c>
      <c r="K432" s="2">
        <v>2302.4499999999998</v>
      </c>
      <c r="L432" s="2">
        <v>0</v>
      </c>
    </row>
    <row r="433" spans="1:12" hidden="1" x14ac:dyDescent="0.35">
      <c r="A433" s="4" t="s">
        <v>444</v>
      </c>
      <c r="B433" s="1" t="str">
        <f t="shared" si="12"/>
        <v>Corumba IV</v>
      </c>
      <c r="C433" s="1">
        <f t="shared" si="13"/>
        <v>-2536</v>
      </c>
      <c r="D433" s="2">
        <v>0</v>
      </c>
      <c r="E433" s="2">
        <v>0</v>
      </c>
      <c r="F433" s="2">
        <v>0</v>
      </c>
      <c r="G433" s="2">
        <v>0.3629</v>
      </c>
      <c r="H433" s="2">
        <v>88.947900000000004</v>
      </c>
      <c r="I433" s="2">
        <v>3.948</v>
      </c>
      <c r="J433" s="2">
        <v>85.362799999999993</v>
      </c>
      <c r="K433" s="2">
        <v>0</v>
      </c>
      <c r="L433" s="2">
        <v>0</v>
      </c>
    </row>
    <row r="434" spans="1:12" x14ac:dyDescent="0.35">
      <c r="A434" s="4" t="s">
        <v>445</v>
      </c>
      <c r="B434" s="1" t="str">
        <f t="shared" si="12"/>
        <v>Lago Paranoa</v>
      </c>
      <c r="C434" s="1">
        <f t="shared" si="13"/>
        <v>-2536</v>
      </c>
      <c r="D434" s="2">
        <v>0</v>
      </c>
      <c r="E434" s="2">
        <v>2302.4499999999998</v>
      </c>
      <c r="F434" s="2">
        <v>0.13200000000000001</v>
      </c>
      <c r="G434" s="2">
        <v>2.9719000000000002</v>
      </c>
      <c r="H434" s="2">
        <v>7.9157999999999999</v>
      </c>
      <c r="I434" s="2">
        <v>1.0266</v>
      </c>
      <c r="J434" s="2">
        <v>9.7289999999999992</v>
      </c>
      <c r="K434" s="2">
        <v>2302.4499999999998</v>
      </c>
      <c r="L434" s="2">
        <v>0</v>
      </c>
    </row>
    <row r="435" spans="1:12" hidden="1" x14ac:dyDescent="0.35">
      <c r="A435" s="4" t="s">
        <v>446</v>
      </c>
      <c r="B435" s="1" t="str">
        <f t="shared" si="12"/>
        <v>Corumba IV</v>
      </c>
      <c r="C435" s="1">
        <f t="shared" si="13"/>
        <v>-2535</v>
      </c>
      <c r="D435" s="2">
        <v>0</v>
      </c>
      <c r="E435" s="2">
        <v>0</v>
      </c>
      <c r="F435" s="2">
        <v>0</v>
      </c>
      <c r="G435" s="2">
        <v>0.3629</v>
      </c>
      <c r="H435" s="2">
        <v>109.6183</v>
      </c>
      <c r="I435" s="2">
        <v>3.4855</v>
      </c>
      <c r="J435" s="2">
        <v>106.4957</v>
      </c>
      <c r="K435" s="2">
        <v>0</v>
      </c>
      <c r="L435" s="2">
        <v>0</v>
      </c>
    </row>
    <row r="436" spans="1:12" x14ac:dyDescent="0.35">
      <c r="A436" s="4" t="s">
        <v>447</v>
      </c>
      <c r="B436" s="1" t="str">
        <f t="shared" si="12"/>
        <v>Lago Paranoa</v>
      </c>
      <c r="C436" s="1">
        <f t="shared" si="13"/>
        <v>-2535</v>
      </c>
      <c r="D436" s="2">
        <v>0</v>
      </c>
      <c r="E436" s="2">
        <v>2302.4499999999998</v>
      </c>
      <c r="F436" s="2">
        <v>0.153</v>
      </c>
      <c r="G436" s="2">
        <v>3.6006</v>
      </c>
      <c r="H436" s="2">
        <v>9.8231000000000002</v>
      </c>
      <c r="I436" s="2">
        <v>1.0259</v>
      </c>
      <c r="J436" s="2">
        <v>12.2447</v>
      </c>
      <c r="K436" s="2">
        <v>2302.4499999999998</v>
      </c>
      <c r="L436" s="2">
        <v>0</v>
      </c>
    </row>
    <row r="437" spans="1:12" hidden="1" x14ac:dyDescent="0.35">
      <c r="A437" s="4" t="s">
        <v>448</v>
      </c>
      <c r="B437" s="1" t="str">
        <f t="shared" si="12"/>
        <v>Corumba IV</v>
      </c>
      <c r="C437" s="1">
        <f t="shared" si="13"/>
        <v>-2534</v>
      </c>
      <c r="D437" s="2">
        <v>0</v>
      </c>
      <c r="E437" s="2">
        <v>0</v>
      </c>
      <c r="F437" s="2">
        <v>0</v>
      </c>
      <c r="G437" s="2">
        <v>0.3629</v>
      </c>
      <c r="H437" s="2">
        <v>142.1885</v>
      </c>
      <c r="I437" s="2">
        <v>3.4855</v>
      </c>
      <c r="J437" s="2">
        <v>139.0659</v>
      </c>
      <c r="K437" s="2">
        <v>0</v>
      </c>
      <c r="L437" s="2">
        <v>0</v>
      </c>
    </row>
    <row r="438" spans="1:12" x14ac:dyDescent="0.35">
      <c r="A438" s="4" t="s">
        <v>449</v>
      </c>
      <c r="B438" s="1" t="str">
        <f t="shared" si="12"/>
        <v>Lago Paranoa</v>
      </c>
      <c r="C438" s="1">
        <f t="shared" si="13"/>
        <v>-2534</v>
      </c>
      <c r="D438" s="2">
        <v>0</v>
      </c>
      <c r="E438" s="2">
        <v>2302.4499999999998</v>
      </c>
      <c r="F438" s="2">
        <v>0.1532</v>
      </c>
      <c r="G438" s="2">
        <v>5.2995000000000001</v>
      </c>
      <c r="H438" s="2">
        <v>12.8348</v>
      </c>
      <c r="I438" s="2">
        <v>1.0259</v>
      </c>
      <c r="J438" s="2">
        <v>16.955200000000001</v>
      </c>
      <c r="K438" s="2">
        <v>2302.4499999999998</v>
      </c>
      <c r="L438" s="2">
        <v>0</v>
      </c>
    </row>
    <row r="439" spans="1:12" hidden="1" x14ac:dyDescent="0.35">
      <c r="A439" s="4" t="s">
        <v>450</v>
      </c>
      <c r="B439" s="1" t="str">
        <f t="shared" si="12"/>
        <v>Corumba IV</v>
      </c>
      <c r="C439" s="1">
        <f t="shared" si="13"/>
        <v>-2533</v>
      </c>
      <c r="D439" s="2">
        <v>0</v>
      </c>
      <c r="E439" s="2">
        <v>0</v>
      </c>
      <c r="F439" s="2">
        <v>0</v>
      </c>
      <c r="G439" s="2">
        <v>0.3629</v>
      </c>
      <c r="H439" s="2">
        <v>98.579800000000006</v>
      </c>
      <c r="I439" s="2">
        <v>3.4855</v>
      </c>
      <c r="J439" s="2">
        <v>95.4572</v>
      </c>
      <c r="K439" s="2">
        <v>0</v>
      </c>
      <c r="L439" s="2">
        <v>0</v>
      </c>
    </row>
    <row r="440" spans="1:12" x14ac:dyDescent="0.35">
      <c r="A440" s="4" t="s">
        <v>451</v>
      </c>
      <c r="B440" s="1" t="str">
        <f t="shared" si="12"/>
        <v>Lago Paranoa</v>
      </c>
      <c r="C440" s="1">
        <f t="shared" si="13"/>
        <v>-2533</v>
      </c>
      <c r="D440" s="2">
        <v>0</v>
      </c>
      <c r="E440" s="2">
        <v>2302.4499999999998</v>
      </c>
      <c r="F440" s="2">
        <v>0.15329999999999999</v>
      </c>
      <c r="G440" s="2">
        <v>3.5790000000000002</v>
      </c>
      <c r="H440" s="2">
        <v>9.7362000000000002</v>
      </c>
      <c r="I440" s="2">
        <v>1.0259</v>
      </c>
      <c r="J440" s="2">
        <v>12.135999999999999</v>
      </c>
      <c r="K440" s="2">
        <v>2302.4499999999998</v>
      </c>
      <c r="L440" s="2">
        <v>0</v>
      </c>
    </row>
    <row r="441" spans="1:12" hidden="1" x14ac:dyDescent="0.35">
      <c r="A441" s="4" t="s">
        <v>452</v>
      </c>
      <c r="B441" s="1" t="str">
        <f t="shared" si="12"/>
        <v>Corumba IV</v>
      </c>
      <c r="C441" s="1">
        <f t="shared" si="13"/>
        <v>-2532</v>
      </c>
      <c r="D441" s="2">
        <v>0</v>
      </c>
      <c r="E441" s="2">
        <v>0</v>
      </c>
      <c r="F441" s="2">
        <v>0</v>
      </c>
      <c r="G441" s="2">
        <v>0.3629</v>
      </c>
      <c r="H441" s="2">
        <v>83.566100000000006</v>
      </c>
      <c r="I441" s="2">
        <v>3.4954999999999998</v>
      </c>
      <c r="J441" s="2">
        <v>80.433400000000006</v>
      </c>
      <c r="K441" s="2">
        <v>0</v>
      </c>
      <c r="L441" s="2">
        <v>0</v>
      </c>
    </row>
    <row r="442" spans="1:12" x14ac:dyDescent="0.35">
      <c r="A442" s="4" t="s">
        <v>453</v>
      </c>
      <c r="B442" s="1" t="str">
        <f t="shared" si="12"/>
        <v>Lago Paranoa</v>
      </c>
      <c r="C442" s="1">
        <f t="shared" si="13"/>
        <v>-2532</v>
      </c>
      <c r="D442" s="2">
        <v>0</v>
      </c>
      <c r="E442" s="2">
        <v>2302.4499999999998</v>
      </c>
      <c r="F442" s="2">
        <v>0.1535</v>
      </c>
      <c r="G442" s="2">
        <v>3.2195</v>
      </c>
      <c r="H442" s="2">
        <v>7.7812000000000001</v>
      </c>
      <c r="I442" s="2">
        <v>1.0389999999999999</v>
      </c>
      <c r="J442" s="2">
        <v>9.8082999999999991</v>
      </c>
      <c r="K442" s="2">
        <v>2302.4499999999998</v>
      </c>
      <c r="L442" s="2">
        <v>0</v>
      </c>
    </row>
    <row r="443" spans="1:12" hidden="1" x14ac:dyDescent="0.35">
      <c r="A443" s="4" t="s">
        <v>454</v>
      </c>
      <c r="B443" s="1" t="str">
        <f t="shared" si="12"/>
        <v>Corumba IV</v>
      </c>
      <c r="C443" s="1">
        <f t="shared" si="13"/>
        <v>-2531</v>
      </c>
      <c r="D443" s="2">
        <v>0</v>
      </c>
      <c r="E443" s="2">
        <v>0</v>
      </c>
      <c r="F443" s="2">
        <v>0</v>
      </c>
      <c r="G443" s="2">
        <v>0.3629</v>
      </c>
      <c r="H443" s="2">
        <v>75.445300000000003</v>
      </c>
      <c r="I443" s="2">
        <v>3.8708</v>
      </c>
      <c r="J443" s="2">
        <v>71.937399999999997</v>
      </c>
      <c r="K443" s="2">
        <v>0</v>
      </c>
      <c r="L443" s="2">
        <v>0</v>
      </c>
    </row>
    <row r="444" spans="1:12" x14ac:dyDescent="0.35">
      <c r="A444" s="4" t="s">
        <v>455</v>
      </c>
      <c r="B444" s="1" t="str">
        <f t="shared" si="12"/>
        <v>Lago Paranoa</v>
      </c>
      <c r="C444" s="1">
        <f t="shared" si="13"/>
        <v>-2531</v>
      </c>
      <c r="D444" s="2">
        <v>0</v>
      </c>
      <c r="E444" s="2">
        <v>2302.4499999999998</v>
      </c>
      <c r="F444" s="2">
        <v>0.14549999999999999</v>
      </c>
      <c r="G444" s="2">
        <v>3.0255999999999998</v>
      </c>
      <c r="H444" s="2">
        <v>7.2518000000000002</v>
      </c>
      <c r="I444" s="2">
        <v>1.0315000000000001</v>
      </c>
      <c r="J444" s="2">
        <v>9.1005000000000003</v>
      </c>
      <c r="K444" s="2">
        <v>2302.4499999999998</v>
      </c>
      <c r="L444" s="2">
        <v>0</v>
      </c>
    </row>
    <row r="445" spans="1:12" hidden="1" x14ac:dyDescent="0.35">
      <c r="A445" s="4" t="s">
        <v>456</v>
      </c>
      <c r="B445" s="1" t="str">
        <f t="shared" si="12"/>
        <v>Corumba IV</v>
      </c>
      <c r="C445" s="1">
        <f t="shared" si="13"/>
        <v>-2530</v>
      </c>
      <c r="D445" s="2">
        <v>0</v>
      </c>
      <c r="E445" s="2">
        <v>0</v>
      </c>
      <c r="F445" s="2">
        <v>0</v>
      </c>
      <c r="G445" s="2">
        <v>0.3629</v>
      </c>
      <c r="H445" s="2">
        <v>67.227000000000004</v>
      </c>
      <c r="I445" s="2">
        <v>4.0376000000000003</v>
      </c>
      <c r="J445" s="2">
        <v>63.552300000000002</v>
      </c>
      <c r="K445" s="2">
        <v>0</v>
      </c>
      <c r="L445" s="2">
        <v>0</v>
      </c>
    </row>
    <row r="446" spans="1:12" x14ac:dyDescent="0.35">
      <c r="A446" s="4" t="s">
        <v>457</v>
      </c>
      <c r="B446" s="1" t="str">
        <f t="shared" si="12"/>
        <v>Lago Paranoa</v>
      </c>
      <c r="C446" s="1">
        <f t="shared" si="13"/>
        <v>-2530</v>
      </c>
      <c r="D446" s="2">
        <v>0</v>
      </c>
      <c r="E446" s="2">
        <v>2302.4499999999998</v>
      </c>
      <c r="F446" s="2">
        <v>0.14560000000000001</v>
      </c>
      <c r="G446" s="2">
        <v>3.113</v>
      </c>
      <c r="H446" s="2">
        <v>6.5195999999999996</v>
      </c>
      <c r="I446" s="2">
        <v>1.0430999999999999</v>
      </c>
      <c r="J446" s="2">
        <v>8.4437999999999995</v>
      </c>
      <c r="K446" s="2">
        <v>2302.4499999999998</v>
      </c>
      <c r="L446" s="2">
        <v>0</v>
      </c>
    </row>
    <row r="447" spans="1:12" hidden="1" x14ac:dyDescent="0.35">
      <c r="A447" s="4" t="s">
        <v>458</v>
      </c>
      <c r="B447" s="1" t="str">
        <f t="shared" si="12"/>
        <v>Corumba IV</v>
      </c>
      <c r="C447" s="1">
        <f t="shared" si="13"/>
        <v>-2529</v>
      </c>
      <c r="D447" s="2">
        <v>0</v>
      </c>
      <c r="E447" s="2">
        <v>0</v>
      </c>
      <c r="F447" s="2">
        <v>0</v>
      </c>
      <c r="G447" s="2">
        <v>0.3629</v>
      </c>
      <c r="H447" s="2">
        <v>62.894599999999997</v>
      </c>
      <c r="I447" s="2">
        <v>4.0376000000000003</v>
      </c>
      <c r="J447" s="2">
        <v>59.219900000000003</v>
      </c>
      <c r="K447" s="2">
        <v>0</v>
      </c>
      <c r="L447" s="2">
        <v>0</v>
      </c>
    </row>
    <row r="448" spans="1:12" x14ac:dyDescent="0.35">
      <c r="A448" s="4" t="s">
        <v>459</v>
      </c>
      <c r="B448" s="1" t="str">
        <f t="shared" si="12"/>
        <v>Lago Paranoa</v>
      </c>
      <c r="C448" s="1">
        <f t="shared" si="13"/>
        <v>-2529</v>
      </c>
      <c r="D448" s="2">
        <v>0</v>
      </c>
      <c r="E448" s="2">
        <v>2302.4499999999998</v>
      </c>
      <c r="F448" s="2">
        <v>0.14580000000000001</v>
      </c>
      <c r="G448" s="2">
        <v>2.9922</v>
      </c>
      <c r="H448" s="2">
        <v>6.1520999999999999</v>
      </c>
      <c r="I448" s="2">
        <v>1.0430999999999999</v>
      </c>
      <c r="J448" s="2">
        <v>7.9554</v>
      </c>
      <c r="K448" s="2">
        <v>2302.4499999999998</v>
      </c>
      <c r="L448" s="2">
        <v>0</v>
      </c>
    </row>
    <row r="449" spans="1:12" hidden="1" x14ac:dyDescent="0.35">
      <c r="A449" s="4" t="s">
        <v>460</v>
      </c>
      <c r="B449" s="1" t="str">
        <f t="shared" si="12"/>
        <v>Corumba IV</v>
      </c>
      <c r="C449" s="1">
        <f t="shared" si="13"/>
        <v>-2528</v>
      </c>
      <c r="D449" s="2">
        <v>0</v>
      </c>
      <c r="E449" s="2">
        <v>0</v>
      </c>
      <c r="F449" s="2">
        <v>0</v>
      </c>
      <c r="G449" s="2">
        <v>0.3629</v>
      </c>
      <c r="H449" s="2">
        <v>58.2515</v>
      </c>
      <c r="I449" s="2">
        <v>4.0376000000000003</v>
      </c>
      <c r="J449" s="2">
        <v>54.576799999999999</v>
      </c>
      <c r="K449" s="2">
        <v>0</v>
      </c>
      <c r="L449" s="2">
        <v>0</v>
      </c>
    </row>
    <row r="450" spans="1:12" x14ac:dyDescent="0.35">
      <c r="A450" s="4" t="s">
        <v>461</v>
      </c>
      <c r="B450" s="1" t="str">
        <f t="shared" si="12"/>
        <v>Lago Paranoa</v>
      </c>
      <c r="C450" s="1">
        <f t="shared" si="13"/>
        <v>-2528</v>
      </c>
      <c r="D450" s="2">
        <v>0</v>
      </c>
      <c r="E450" s="2">
        <v>2302.4499999999998</v>
      </c>
      <c r="F450" s="2">
        <v>0.1459</v>
      </c>
      <c r="G450" s="2">
        <v>3.4394</v>
      </c>
      <c r="H450" s="2">
        <v>7.0225999999999997</v>
      </c>
      <c r="I450" s="2">
        <v>1.0430999999999999</v>
      </c>
      <c r="J450" s="2">
        <v>9.2728999999999999</v>
      </c>
      <c r="K450" s="2">
        <v>2302.4499999999998</v>
      </c>
      <c r="L450" s="2">
        <v>0</v>
      </c>
    </row>
    <row r="451" spans="1:12" hidden="1" x14ac:dyDescent="0.35">
      <c r="A451" s="4" t="s">
        <v>462</v>
      </c>
      <c r="B451" s="1" t="str">
        <f t="shared" ref="B451:B508" si="14">_xlfn.TEXTBEFORE(_xlfn.TEXTAFTER(A451,"["),"]")</f>
        <v>Corumba IV</v>
      </c>
      <c r="C451" s="1">
        <f t="shared" ref="C451:C508" si="15">--_xlfn.TEXTBEFORE(_xlfn.TEXTAFTER(A451,"Week "),":")</f>
        <v>-2527</v>
      </c>
      <c r="D451" s="2">
        <v>0</v>
      </c>
      <c r="E451" s="2">
        <v>0</v>
      </c>
      <c r="F451" s="2">
        <v>0</v>
      </c>
      <c r="G451" s="2">
        <v>0.3629</v>
      </c>
      <c r="H451" s="2">
        <v>52.870800000000003</v>
      </c>
      <c r="I451" s="2">
        <v>3.5949</v>
      </c>
      <c r="J451" s="2">
        <v>49.6387</v>
      </c>
      <c r="K451" s="2">
        <v>0</v>
      </c>
      <c r="L451" s="2">
        <v>0</v>
      </c>
    </row>
    <row r="452" spans="1:12" x14ac:dyDescent="0.35">
      <c r="A452" s="4" t="s">
        <v>463</v>
      </c>
      <c r="B452" s="1" t="str">
        <f t="shared" si="14"/>
        <v>Lago Paranoa</v>
      </c>
      <c r="C452" s="1">
        <f t="shared" si="15"/>
        <v>-2527</v>
      </c>
      <c r="D452" s="2">
        <v>0</v>
      </c>
      <c r="E452" s="2">
        <v>2302.4499999999998</v>
      </c>
      <c r="F452" s="2">
        <v>0.17480000000000001</v>
      </c>
      <c r="G452" s="2">
        <v>3.1107999999999998</v>
      </c>
      <c r="H452" s="2">
        <v>6.3967999999999998</v>
      </c>
      <c r="I452" s="2">
        <v>0.87890000000000001</v>
      </c>
      <c r="J452" s="2">
        <v>8.4539000000000009</v>
      </c>
      <c r="K452" s="2">
        <v>2302.4499999999998</v>
      </c>
      <c r="L452" s="2">
        <v>0</v>
      </c>
    </row>
    <row r="453" spans="1:12" hidden="1" x14ac:dyDescent="0.35">
      <c r="A453" s="4" t="s">
        <v>464</v>
      </c>
      <c r="B453" s="1" t="str">
        <f t="shared" si="14"/>
        <v>Corumba IV</v>
      </c>
      <c r="C453" s="1">
        <f t="shared" si="15"/>
        <v>-2526</v>
      </c>
      <c r="D453" s="2">
        <v>0</v>
      </c>
      <c r="E453" s="2">
        <v>0</v>
      </c>
      <c r="F453" s="2">
        <v>0</v>
      </c>
      <c r="G453" s="2">
        <v>0.3629</v>
      </c>
      <c r="H453" s="2">
        <v>47.6858</v>
      </c>
      <c r="I453" s="2">
        <v>3.7919</v>
      </c>
      <c r="J453" s="2">
        <v>44.256799999999998</v>
      </c>
      <c r="K453" s="2">
        <v>0</v>
      </c>
      <c r="L453" s="2">
        <v>0</v>
      </c>
    </row>
    <row r="454" spans="1:12" x14ac:dyDescent="0.35">
      <c r="A454" s="4" t="s">
        <v>465</v>
      </c>
      <c r="B454" s="1" t="str">
        <f t="shared" si="14"/>
        <v>Lago Paranoa</v>
      </c>
      <c r="C454" s="1">
        <f t="shared" si="15"/>
        <v>-2526</v>
      </c>
      <c r="D454" s="2">
        <v>0</v>
      </c>
      <c r="E454" s="2">
        <v>2302.4499999999998</v>
      </c>
      <c r="F454" s="2">
        <v>0.17499999999999999</v>
      </c>
      <c r="G454" s="2">
        <v>2.9146000000000001</v>
      </c>
      <c r="H454" s="2">
        <v>5.7542</v>
      </c>
      <c r="I454" s="2">
        <v>0.86219999999999997</v>
      </c>
      <c r="J454" s="2">
        <v>7.6317000000000004</v>
      </c>
      <c r="K454" s="2">
        <v>2302.4499999999998</v>
      </c>
      <c r="L454" s="2">
        <v>0</v>
      </c>
    </row>
    <row r="455" spans="1:12" hidden="1" x14ac:dyDescent="0.35">
      <c r="A455" s="4" t="s">
        <v>466</v>
      </c>
      <c r="B455" s="1" t="str">
        <f t="shared" si="14"/>
        <v>Corumba IV</v>
      </c>
      <c r="C455" s="1">
        <f t="shared" si="15"/>
        <v>-2525</v>
      </c>
      <c r="D455" s="2">
        <v>0</v>
      </c>
      <c r="E455" s="2">
        <v>0</v>
      </c>
      <c r="F455" s="2">
        <v>0</v>
      </c>
      <c r="G455" s="2">
        <v>0.3629</v>
      </c>
      <c r="H455" s="2">
        <v>43.394300000000001</v>
      </c>
      <c r="I455" s="2">
        <v>3.7919</v>
      </c>
      <c r="J455" s="2">
        <v>39.965299999999999</v>
      </c>
      <c r="K455" s="2">
        <v>0</v>
      </c>
      <c r="L455" s="2">
        <v>0</v>
      </c>
    </row>
    <row r="456" spans="1:12" x14ac:dyDescent="0.35">
      <c r="A456" s="4" t="s">
        <v>467</v>
      </c>
      <c r="B456" s="1" t="str">
        <f t="shared" si="14"/>
        <v>Lago Paranoa</v>
      </c>
      <c r="C456" s="1">
        <f t="shared" si="15"/>
        <v>-2525</v>
      </c>
      <c r="D456" s="2">
        <v>0</v>
      </c>
      <c r="E456" s="2">
        <v>2302.4499999999998</v>
      </c>
      <c r="F456" s="2">
        <v>0.17510000000000001</v>
      </c>
      <c r="G456" s="2">
        <v>2.7673000000000001</v>
      </c>
      <c r="H456" s="2">
        <v>5.5251999999999999</v>
      </c>
      <c r="I456" s="2">
        <v>0.86219999999999997</v>
      </c>
      <c r="J456" s="2">
        <v>7.2552000000000003</v>
      </c>
      <c r="K456" s="2">
        <v>2302.4499999999998</v>
      </c>
      <c r="L456" s="2">
        <v>0</v>
      </c>
    </row>
    <row r="457" spans="1:12" hidden="1" x14ac:dyDescent="0.35">
      <c r="A457" s="4" t="s">
        <v>468</v>
      </c>
      <c r="B457" s="1" t="str">
        <f t="shared" si="14"/>
        <v>Corumba IV</v>
      </c>
      <c r="C457" s="1">
        <f t="shared" si="15"/>
        <v>-2524</v>
      </c>
      <c r="D457" s="2">
        <v>0</v>
      </c>
      <c r="E457" s="2">
        <v>0</v>
      </c>
      <c r="F457" s="2">
        <v>0</v>
      </c>
      <c r="G457" s="2">
        <v>0.3629</v>
      </c>
      <c r="H457" s="2">
        <v>40.496299999999998</v>
      </c>
      <c r="I457" s="2">
        <v>3.7919</v>
      </c>
      <c r="J457" s="2">
        <v>37.067300000000003</v>
      </c>
      <c r="K457" s="2">
        <v>0</v>
      </c>
      <c r="L457" s="2">
        <v>0</v>
      </c>
    </row>
    <row r="458" spans="1:12" x14ac:dyDescent="0.35">
      <c r="A458" s="4" t="s">
        <v>469</v>
      </c>
      <c r="B458" s="1" t="str">
        <f t="shared" si="14"/>
        <v>Lago Paranoa</v>
      </c>
      <c r="C458" s="1">
        <f t="shared" si="15"/>
        <v>-2524</v>
      </c>
      <c r="D458" s="2">
        <v>0</v>
      </c>
      <c r="E458" s="2">
        <v>2302.4499999999998</v>
      </c>
      <c r="F458" s="2">
        <v>0.17530000000000001</v>
      </c>
      <c r="G458" s="2">
        <v>2.6680999999999999</v>
      </c>
      <c r="H458" s="2">
        <v>5.3844000000000003</v>
      </c>
      <c r="I458" s="2">
        <v>0.86219999999999997</v>
      </c>
      <c r="J458" s="2">
        <v>7.0151000000000003</v>
      </c>
      <c r="K458" s="2">
        <v>2302.4499999999998</v>
      </c>
      <c r="L458" s="2">
        <v>0</v>
      </c>
    </row>
    <row r="459" spans="1:12" hidden="1" x14ac:dyDescent="0.35">
      <c r="A459" s="4" t="s">
        <v>470</v>
      </c>
      <c r="B459" s="1" t="str">
        <f t="shared" si="14"/>
        <v>Corumba IV</v>
      </c>
      <c r="C459" s="1">
        <f t="shared" si="15"/>
        <v>-2523</v>
      </c>
      <c r="D459" s="2">
        <v>0</v>
      </c>
      <c r="E459" s="2">
        <v>0</v>
      </c>
      <c r="F459" s="2">
        <v>0</v>
      </c>
      <c r="G459" s="2">
        <v>0.3629</v>
      </c>
      <c r="H459" s="2">
        <v>38.078899999999997</v>
      </c>
      <c r="I459" s="2">
        <v>4.1079999999999997</v>
      </c>
      <c r="J459" s="2">
        <v>34.333799999999997</v>
      </c>
      <c r="K459" s="2">
        <v>0</v>
      </c>
      <c r="L459" s="2">
        <v>0</v>
      </c>
    </row>
    <row r="460" spans="1:12" x14ac:dyDescent="0.35">
      <c r="A460" s="4" t="s">
        <v>471</v>
      </c>
      <c r="B460" s="1" t="str">
        <f t="shared" si="14"/>
        <v>Lago Paranoa</v>
      </c>
      <c r="C460" s="1">
        <f t="shared" si="15"/>
        <v>-2523</v>
      </c>
      <c r="D460" s="2">
        <v>0</v>
      </c>
      <c r="E460" s="2">
        <v>2302.4499999999998</v>
      </c>
      <c r="F460" s="2">
        <v>0.1754</v>
      </c>
      <c r="G460" s="2">
        <v>2.5981999999999998</v>
      </c>
      <c r="H460" s="2">
        <v>5.3038999999999996</v>
      </c>
      <c r="I460" s="2">
        <v>0.95650000000000002</v>
      </c>
      <c r="J460" s="2">
        <v>6.7702</v>
      </c>
      <c r="K460" s="2">
        <v>2302.4499999999998</v>
      </c>
      <c r="L460" s="2">
        <v>0</v>
      </c>
    </row>
    <row r="461" spans="1:12" hidden="1" x14ac:dyDescent="0.35">
      <c r="A461" s="4" t="s">
        <v>472</v>
      </c>
      <c r="B461" s="1" t="str">
        <f t="shared" si="14"/>
        <v>Corumba IV</v>
      </c>
      <c r="C461" s="1">
        <f t="shared" si="15"/>
        <v>-2522</v>
      </c>
      <c r="D461" s="2">
        <v>0</v>
      </c>
      <c r="E461" s="2">
        <v>0</v>
      </c>
      <c r="F461" s="2">
        <v>0</v>
      </c>
      <c r="G461" s="2">
        <v>0.3629</v>
      </c>
      <c r="H461" s="2">
        <v>34.604799999999997</v>
      </c>
      <c r="I461" s="2">
        <v>5.0331999999999999</v>
      </c>
      <c r="J461" s="2">
        <v>29.9345</v>
      </c>
      <c r="K461" s="2">
        <v>0</v>
      </c>
      <c r="L461" s="2">
        <v>0</v>
      </c>
    </row>
    <row r="462" spans="1:12" x14ac:dyDescent="0.35">
      <c r="A462" s="4" t="s">
        <v>473</v>
      </c>
      <c r="B462" s="1" t="str">
        <f t="shared" si="14"/>
        <v>Lago Paranoa</v>
      </c>
      <c r="C462" s="1">
        <f t="shared" si="15"/>
        <v>-2522</v>
      </c>
      <c r="D462" s="2">
        <v>0</v>
      </c>
      <c r="E462" s="2">
        <v>2302.4499999999998</v>
      </c>
      <c r="F462" s="2">
        <v>0.19139999999999999</v>
      </c>
      <c r="G462" s="2">
        <v>2.5705</v>
      </c>
      <c r="H462" s="2">
        <v>5.1289999999999996</v>
      </c>
      <c r="I462" s="2">
        <v>1.2343999999999999</v>
      </c>
      <c r="J462" s="2">
        <v>6.2737999999999996</v>
      </c>
      <c r="K462" s="2">
        <v>2302.4499999999998</v>
      </c>
      <c r="L462" s="2">
        <v>0</v>
      </c>
    </row>
    <row r="463" spans="1:12" hidden="1" x14ac:dyDescent="0.35">
      <c r="A463" s="4" t="s">
        <v>474</v>
      </c>
      <c r="B463" s="1" t="str">
        <f t="shared" si="14"/>
        <v>Corumba IV</v>
      </c>
      <c r="C463" s="1">
        <f t="shared" si="15"/>
        <v>-2521</v>
      </c>
      <c r="D463" s="2">
        <v>0</v>
      </c>
      <c r="E463" s="2">
        <v>0</v>
      </c>
      <c r="F463" s="2">
        <v>0</v>
      </c>
      <c r="G463" s="2">
        <v>0.3629</v>
      </c>
      <c r="H463" s="2">
        <v>35.252299999999998</v>
      </c>
      <c r="I463" s="2">
        <v>5.0331999999999999</v>
      </c>
      <c r="J463" s="2">
        <v>30.582000000000001</v>
      </c>
      <c r="K463" s="2">
        <v>0</v>
      </c>
      <c r="L463" s="2">
        <v>0</v>
      </c>
    </row>
    <row r="464" spans="1:12" x14ac:dyDescent="0.35">
      <c r="A464" s="4" t="s">
        <v>475</v>
      </c>
      <c r="B464" s="1" t="str">
        <f t="shared" si="14"/>
        <v>Lago Paranoa</v>
      </c>
      <c r="C464" s="1">
        <f t="shared" si="15"/>
        <v>-2521</v>
      </c>
      <c r="D464" s="2">
        <v>0</v>
      </c>
      <c r="E464" s="2">
        <v>2302.4499999999998</v>
      </c>
      <c r="F464" s="2">
        <v>0.1915</v>
      </c>
      <c r="G464" s="2">
        <v>2.8209</v>
      </c>
      <c r="H464" s="2">
        <v>5.2415000000000003</v>
      </c>
      <c r="I464" s="2">
        <v>1.2343999999999999</v>
      </c>
      <c r="J464" s="2">
        <v>6.6364999999999998</v>
      </c>
      <c r="K464" s="2">
        <v>2302.4499999999998</v>
      </c>
      <c r="L464" s="2">
        <v>0</v>
      </c>
    </row>
    <row r="465" spans="1:12" hidden="1" x14ac:dyDescent="0.35">
      <c r="A465" s="4" t="s">
        <v>476</v>
      </c>
      <c r="B465" s="1" t="str">
        <f t="shared" si="14"/>
        <v>Corumba IV</v>
      </c>
      <c r="C465" s="1">
        <f t="shared" si="15"/>
        <v>-2520</v>
      </c>
      <c r="D465" s="2">
        <v>0</v>
      </c>
      <c r="E465" s="2">
        <v>0</v>
      </c>
      <c r="F465" s="2">
        <v>0</v>
      </c>
      <c r="G465" s="2">
        <v>0.3629</v>
      </c>
      <c r="H465" s="2">
        <v>32.8932</v>
      </c>
      <c r="I465" s="2">
        <v>5.0331999999999999</v>
      </c>
      <c r="J465" s="2">
        <v>28.222899999999999</v>
      </c>
      <c r="K465" s="2">
        <v>0</v>
      </c>
      <c r="L465" s="2">
        <v>0</v>
      </c>
    </row>
    <row r="466" spans="1:12" x14ac:dyDescent="0.35">
      <c r="A466" s="4" t="s">
        <v>477</v>
      </c>
      <c r="B466" s="1" t="str">
        <f t="shared" si="14"/>
        <v>Lago Paranoa</v>
      </c>
      <c r="C466" s="1">
        <f t="shared" si="15"/>
        <v>-2520</v>
      </c>
      <c r="D466" s="2">
        <v>0</v>
      </c>
      <c r="E466" s="2">
        <v>2302.4499999999998</v>
      </c>
      <c r="F466" s="2">
        <v>0.19170000000000001</v>
      </c>
      <c r="G466" s="2">
        <v>2.6111</v>
      </c>
      <c r="H466" s="2">
        <v>5.1281999999999996</v>
      </c>
      <c r="I466" s="2">
        <v>1.2343999999999999</v>
      </c>
      <c r="J466" s="2">
        <v>6.3132000000000001</v>
      </c>
      <c r="K466" s="2">
        <v>2302.4499999999998</v>
      </c>
      <c r="L466" s="2">
        <v>0</v>
      </c>
    </row>
    <row r="467" spans="1:12" hidden="1" x14ac:dyDescent="0.35">
      <c r="A467" s="4" t="s">
        <v>478</v>
      </c>
      <c r="B467" s="1" t="str">
        <f t="shared" si="14"/>
        <v>Corumba IV</v>
      </c>
      <c r="C467" s="1">
        <f t="shared" si="15"/>
        <v>-2519</v>
      </c>
      <c r="D467" s="2">
        <v>0</v>
      </c>
      <c r="E467" s="2">
        <v>0</v>
      </c>
      <c r="F467" s="2">
        <v>0</v>
      </c>
      <c r="G467" s="2">
        <v>0.3629</v>
      </c>
      <c r="H467" s="2">
        <v>30.775600000000001</v>
      </c>
      <c r="I467" s="2">
        <v>5.0331999999999999</v>
      </c>
      <c r="J467" s="2">
        <v>26.1053</v>
      </c>
      <c r="K467" s="2">
        <v>0</v>
      </c>
      <c r="L467" s="2">
        <v>0</v>
      </c>
    </row>
    <row r="468" spans="1:12" x14ac:dyDescent="0.35">
      <c r="A468" s="4" t="s">
        <v>479</v>
      </c>
      <c r="B468" s="1" t="str">
        <f t="shared" si="14"/>
        <v>Lago Paranoa</v>
      </c>
      <c r="C468" s="1">
        <f t="shared" si="15"/>
        <v>-2519</v>
      </c>
      <c r="D468" s="2">
        <v>0</v>
      </c>
      <c r="E468" s="2">
        <v>2302.4499999999998</v>
      </c>
      <c r="F468" s="2">
        <v>0.1918</v>
      </c>
      <c r="G468" s="2">
        <v>2.5009000000000001</v>
      </c>
      <c r="H468" s="2">
        <v>4.8662999999999998</v>
      </c>
      <c r="I468" s="2">
        <v>1.2343999999999999</v>
      </c>
      <c r="J468" s="2">
        <v>5.9409999999999998</v>
      </c>
      <c r="K468" s="2">
        <v>2302.4499999999998</v>
      </c>
      <c r="L468" s="2">
        <v>0</v>
      </c>
    </row>
    <row r="469" spans="1:12" hidden="1" x14ac:dyDescent="0.35">
      <c r="A469" s="4" t="s">
        <v>480</v>
      </c>
      <c r="B469" s="1" t="str">
        <f t="shared" si="14"/>
        <v>Corumba IV</v>
      </c>
      <c r="C469" s="1">
        <f t="shared" si="15"/>
        <v>-2518</v>
      </c>
      <c r="D469" s="2">
        <v>0</v>
      </c>
      <c r="E469" s="2">
        <v>0</v>
      </c>
      <c r="F469" s="2">
        <v>0</v>
      </c>
      <c r="G469" s="2">
        <v>0.3629</v>
      </c>
      <c r="H469" s="2">
        <v>29.621300000000002</v>
      </c>
      <c r="I469" s="2">
        <v>5.8121</v>
      </c>
      <c r="J469" s="2">
        <v>24.172000000000001</v>
      </c>
      <c r="K469" s="2">
        <v>0</v>
      </c>
      <c r="L469" s="2">
        <v>0</v>
      </c>
    </row>
    <row r="470" spans="1:12" x14ac:dyDescent="0.35">
      <c r="A470" s="4" t="s">
        <v>481</v>
      </c>
      <c r="B470" s="1" t="str">
        <f t="shared" si="14"/>
        <v>Lago Paranoa</v>
      </c>
      <c r="C470" s="1">
        <f t="shared" si="15"/>
        <v>-2518</v>
      </c>
      <c r="D470" s="2">
        <v>0</v>
      </c>
      <c r="E470" s="2">
        <v>2302.4499999999998</v>
      </c>
      <c r="F470" s="2">
        <v>0.20610000000000001</v>
      </c>
      <c r="G470" s="2">
        <v>2.4931000000000001</v>
      </c>
      <c r="H470" s="2">
        <v>4.8353999999999999</v>
      </c>
      <c r="I470" s="2">
        <v>1.4512</v>
      </c>
      <c r="J470" s="2">
        <v>5.6711999999999998</v>
      </c>
      <c r="K470" s="2">
        <v>2302.4499999999998</v>
      </c>
      <c r="L470" s="2">
        <v>0</v>
      </c>
    </row>
    <row r="471" spans="1:12" hidden="1" x14ac:dyDescent="0.35">
      <c r="A471" s="4" t="s">
        <v>482</v>
      </c>
      <c r="B471" s="1" t="str">
        <f t="shared" si="14"/>
        <v>Corumba IV</v>
      </c>
      <c r="C471" s="1">
        <f t="shared" si="15"/>
        <v>-2517</v>
      </c>
      <c r="D471" s="2">
        <v>0</v>
      </c>
      <c r="E471" s="2">
        <v>0</v>
      </c>
      <c r="F471" s="2">
        <v>0</v>
      </c>
      <c r="G471" s="2">
        <v>0.3629</v>
      </c>
      <c r="H471" s="2">
        <v>27.8551</v>
      </c>
      <c r="I471" s="2">
        <v>5.9419000000000004</v>
      </c>
      <c r="J471" s="2">
        <v>22.276</v>
      </c>
      <c r="K471" s="2">
        <v>0</v>
      </c>
      <c r="L471" s="2">
        <v>0</v>
      </c>
    </row>
    <row r="472" spans="1:12" x14ac:dyDescent="0.35">
      <c r="A472" s="4" t="s">
        <v>483</v>
      </c>
      <c r="B472" s="1" t="str">
        <f t="shared" si="14"/>
        <v>Lago Paranoa</v>
      </c>
      <c r="C472" s="1">
        <f t="shared" si="15"/>
        <v>-2517</v>
      </c>
      <c r="D472" s="2">
        <v>0</v>
      </c>
      <c r="E472" s="2">
        <v>2302.4499999999998</v>
      </c>
      <c r="F472" s="2">
        <v>0.20630000000000001</v>
      </c>
      <c r="G472" s="2">
        <v>2.4540999999999999</v>
      </c>
      <c r="H472" s="2">
        <v>4.6283000000000003</v>
      </c>
      <c r="I472" s="2">
        <v>1.4873000000000001</v>
      </c>
      <c r="J472" s="2">
        <v>5.3887999999999998</v>
      </c>
      <c r="K472" s="2">
        <v>2302.4499999999998</v>
      </c>
      <c r="L472" s="2">
        <v>0</v>
      </c>
    </row>
    <row r="473" spans="1:12" hidden="1" x14ac:dyDescent="0.35">
      <c r="A473" s="4" t="s">
        <v>484</v>
      </c>
      <c r="B473" s="1" t="str">
        <f t="shared" si="14"/>
        <v>Corumba IV</v>
      </c>
      <c r="C473" s="1">
        <f t="shared" si="15"/>
        <v>-2516</v>
      </c>
      <c r="D473" s="2">
        <v>0</v>
      </c>
      <c r="E473" s="2">
        <v>0</v>
      </c>
      <c r="F473" s="2">
        <v>0</v>
      </c>
      <c r="G473" s="2">
        <v>0.3629</v>
      </c>
      <c r="H473" s="2">
        <v>26.208600000000001</v>
      </c>
      <c r="I473" s="2">
        <v>5.9419000000000004</v>
      </c>
      <c r="J473" s="2">
        <v>20.6295</v>
      </c>
      <c r="K473" s="2">
        <v>0</v>
      </c>
      <c r="L473" s="2">
        <v>0</v>
      </c>
    </row>
    <row r="474" spans="1:12" x14ac:dyDescent="0.35">
      <c r="A474" s="4" t="s">
        <v>485</v>
      </c>
      <c r="B474" s="1" t="str">
        <f t="shared" si="14"/>
        <v>Lago Paranoa</v>
      </c>
      <c r="C474" s="1">
        <f t="shared" si="15"/>
        <v>-2516</v>
      </c>
      <c r="D474" s="2">
        <v>0</v>
      </c>
      <c r="E474" s="2">
        <v>2302.4499999999998</v>
      </c>
      <c r="F474" s="2">
        <v>0.2064</v>
      </c>
      <c r="G474" s="2">
        <v>2.3327</v>
      </c>
      <c r="H474" s="2">
        <v>4.4547999999999996</v>
      </c>
      <c r="I474" s="2">
        <v>1.4873000000000001</v>
      </c>
      <c r="J474" s="2">
        <v>5.0937999999999999</v>
      </c>
      <c r="K474" s="2">
        <v>2302.4499999999998</v>
      </c>
      <c r="L474" s="2">
        <v>0</v>
      </c>
    </row>
    <row r="475" spans="1:12" hidden="1" x14ac:dyDescent="0.35">
      <c r="A475" s="4" t="s">
        <v>486</v>
      </c>
      <c r="B475" s="1" t="str">
        <f t="shared" si="14"/>
        <v>Corumba IV</v>
      </c>
      <c r="C475" s="1">
        <f t="shared" si="15"/>
        <v>-2515</v>
      </c>
      <c r="D475" s="2">
        <v>0</v>
      </c>
      <c r="E475" s="2">
        <v>0</v>
      </c>
      <c r="F475" s="2">
        <v>0</v>
      </c>
      <c r="G475" s="2">
        <v>0.3629</v>
      </c>
      <c r="H475" s="2">
        <v>24.583600000000001</v>
      </c>
      <c r="I475" s="2">
        <v>5.9419000000000004</v>
      </c>
      <c r="J475" s="2">
        <v>19.0045</v>
      </c>
      <c r="K475" s="2">
        <v>0</v>
      </c>
      <c r="L475" s="2">
        <v>0</v>
      </c>
    </row>
    <row r="476" spans="1:12" x14ac:dyDescent="0.35">
      <c r="A476" s="4" t="s">
        <v>487</v>
      </c>
      <c r="B476" s="1" t="str">
        <f t="shared" si="14"/>
        <v>Lago Paranoa</v>
      </c>
      <c r="C476" s="1">
        <f t="shared" si="15"/>
        <v>-2515</v>
      </c>
      <c r="D476" s="2">
        <v>0</v>
      </c>
      <c r="E476" s="2">
        <v>2302.4499999999998</v>
      </c>
      <c r="F476" s="2">
        <v>0.20660000000000001</v>
      </c>
      <c r="G476" s="2">
        <v>2.101</v>
      </c>
      <c r="H476" s="2">
        <v>4.1475999999999997</v>
      </c>
      <c r="I476" s="2">
        <v>1.4873000000000001</v>
      </c>
      <c r="J476" s="2">
        <v>4.5548000000000002</v>
      </c>
      <c r="K476" s="2">
        <v>2302.4499999999998</v>
      </c>
      <c r="L476" s="2">
        <v>0</v>
      </c>
    </row>
    <row r="477" spans="1:12" hidden="1" x14ac:dyDescent="0.35">
      <c r="A477" s="4" t="s">
        <v>488</v>
      </c>
      <c r="B477" s="1" t="str">
        <f t="shared" si="14"/>
        <v>Corumba IV</v>
      </c>
      <c r="C477" s="1">
        <f t="shared" si="15"/>
        <v>-2514</v>
      </c>
      <c r="D477" s="2">
        <v>0</v>
      </c>
      <c r="E477" s="2">
        <v>0</v>
      </c>
      <c r="F477" s="2">
        <v>0</v>
      </c>
      <c r="G477" s="2">
        <v>0.3629</v>
      </c>
      <c r="H477" s="2">
        <v>22.5761</v>
      </c>
      <c r="I477" s="2">
        <v>5.9767000000000001</v>
      </c>
      <c r="J477" s="2">
        <v>16.962299999999999</v>
      </c>
      <c r="K477" s="2">
        <v>0</v>
      </c>
      <c r="L477" s="2">
        <v>0</v>
      </c>
    </row>
    <row r="478" spans="1:12" x14ac:dyDescent="0.35">
      <c r="A478" s="4" t="s">
        <v>489</v>
      </c>
      <c r="B478" s="1" t="str">
        <f t="shared" si="14"/>
        <v>Lago Paranoa</v>
      </c>
      <c r="C478" s="1">
        <f t="shared" si="15"/>
        <v>-2514</v>
      </c>
      <c r="D478" s="2">
        <v>0</v>
      </c>
      <c r="E478" s="2">
        <v>2302.4499999999998</v>
      </c>
      <c r="F478" s="2">
        <v>0.25790000000000002</v>
      </c>
      <c r="G478" s="2">
        <v>2.2429000000000001</v>
      </c>
      <c r="H478" s="2">
        <v>4.2358000000000002</v>
      </c>
      <c r="I478" s="2">
        <v>1.4398</v>
      </c>
      <c r="J478" s="2">
        <v>4.7809999999999997</v>
      </c>
      <c r="K478" s="2">
        <v>2302.4499999999998</v>
      </c>
      <c r="L478" s="2">
        <v>0</v>
      </c>
    </row>
    <row r="479" spans="1:12" hidden="1" x14ac:dyDescent="0.35">
      <c r="A479" s="4" t="s">
        <v>490</v>
      </c>
      <c r="B479" s="1" t="str">
        <f t="shared" si="14"/>
        <v>Corumba IV</v>
      </c>
      <c r="C479" s="1">
        <f t="shared" si="15"/>
        <v>-2513</v>
      </c>
      <c r="D479" s="2">
        <v>0</v>
      </c>
      <c r="E479" s="2">
        <v>0</v>
      </c>
      <c r="F479" s="2">
        <v>0</v>
      </c>
      <c r="G479" s="2">
        <v>0.3629</v>
      </c>
      <c r="H479" s="2">
        <v>23.483000000000001</v>
      </c>
      <c r="I479" s="2">
        <v>6.0231000000000003</v>
      </c>
      <c r="J479" s="2">
        <v>17.822800000000001</v>
      </c>
      <c r="K479" s="2">
        <v>0</v>
      </c>
      <c r="L479" s="2">
        <v>0</v>
      </c>
    </row>
    <row r="480" spans="1:12" x14ac:dyDescent="0.35">
      <c r="A480" s="4" t="s">
        <v>491</v>
      </c>
      <c r="B480" s="1" t="str">
        <f t="shared" si="14"/>
        <v>Lago Paranoa</v>
      </c>
      <c r="C480" s="1">
        <f t="shared" si="15"/>
        <v>-2513</v>
      </c>
      <c r="D480" s="2">
        <v>0</v>
      </c>
      <c r="E480" s="2">
        <v>2302.4499999999998</v>
      </c>
      <c r="F480" s="2">
        <v>0.2581</v>
      </c>
      <c r="G480" s="2">
        <v>2.3252999999999999</v>
      </c>
      <c r="H480" s="2">
        <v>3.8898000000000001</v>
      </c>
      <c r="I480" s="2">
        <v>1.3765000000000001</v>
      </c>
      <c r="J480" s="2">
        <v>4.5804</v>
      </c>
      <c r="K480" s="2">
        <v>2302.4499999999998</v>
      </c>
      <c r="L480" s="2">
        <v>0</v>
      </c>
    </row>
    <row r="481" spans="1:12" hidden="1" x14ac:dyDescent="0.35">
      <c r="A481" s="4" t="s">
        <v>492</v>
      </c>
      <c r="B481" s="1" t="str">
        <f t="shared" si="14"/>
        <v>Corumba IV</v>
      </c>
      <c r="C481" s="1">
        <f t="shared" si="15"/>
        <v>-2512</v>
      </c>
      <c r="D481" s="2">
        <v>0</v>
      </c>
      <c r="E481" s="2">
        <v>0</v>
      </c>
      <c r="F481" s="2">
        <v>0</v>
      </c>
      <c r="G481" s="2">
        <v>0.3629</v>
      </c>
      <c r="H481" s="2">
        <v>24.495999999999999</v>
      </c>
      <c r="I481" s="2">
        <v>6.0231000000000003</v>
      </c>
      <c r="J481" s="2">
        <v>18.835799999999999</v>
      </c>
      <c r="K481" s="2">
        <v>0</v>
      </c>
      <c r="L481" s="2">
        <v>0</v>
      </c>
    </row>
    <row r="482" spans="1:12" x14ac:dyDescent="0.35">
      <c r="A482" s="4" t="s">
        <v>493</v>
      </c>
      <c r="B482" s="1" t="str">
        <f t="shared" si="14"/>
        <v>Lago Paranoa</v>
      </c>
      <c r="C482" s="1">
        <f t="shared" si="15"/>
        <v>-2512</v>
      </c>
      <c r="D482" s="2">
        <v>0</v>
      </c>
      <c r="E482" s="2">
        <v>2302.4499999999998</v>
      </c>
      <c r="F482" s="2">
        <v>0.25829999999999997</v>
      </c>
      <c r="G482" s="2">
        <v>2.5129000000000001</v>
      </c>
      <c r="H482" s="2">
        <v>4.1372999999999998</v>
      </c>
      <c r="I482" s="2">
        <v>1.3765000000000001</v>
      </c>
      <c r="J482" s="2">
        <v>5.0152999999999999</v>
      </c>
      <c r="K482" s="2">
        <v>2302.4499999999998</v>
      </c>
      <c r="L482" s="2">
        <v>0</v>
      </c>
    </row>
    <row r="483" spans="1:12" hidden="1" x14ac:dyDescent="0.35">
      <c r="A483" s="4" t="s">
        <v>494</v>
      </c>
      <c r="B483" s="1" t="str">
        <f t="shared" si="14"/>
        <v>Corumba IV</v>
      </c>
      <c r="C483" s="1">
        <f t="shared" si="15"/>
        <v>-2511</v>
      </c>
      <c r="D483" s="2">
        <v>0</v>
      </c>
      <c r="E483" s="2">
        <v>0</v>
      </c>
      <c r="F483" s="2">
        <v>0</v>
      </c>
      <c r="G483" s="2">
        <v>0.3629</v>
      </c>
      <c r="H483" s="2">
        <v>21.2971</v>
      </c>
      <c r="I483" s="2">
        <v>6.0231000000000003</v>
      </c>
      <c r="J483" s="2">
        <v>15.636799999999999</v>
      </c>
      <c r="K483" s="2">
        <v>0</v>
      </c>
      <c r="L483" s="2">
        <v>0</v>
      </c>
    </row>
    <row r="484" spans="1:12" x14ac:dyDescent="0.35">
      <c r="A484" s="4" t="s">
        <v>495</v>
      </c>
      <c r="B484" s="1" t="str">
        <f t="shared" si="14"/>
        <v>Lago Paranoa</v>
      </c>
      <c r="C484" s="1">
        <f t="shared" si="15"/>
        <v>-2511</v>
      </c>
      <c r="D484" s="2">
        <v>0</v>
      </c>
      <c r="E484" s="2">
        <v>2302.4499999999998</v>
      </c>
      <c r="F484" s="2">
        <v>0.25850000000000001</v>
      </c>
      <c r="G484" s="2">
        <v>2.2429999999999999</v>
      </c>
      <c r="H484" s="2">
        <v>3.7301000000000002</v>
      </c>
      <c r="I484" s="2">
        <v>1.3765000000000001</v>
      </c>
      <c r="J484" s="2">
        <v>4.3380999999999998</v>
      </c>
      <c r="K484" s="2">
        <v>2302.4499999999998</v>
      </c>
      <c r="L484" s="2">
        <v>0</v>
      </c>
    </row>
    <row r="485" spans="1:12" hidden="1" x14ac:dyDescent="0.35">
      <c r="A485" s="4" t="s">
        <v>496</v>
      </c>
      <c r="B485" s="1" t="str">
        <f t="shared" si="14"/>
        <v>Corumba IV</v>
      </c>
      <c r="C485" s="1">
        <f t="shared" si="15"/>
        <v>-2510</v>
      </c>
      <c r="D485" s="2">
        <v>0</v>
      </c>
      <c r="E485" s="2">
        <v>0</v>
      </c>
      <c r="F485" s="2">
        <v>0</v>
      </c>
      <c r="G485" s="2">
        <v>0.3629</v>
      </c>
      <c r="H485" s="2">
        <v>19.919599999999999</v>
      </c>
      <c r="I485" s="2">
        <v>5.9954000000000001</v>
      </c>
      <c r="J485" s="2">
        <v>14.287100000000001</v>
      </c>
      <c r="K485" s="2">
        <v>0</v>
      </c>
      <c r="L485" s="2">
        <v>0</v>
      </c>
    </row>
    <row r="486" spans="1:12" x14ac:dyDescent="0.35">
      <c r="A486" s="4" t="s">
        <v>497</v>
      </c>
      <c r="B486" s="1" t="str">
        <f t="shared" si="14"/>
        <v>Lago Paranoa</v>
      </c>
      <c r="C486" s="1">
        <f t="shared" si="15"/>
        <v>-2510</v>
      </c>
      <c r="D486" s="2">
        <v>0</v>
      </c>
      <c r="E486" s="2">
        <v>2302.4499999999998</v>
      </c>
      <c r="F486" s="2">
        <v>0.26429999999999998</v>
      </c>
      <c r="G486" s="2">
        <v>2.0480999999999998</v>
      </c>
      <c r="H486" s="2">
        <v>3.5689000000000002</v>
      </c>
      <c r="I486" s="2">
        <v>1.3605</v>
      </c>
      <c r="J486" s="2">
        <v>3.992</v>
      </c>
      <c r="K486" s="2">
        <v>2302.4499999999998</v>
      </c>
      <c r="L486" s="2">
        <v>0</v>
      </c>
    </row>
    <row r="487" spans="1:12" hidden="1" x14ac:dyDescent="0.35">
      <c r="A487" s="4" t="s">
        <v>498</v>
      </c>
      <c r="B487" s="1" t="str">
        <f t="shared" si="14"/>
        <v>Corumba IV</v>
      </c>
      <c r="C487" s="1">
        <f t="shared" si="15"/>
        <v>-2509</v>
      </c>
      <c r="D487" s="2">
        <v>0</v>
      </c>
      <c r="E487" s="2">
        <v>0</v>
      </c>
      <c r="F487" s="2">
        <v>0</v>
      </c>
      <c r="G487" s="2">
        <v>0.3629</v>
      </c>
      <c r="H487" s="2">
        <v>38.080399999999997</v>
      </c>
      <c r="I487" s="2">
        <v>5.8292999999999999</v>
      </c>
      <c r="J487" s="2">
        <v>32.613999999999997</v>
      </c>
      <c r="K487" s="2">
        <v>0</v>
      </c>
      <c r="L487" s="2">
        <v>0</v>
      </c>
    </row>
    <row r="488" spans="1:12" x14ac:dyDescent="0.35">
      <c r="A488" s="4" t="s">
        <v>499</v>
      </c>
      <c r="B488" s="1" t="str">
        <f t="shared" si="14"/>
        <v>Lago Paranoa</v>
      </c>
      <c r="C488" s="1">
        <f t="shared" si="15"/>
        <v>-2509</v>
      </c>
      <c r="D488" s="2">
        <v>0</v>
      </c>
      <c r="E488" s="2">
        <v>2302.4499999999998</v>
      </c>
      <c r="F488" s="2">
        <v>0.2278</v>
      </c>
      <c r="G488" s="2">
        <v>2.8833000000000002</v>
      </c>
      <c r="H488" s="2">
        <v>4.4828999999999999</v>
      </c>
      <c r="I488" s="2">
        <v>1.2645</v>
      </c>
      <c r="J488" s="2">
        <v>5.8738000000000001</v>
      </c>
      <c r="K488" s="2">
        <v>2302.4499999999998</v>
      </c>
      <c r="L488" s="2">
        <v>0</v>
      </c>
    </row>
    <row r="489" spans="1:12" hidden="1" x14ac:dyDescent="0.35">
      <c r="A489" s="4" t="s">
        <v>500</v>
      </c>
      <c r="B489" s="1" t="str">
        <f t="shared" si="14"/>
        <v>Corumba IV</v>
      </c>
      <c r="C489" s="1">
        <f t="shared" si="15"/>
        <v>-2508</v>
      </c>
      <c r="D489" s="2">
        <v>0</v>
      </c>
      <c r="E489" s="2">
        <v>0</v>
      </c>
      <c r="F489" s="2">
        <v>0</v>
      </c>
      <c r="G489" s="2">
        <v>0.3629</v>
      </c>
      <c r="H489" s="2">
        <v>40.826999999999998</v>
      </c>
      <c r="I489" s="2">
        <v>5.8292999999999999</v>
      </c>
      <c r="J489" s="2">
        <v>35.360599999999998</v>
      </c>
      <c r="K489" s="2">
        <v>0</v>
      </c>
      <c r="L489" s="2">
        <v>0</v>
      </c>
    </row>
    <row r="490" spans="1:12" x14ac:dyDescent="0.35">
      <c r="A490" s="4" t="s">
        <v>501</v>
      </c>
      <c r="B490" s="1" t="str">
        <f t="shared" si="14"/>
        <v>Lago Paranoa</v>
      </c>
      <c r="C490" s="1">
        <f t="shared" si="15"/>
        <v>-2508</v>
      </c>
      <c r="D490" s="2">
        <v>0</v>
      </c>
      <c r="E490" s="2">
        <v>2302.4499999999998</v>
      </c>
      <c r="F490" s="2">
        <v>0.22789999999999999</v>
      </c>
      <c r="G490" s="2">
        <v>3.1835</v>
      </c>
      <c r="H490" s="2">
        <v>5.1623000000000001</v>
      </c>
      <c r="I490" s="2">
        <v>1.2645</v>
      </c>
      <c r="J490" s="2">
        <v>6.8533999999999997</v>
      </c>
      <c r="K490" s="2">
        <v>2302.4499999999998</v>
      </c>
      <c r="L490" s="2">
        <v>0</v>
      </c>
    </row>
    <row r="491" spans="1:12" hidden="1" x14ac:dyDescent="0.35">
      <c r="A491" s="4" t="s">
        <v>502</v>
      </c>
      <c r="B491" s="1" t="str">
        <f t="shared" si="14"/>
        <v>Corumba IV</v>
      </c>
      <c r="C491" s="1">
        <f t="shared" si="15"/>
        <v>-2507</v>
      </c>
      <c r="D491" s="2">
        <v>0</v>
      </c>
      <c r="E491" s="2">
        <v>0</v>
      </c>
      <c r="F491" s="2">
        <v>0</v>
      </c>
      <c r="G491" s="2">
        <v>0.3629</v>
      </c>
      <c r="H491" s="2">
        <v>61.194899999999997</v>
      </c>
      <c r="I491" s="2">
        <v>5.8292999999999999</v>
      </c>
      <c r="J491" s="2">
        <v>55.728499999999997</v>
      </c>
      <c r="K491" s="2">
        <v>0</v>
      </c>
      <c r="L491" s="2">
        <v>0</v>
      </c>
    </row>
    <row r="492" spans="1:12" x14ac:dyDescent="0.35">
      <c r="A492" s="4" t="s">
        <v>503</v>
      </c>
      <c r="B492" s="1" t="str">
        <f t="shared" si="14"/>
        <v>Lago Paranoa</v>
      </c>
      <c r="C492" s="1">
        <f t="shared" si="15"/>
        <v>-2507</v>
      </c>
      <c r="D492" s="2">
        <v>0</v>
      </c>
      <c r="E492" s="2">
        <v>2302.4499999999998</v>
      </c>
      <c r="F492" s="2">
        <v>0.22789999999999999</v>
      </c>
      <c r="G492" s="2">
        <v>3.2879999999999998</v>
      </c>
      <c r="H492" s="2">
        <v>7.1235999999999997</v>
      </c>
      <c r="I492" s="2">
        <v>1.2645</v>
      </c>
      <c r="J492" s="2">
        <v>8.9192</v>
      </c>
      <c r="K492" s="2">
        <v>2302.4499999999998</v>
      </c>
      <c r="L492" s="2">
        <v>0</v>
      </c>
    </row>
    <row r="493" spans="1:12" hidden="1" x14ac:dyDescent="0.35">
      <c r="A493" s="4" t="s">
        <v>504</v>
      </c>
      <c r="B493" s="1" t="str">
        <f t="shared" si="14"/>
        <v>Corumba IV</v>
      </c>
      <c r="C493" s="1">
        <f t="shared" si="15"/>
        <v>-2506</v>
      </c>
      <c r="D493" s="2">
        <v>0</v>
      </c>
      <c r="E493" s="2">
        <v>0</v>
      </c>
      <c r="F493" s="2">
        <v>0</v>
      </c>
      <c r="G493" s="2">
        <v>0.3629</v>
      </c>
      <c r="H493" s="2">
        <v>32.269599999999997</v>
      </c>
      <c r="I493" s="2">
        <v>5.8292999999999999</v>
      </c>
      <c r="J493" s="2">
        <v>26.8032</v>
      </c>
      <c r="K493" s="2">
        <v>0</v>
      </c>
      <c r="L493" s="2">
        <v>0</v>
      </c>
    </row>
    <row r="494" spans="1:12" x14ac:dyDescent="0.35">
      <c r="A494" s="4" t="s">
        <v>505</v>
      </c>
      <c r="B494" s="1" t="str">
        <f t="shared" si="14"/>
        <v>Lago Paranoa</v>
      </c>
      <c r="C494" s="1">
        <f t="shared" si="15"/>
        <v>-2506</v>
      </c>
      <c r="D494" s="2">
        <v>0</v>
      </c>
      <c r="E494" s="2">
        <v>2302.4499999999998</v>
      </c>
      <c r="F494" s="2">
        <v>0.2281</v>
      </c>
      <c r="G494" s="2">
        <v>2.6084999999999998</v>
      </c>
      <c r="H494" s="2">
        <v>5.2191000000000001</v>
      </c>
      <c r="I494" s="2">
        <v>1.2645</v>
      </c>
      <c r="J494" s="2">
        <v>6.3350999999999997</v>
      </c>
      <c r="K494" s="2">
        <v>2302.4499999999998</v>
      </c>
      <c r="L494" s="2">
        <v>0</v>
      </c>
    </row>
    <row r="495" spans="1:12" hidden="1" x14ac:dyDescent="0.35">
      <c r="A495" s="4" t="s">
        <v>506</v>
      </c>
      <c r="B495" s="1" t="str">
        <f t="shared" si="14"/>
        <v>Corumba IV</v>
      </c>
      <c r="C495" s="1">
        <f t="shared" si="15"/>
        <v>-2505</v>
      </c>
      <c r="D495" s="2">
        <v>0</v>
      </c>
      <c r="E495" s="2">
        <v>0</v>
      </c>
      <c r="F495" s="2">
        <v>0</v>
      </c>
      <c r="G495" s="2">
        <v>0.3629</v>
      </c>
      <c r="H495" s="2">
        <v>46.744700000000002</v>
      </c>
      <c r="I495" s="2">
        <v>4.8312999999999997</v>
      </c>
      <c r="J495" s="2">
        <v>42.276400000000002</v>
      </c>
      <c r="K495" s="2">
        <v>0</v>
      </c>
      <c r="L495" s="2">
        <v>0</v>
      </c>
    </row>
    <row r="496" spans="1:12" x14ac:dyDescent="0.35">
      <c r="A496" s="4" t="s">
        <v>507</v>
      </c>
      <c r="B496" s="1" t="str">
        <f t="shared" si="14"/>
        <v>Lago Paranoa</v>
      </c>
      <c r="C496" s="1">
        <f t="shared" si="15"/>
        <v>-2505</v>
      </c>
      <c r="D496" s="2">
        <v>0</v>
      </c>
      <c r="E496" s="2">
        <v>2302.4499999999998</v>
      </c>
      <c r="F496" s="2">
        <v>0.19989999999999999</v>
      </c>
      <c r="G496" s="2">
        <v>2.7321</v>
      </c>
      <c r="H496" s="2">
        <v>5.3319000000000001</v>
      </c>
      <c r="I496" s="2">
        <v>1.1728000000000001</v>
      </c>
      <c r="J496" s="2">
        <v>6.6913</v>
      </c>
      <c r="K496" s="2">
        <v>2302.4499999999998</v>
      </c>
      <c r="L496" s="2">
        <v>0</v>
      </c>
    </row>
    <row r="497" spans="1:12" hidden="1" x14ac:dyDescent="0.35">
      <c r="A497" s="4" t="s">
        <v>508</v>
      </c>
      <c r="B497" s="1" t="str">
        <f t="shared" si="14"/>
        <v>Corumba IV</v>
      </c>
      <c r="C497" s="1">
        <f t="shared" si="15"/>
        <v>-2504</v>
      </c>
      <c r="D497" s="2">
        <v>0</v>
      </c>
      <c r="E497" s="2">
        <v>0</v>
      </c>
      <c r="F497" s="2">
        <v>0</v>
      </c>
      <c r="G497" s="2">
        <v>0.3629</v>
      </c>
      <c r="H497" s="2">
        <v>45.500799999999998</v>
      </c>
      <c r="I497" s="2">
        <v>4.4321000000000002</v>
      </c>
      <c r="J497" s="2">
        <v>41.431699999999999</v>
      </c>
      <c r="K497" s="2">
        <v>0</v>
      </c>
      <c r="L497" s="2">
        <v>0</v>
      </c>
    </row>
    <row r="498" spans="1:12" x14ac:dyDescent="0.35">
      <c r="A498" s="4" t="s">
        <v>509</v>
      </c>
      <c r="B498" s="1" t="str">
        <f t="shared" si="14"/>
        <v>Lago Paranoa</v>
      </c>
      <c r="C498" s="1">
        <f t="shared" si="15"/>
        <v>-2504</v>
      </c>
      <c r="D498" s="2">
        <v>0</v>
      </c>
      <c r="E498" s="2">
        <v>2302.4499999999998</v>
      </c>
      <c r="F498" s="2">
        <v>0.2001</v>
      </c>
      <c r="G498" s="2">
        <v>3.1461000000000001</v>
      </c>
      <c r="H498" s="2">
        <v>6.4043000000000001</v>
      </c>
      <c r="I498" s="2">
        <v>1.1361000000000001</v>
      </c>
      <c r="J498" s="2">
        <v>8.2141999999999999</v>
      </c>
      <c r="K498" s="2">
        <v>2302.4499999999998</v>
      </c>
      <c r="L498" s="2">
        <v>0</v>
      </c>
    </row>
    <row r="499" spans="1:12" hidden="1" x14ac:dyDescent="0.35">
      <c r="A499" s="4" t="s">
        <v>510</v>
      </c>
      <c r="B499" s="1" t="str">
        <f t="shared" si="14"/>
        <v>Corumba IV</v>
      </c>
      <c r="C499" s="1">
        <f t="shared" si="15"/>
        <v>-2503</v>
      </c>
      <c r="D499" s="2">
        <v>0</v>
      </c>
      <c r="E499" s="2">
        <v>0</v>
      </c>
      <c r="F499" s="2">
        <v>0</v>
      </c>
      <c r="G499" s="2">
        <v>0.3629</v>
      </c>
      <c r="H499" s="2">
        <v>74.784999999999997</v>
      </c>
      <c r="I499" s="2">
        <v>4.4321000000000002</v>
      </c>
      <c r="J499" s="2">
        <v>70.715800000000002</v>
      </c>
      <c r="K499" s="2">
        <v>0</v>
      </c>
      <c r="L499" s="2">
        <v>0</v>
      </c>
    </row>
    <row r="500" spans="1:12" x14ac:dyDescent="0.35">
      <c r="A500" s="4" t="s">
        <v>511</v>
      </c>
      <c r="B500" s="1" t="str">
        <f t="shared" si="14"/>
        <v>Lago Paranoa</v>
      </c>
      <c r="C500" s="1">
        <f t="shared" si="15"/>
        <v>-2503</v>
      </c>
      <c r="D500" s="2">
        <v>0</v>
      </c>
      <c r="E500" s="2">
        <v>2302.4499999999998</v>
      </c>
      <c r="F500" s="2">
        <v>0.20019999999999999</v>
      </c>
      <c r="G500" s="2">
        <v>3.899</v>
      </c>
      <c r="H500" s="2">
        <v>8.3610000000000007</v>
      </c>
      <c r="I500" s="2">
        <v>1.1361000000000001</v>
      </c>
      <c r="J500" s="2">
        <v>10.9236</v>
      </c>
      <c r="K500" s="2">
        <v>2302.4499999999998</v>
      </c>
      <c r="L500" s="2">
        <v>0</v>
      </c>
    </row>
    <row r="501" spans="1:12" hidden="1" x14ac:dyDescent="0.35">
      <c r="A501" s="4" t="s">
        <v>512</v>
      </c>
      <c r="B501" s="1" t="str">
        <f t="shared" si="14"/>
        <v>Corumba IV</v>
      </c>
      <c r="C501" s="1">
        <f t="shared" si="15"/>
        <v>-2502</v>
      </c>
      <c r="D501" s="2">
        <v>0</v>
      </c>
      <c r="E501" s="2">
        <v>0</v>
      </c>
      <c r="F501" s="2">
        <v>0</v>
      </c>
      <c r="G501" s="2">
        <v>0.3629</v>
      </c>
      <c r="H501" s="2">
        <v>66.087699999999998</v>
      </c>
      <c r="I501" s="2">
        <v>4.4345999999999997</v>
      </c>
      <c r="J501" s="2">
        <v>62.015999999999998</v>
      </c>
      <c r="K501" s="2">
        <v>0</v>
      </c>
      <c r="L501" s="2">
        <v>0</v>
      </c>
    </row>
    <row r="502" spans="1:12" x14ac:dyDescent="0.35">
      <c r="A502" s="4" t="s">
        <v>513</v>
      </c>
      <c r="B502" s="1" t="str">
        <f t="shared" si="14"/>
        <v>Lago Paranoa</v>
      </c>
      <c r="C502" s="1">
        <f t="shared" si="15"/>
        <v>-2502</v>
      </c>
      <c r="D502" s="2">
        <v>0</v>
      </c>
      <c r="E502" s="2">
        <v>2302.4499999999998</v>
      </c>
      <c r="F502" s="2">
        <v>0.20039999999999999</v>
      </c>
      <c r="G502" s="2">
        <v>3.9792999999999998</v>
      </c>
      <c r="H502" s="2">
        <v>9.1478999999999999</v>
      </c>
      <c r="I502" s="2">
        <v>1.1518999999999999</v>
      </c>
      <c r="J502" s="2">
        <v>11.774900000000001</v>
      </c>
      <c r="K502" s="2">
        <v>2302.4499999999998</v>
      </c>
      <c r="L502" s="2">
        <v>0</v>
      </c>
    </row>
    <row r="503" spans="1:12" hidden="1" x14ac:dyDescent="0.35">
      <c r="A503" s="4" t="s">
        <v>514</v>
      </c>
      <c r="B503" s="1" t="str">
        <f t="shared" si="14"/>
        <v>Corumba IV</v>
      </c>
      <c r="C503" s="1">
        <f t="shared" si="15"/>
        <v>-2501</v>
      </c>
      <c r="D503" s="2">
        <v>0</v>
      </c>
      <c r="E503" s="2">
        <v>0</v>
      </c>
      <c r="F503" s="2">
        <v>0</v>
      </c>
      <c r="G503" s="2">
        <v>0.3629</v>
      </c>
      <c r="H503" s="2">
        <v>59.3977</v>
      </c>
      <c r="I503" s="2">
        <v>4.5053999999999998</v>
      </c>
      <c r="J503" s="2">
        <v>55.255200000000002</v>
      </c>
      <c r="K503" s="2">
        <v>0</v>
      </c>
      <c r="L503" s="2">
        <v>0</v>
      </c>
    </row>
    <row r="504" spans="1:12" x14ac:dyDescent="0.35">
      <c r="A504" s="4" t="s">
        <v>515</v>
      </c>
      <c r="B504" s="1" t="str">
        <f t="shared" si="14"/>
        <v>Lago Paranoa</v>
      </c>
      <c r="C504" s="1">
        <f t="shared" si="15"/>
        <v>-2501</v>
      </c>
      <c r="D504" s="2">
        <v>0</v>
      </c>
      <c r="E504" s="2">
        <v>2302.4499999999998</v>
      </c>
      <c r="F504" s="2">
        <v>0.14149999999999999</v>
      </c>
      <c r="G504" s="2">
        <v>3.5236000000000001</v>
      </c>
      <c r="H504" s="2">
        <v>8.2283000000000008</v>
      </c>
      <c r="I504" s="2">
        <v>1.2030000000000001</v>
      </c>
      <c r="J504" s="2">
        <v>10.407400000000001</v>
      </c>
      <c r="K504" s="2">
        <v>2302.4499999999998</v>
      </c>
      <c r="L504" s="2">
        <v>0</v>
      </c>
    </row>
    <row r="505" spans="1:12" hidden="1" x14ac:dyDescent="0.35">
      <c r="A505" s="4" t="s">
        <v>516</v>
      </c>
      <c r="B505" s="1" t="str">
        <f t="shared" si="14"/>
        <v>Corumba IV</v>
      </c>
      <c r="C505" s="1">
        <f t="shared" si="15"/>
        <v>-2500</v>
      </c>
      <c r="D505" s="2">
        <v>0</v>
      </c>
      <c r="E505" s="2">
        <v>0</v>
      </c>
      <c r="F505" s="2">
        <v>0</v>
      </c>
      <c r="G505" s="2">
        <v>0.3629</v>
      </c>
      <c r="H505" s="2">
        <v>45.087200000000003</v>
      </c>
      <c r="I505" s="2">
        <v>4.5795000000000003</v>
      </c>
      <c r="J505" s="2">
        <v>40.870600000000003</v>
      </c>
      <c r="K505" s="2">
        <v>0</v>
      </c>
      <c r="L505" s="2">
        <v>0</v>
      </c>
    </row>
    <row r="506" spans="1:12" x14ac:dyDescent="0.35">
      <c r="A506" s="4" t="s">
        <v>517</v>
      </c>
      <c r="B506" s="1" t="str">
        <f t="shared" si="14"/>
        <v>Lago Paranoa</v>
      </c>
      <c r="C506" s="1">
        <f t="shared" si="15"/>
        <v>-2500</v>
      </c>
      <c r="D506" s="2">
        <v>0</v>
      </c>
      <c r="E506" s="2">
        <v>2302.4499999999998</v>
      </c>
      <c r="F506" s="2">
        <v>0.14169999999999999</v>
      </c>
      <c r="G506" s="2">
        <v>3.2927</v>
      </c>
      <c r="H506" s="2">
        <v>7.4279999999999999</v>
      </c>
      <c r="I506" s="2">
        <v>1.1447000000000001</v>
      </c>
      <c r="J506" s="2">
        <v>9.4343000000000004</v>
      </c>
      <c r="K506" s="2">
        <v>2302.4499999999998</v>
      </c>
      <c r="L506" s="2">
        <v>0</v>
      </c>
    </row>
    <row r="507" spans="1:12" hidden="1" x14ac:dyDescent="0.35">
      <c r="A507" s="4" t="s">
        <v>9</v>
      </c>
      <c r="B507" s="1" t="str">
        <f t="shared" si="14"/>
        <v>Corumba IV</v>
      </c>
      <c r="C507" s="1">
        <f t="shared" si="15"/>
        <v>49</v>
      </c>
      <c r="D507" s="2">
        <v>0</v>
      </c>
      <c r="E507" s="2">
        <v>0</v>
      </c>
      <c r="F507" s="2">
        <v>0</v>
      </c>
      <c r="G507" s="2">
        <v>0.3629</v>
      </c>
      <c r="H507" s="2">
        <v>60.126100000000001</v>
      </c>
      <c r="I507" s="2">
        <v>3.7583000000000002</v>
      </c>
      <c r="J507" s="2">
        <v>56.730699999999999</v>
      </c>
      <c r="K507" s="2">
        <v>0</v>
      </c>
      <c r="L507" s="2">
        <v>0</v>
      </c>
    </row>
    <row r="508" spans="1:12" x14ac:dyDescent="0.35">
      <c r="A508" s="4" t="s">
        <v>10</v>
      </c>
      <c r="B508" s="1" t="str">
        <f t="shared" si="14"/>
        <v>Lago Paranoa</v>
      </c>
      <c r="C508" s="1">
        <f t="shared" si="15"/>
        <v>49</v>
      </c>
      <c r="D508" s="2">
        <v>0</v>
      </c>
      <c r="E508" s="2">
        <v>2302.4499999999998</v>
      </c>
      <c r="F508" s="2">
        <v>0.26050000000000001</v>
      </c>
      <c r="G508" s="2">
        <v>1.9520999999999999</v>
      </c>
      <c r="H508" s="2">
        <v>3.6309</v>
      </c>
      <c r="I508" s="2">
        <v>0.99850000000000005</v>
      </c>
      <c r="J508" s="2">
        <v>4.3239000000000001</v>
      </c>
      <c r="K508" s="2">
        <v>2302.4499999999998</v>
      </c>
      <c r="L508" s="2">
        <v>0</v>
      </c>
    </row>
  </sheetData>
  <autoFilter ref="A1:L508" xr:uid="{DFA550F0-E6C0-42A7-AA80-D1EA480ED15D}">
    <filterColumn colId="1">
      <filters>
        <filter val="Lago Paranoa"/>
      </filters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1DC4-BCE0-4096-9CE7-928A929E67A3}">
  <sheetPr filterMode="1"/>
  <dimension ref="A1:L508"/>
  <sheetViews>
    <sheetView topLeftCell="A460" workbookViewId="0">
      <selection activeCell="C508" sqref="C508"/>
    </sheetView>
  </sheetViews>
  <sheetFormatPr defaultRowHeight="14.5" x14ac:dyDescent="0.35"/>
  <cols>
    <col min="1" max="1" width="4" style="3" customWidth="1"/>
    <col min="2" max="2" width="13.90625" style="2" bestFit="1" customWidth="1"/>
    <col min="3" max="3" width="5.6328125" style="2" bestFit="1" customWidth="1"/>
    <col min="4" max="4" width="10.90625" style="2" bestFit="1" customWidth="1"/>
    <col min="5" max="5" width="12.1796875" style="2" bestFit="1" customWidth="1"/>
    <col min="6" max="6" width="14.08984375" style="2" bestFit="1" customWidth="1"/>
    <col min="7" max="7" width="20.7265625" style="2" bestFit="1" customWidth="1"/>
    <col min="8" max="8" width="25.81640625" style="2" bestFit="1" customWidth="1"/>
    <col min="9" max="9" width="18.26953125" style="2" bestFit="1" customWidth="1"/>
    <col min="10" max="10" width="12.90625" style="2" bestFit="1" customWidth="1"/>
    <col min="11" max="11" width="15.90625" style="2" bestFit="1" customWidth="1"/>
    <col min="12" max="12" width="15.08984375" style="2" bestFit="1" customWidth="1"/>
  </cols>
  <sheetData>
    <row r="1" spans="1:12" x14ac:dyDescent="0.35">
      <c r="B1" s="8" t="s">
        <v>12</v>
      </c>
      <c r="C1" s="8" t="s">
        <v>11</v>
      </c>
      <c r="D1" s="8" t="s">
        <v>518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</v>
      </c>
      <c r="K1" s="8" t="s">
        <v>2</v>
      </c>
      <c r="L1" s="8" t="s">
        <v>3</v>
      </c>
    </row>
    <row r="2" spans="1:12" x14ac:dyDescent="0.35">
      <c r="A2" s="3" t="s">
        <v>13</v>
      </c>
      <c r="B2" s="1" t="str">
        <f>_xlfn.TEXTBEFORE(_xlfn.TEXTAFTER(A2,"["),"]")</f>
        <v>Lago Paranoa</v>
      </c>
      <c r="C2" s="1">
        <f>--_xlfn.TEXTBEFORE(_xlfn.TEXTAFTER(A2,"Week "),":")</f>
        <v>-2336</v>
      </c>
      <c r="D2" s="2">
        <v>0</v>
      </c>
      <c r="E2" s="2">
        <v>2302.4499999999998</v>
      </c>
      <c r="F2" s="2">
        <v>0.21629999999999999</v>
      </c>
      <c r="G2" s="2">
        <v>2.6795</v>
      </c>
      <c r="H2" s="2">
        <v>6.1542000000000003</v>
      </c>
      <c r="I2" s="2">
        <v>0.94820000000000004</v>
      </c>
      <c r="J2" s="2">
        <v>7.6692</v>
      </c>
      <c r="K2" s="2">
        <v>2302.4499999999998</v>
      </c>
      <c r="L2" s="2">
        <v>0</v>
      </c>
    </row>
    <row r="3" spans="1:12" hidden="1" x14ac:dyDescent="0.35">
      <c r="A3" s="3" t="s">
        <v>14</v>
      </c>
      <c r="B3" s="1" t="str">
        <f t="shared" ref="B3:B66" si="0">_xlfn.TEXTBEFORE(_xlfn.TEXTAFTER(A3,"["),"]")</f>
        <v>Corumba IV</v>
      </c>
      <c r="C3" s="1">
        <f t="shared" ref="C3:C66" si="1">--_xlfn.TEXTBEFORE(_xlfn.TEXTAFTER(A3,"Week "),":")</f>
        <v>-2335</v>
      </c>
      <c r="D3" s="2">
        <v>0</v>
      </c>
      <c r="E3" s="2">
        <v>0</v>
      </c>
      <c r="F3" s="2">
        <v>0</v>
      </c>
      <c r="G3" s="2">
        <v>0.3629</v>
      </c>
      <c r="H3" s="2">
        <v>56.465000000000003</v>
      </c>
      <c r="I3" s="2">
        <v>3.6311</v>
      </c>
      <c r="J3" s="2">
        <v>53.196800000000003</v>
      </c>
      <c r="K3" s="2">
        <v>0</v>
      </c>
      <c r="L3" s="2">
        <v>0</v>
      </c>
    </row>
    <row r="4" spans="1:12" x14ac:dyDescent="0.35">
      <c r="A4" s="3" t="s">
        <v>15</v>
      </c>
      <c r="B4" s="1" t="str">
        <f t="shared" si="0"/>
        <v>Lago Paranoa</v>
      </c>
      <c r="C4" s="1">
        <f t="shared" si="1"/>
        <v>-2335</v>
      </c>
      <c r="D4" s="2">
        <v>0</v>
      </c>
      <c r="E4" s="2">
        <v>2302.4499999999998</v>
      </c>
      <c r="F4" s="2">
        <v>0.2165</v>
      </c>
      <c r="G4" s="2">
        <v>3.2644000000000002</v>
      </c>
      <c r="H4" s="2">
        <v>7.0107999999999997</v>
      </c>
      <c r="I4" s="2">
        <v>0.9748</v>
      </c>
      <c r="J4" s="2">
        <v>9.0838000000000001</v>
      </c>
      <c r="K4" s="2">
        <v>2302.4499999999998</v>
      </c>
      <c r="L4" s="2">
        <v>0</v>
      </c>
    </row>
    <row r="5" spans="1:12" hidden="1" x14ac:dyDescent="0.35">
      <c r="A5" s="3" t="s">
        <v>16</v>
      </c>
      <c r="B5" s="1" t="str">
        <f t="shared" si="0"/>
        <v>Corumba IV</v>
      </c>
      <c r="C5" s="1">
        <f t="shared" si="1"/>
        <v>-2334</v>
      </c>
      <c r="D5" s="2">
        <v>0</v>
      </c>
      <c r="E5" s="2">
        <v>0</v>
      </c>
      <c r="F5" s="2">
        <v>0</v>
      </c>
      <c r="G5" s="2">
        <v>0.3629</v>
      </c>
      <c r="H5" s="2">
        <v>67.116399999999999</v>
      </c>
      <c r="I5" s="2">
        <v>3.6311</v>
      </c>
      <c r="J5" s="2">
        <v>63.848199999999999</v>
      </c>
      <c r="K5" s="2">
        <v>0</v>
      </c>
      <c r="L5" s="2">
        <v>0</v>
      </c>
    </row>
    <row r="6" spans="1:12" x14ac:dyDescent="0.35">
      <c r="A6" s="3" t="s">
        <v>17</v>
      </c>
      <c r="B6" s="1" t="str">
        <f t="shared" si="0"/>
        <v>Lago Paranoa</v>
      </c>
      <c r="C6" s="1">
        <f t="shared" si="1"/>
        <v>-2334</v>
      </c>
      <c r="D6" s="2">
        <v>0</v>
      </c>
      <c r="E6" s="2">
        <v>2302.4499999999998</v>
      </c>
      <c r="F6" s="2">
        <v>0.2167</v>
      </c>
      <c r="G6" s="2">
        <v>3.4603000000000002</v>
      </c>
      <c r="H6" s="2">
        <v>7.6553000000000004</v>
      </c>
      <c r="I6" s="2">
        <v>0.9748</v>
      </c>
      <c r="J6" s="2">
        <v>9.9239999999999995</v>
      </c>
      <c r="K6" s="2">
        <v>2302.4499999999998</v>
      </c>
      <c r="L6" s="2">
        <v>0</v>
      </c>
    </row>
    <row r="7" spans="1:12" hidden="1" x14ac:dyDescent="0.35">
      <c r="A7" s="3" t="s">
        <v>18</v>
      </c>
      <c r="B7" s="1" t="str">
        <f t="shared" si="0"/>
        <v>Corumba IV</v>
      </c>
      <c r="C7" s="1">
        <f t="shared" si="1"/>
        <v>-2333</v>
      </c>
      <c r="D7" s="2">
        <v>0</v>
      </c>
      <c r="E7" s="2">
        <v>0</v>
      </c>
      <c r="F7" s="2">
        <v>0</v>
      </c>
      <c r="G7" s="2">
        <v>0.3629</v>
      </c>
      <c r="H7" s="2">
        <v>49.6126</v>
      </c>
      <c r="I7" s="2">
        <v>3.7622</v>
      </c>
      <c r="J7" s="2">
        <v>46.213299999999997</v>
      </c>
      <c r="K7" s="2">
        <v>0</v>
      </c>
      <c r="L7" s="2">
        <v>0</v>
      </c>
    </row>
    <row r="8" spans="1:12" x14ac:dyDescent="0.35">
      <c r="A8" s="3" t="s">
        <v>19</v>
      </c>
      <c r="B8" s="1" t="str">
        <f t="shared" si="0"/>
        <v>Lago Paranoa</v>
      </c>
      <c r="C8" s="1">
        <f t="shared" si="1"/>
        <v>-2333</v>
      </c>
      <c r="D8" s="2">
        <v>0</v>
      </c>
      <c r="E8" s="2">
        <v>2302.4499999999998</v>
      </c>
      <c r="F8" s="2">
        <v>0.21690000000000001</v>
      </c>
      <c r="G8" s="2">
        <v>3.0775999999999999</v>
      </c>
      <c r="H8" s="2">
        <v>8.0642999999999994</v>
      </c>
      <c r="I8" s="2">
        <v>1.0158</v>
      </c>
      <c r="J8" s="2">
        <v>9.9093</v>
      </c>
      <c r="K8" s="2">
        <v>2302.4499999999998</v>
      </c>
      <c r="L8" s="2">
        <v>0</v>
      </c>
    </row>
    <row r="9" spans="1:12" hidden="1" x14ac:dyDescent="0.35">
      <c r="A9" s="3" t="s">
        <v>20</v>
      </c>
      <c r="B9" s="1" t="str">
        <f t="shared" si="0"/>
        <v>Corumba IV</v>
      </c>
      <c r="C9" s="1">
        <f t="shared" si="1"/>
        <v>-2332</v>
      </c>
      <c r="D9" s="2">
        <v>0</v>
      </c>
      <c r="E9" s="2">
        <v>0</v>
      </c>
      <c r="F9" s="2">
        <v>0</v>
      </c>
      <c r="G9" s="2">
        <v>0.3629</v>
      </c>
      <c r="H9" s="2">
        <v>109.8965</v>
      </c>
      <c r="I9" s="2">
        <v>4.7068000000000003</v>
      </c>
      <c r="J9" s="2">
        <v>105.5526</v>
      </c>
      <c r="K9" s="2">
        <v>0</v>
      </c>
      <c r="L9" s="2">
        <v>0</v>
      </c>
    </row>
    <row r="10" spans="1:12" x14ac:dyDescent="0.35">
      <c r="A10" s="3" t="s">
        <v>21</v>
      </c>
      <c r="B10" s="1" t="str">
        <f t="shared" si="0"/>
        <v>Lago Paranoa</v>
      </c>
      <c r="C10" s="1">
        <f t="shared" si="1"/>
        <v>-2332</v>
      </c>
      <c r="D10" s="2">
        <v>0</v>
      </c>
      <c r="E10" s="2">
        <v>2302.4499999999998</v>
      </c>
      <c r="F10" s="2">
        <v>0.1318</v>
      </c>
      <c r="G10" s="2">
        <v>3.9117000000000002</v>
      </c>
      <c r="H10" s="2">
        <v>16.0869</v>
      </c>
      <c r="I10" s="2">
        <v>1.1664000000000001</v>
      </c>
      <c r="J10" s="2">
        <v>18.700399999999998</v>
      </c>
      <c r="K10" s="2">
        <v>2302.4499999999998</v>
      </c>
      <c r="L10" s="2">
        <v>0</v>
      </c>
    </row>
    <row r="11" spans="1:12" hidden="1" x14ac:dyDescent="0.35">
      <c r="A11" s="3" t="s">
        <v>22</v>
      </c>
      <c r="B11" s="1" t="str">
        <f t="shared" si="0"/>
        <v>Corumba IV</v>
      </c>
      <c r="C11" s="1">
        <f t="shared" si="1"/>
        <v>-2331</v>
      </c>
      <c r="D11" s="2">
        <v>0</v>
      </c>
      <c r="E11" s="2">
        <v>0</v>
      </c>
      <c r="F11" s="2">
        <v>0</v>
      </c>
      <c r="G11" s="2">
        <v>0.3629</v>
      </c>
      <c r="H11" s="2">
        <v>71.676599999999993</v>
      </c>
      <c r="I11" s="2">
        <v>4.7332000000000001</v>
      </c>
      <c r="J11" s="2">
        <v>67.306299999999993</v>
      </c>
      <c r="K11" s="2">
        <v>0</v>
      </c>
      <c r="L11" s="2">
        <v>0</v>
      </c>
    </row>
    <row r="12" spans="1:12" x14ac:dyDescent="0.35">
      <c r="A12" s="3" t="s">
        <v>23</v>
      </c>
      <c r="B12" s="1" t="str">
        <f t="shared" si="0"/>
        <v>Lago Paranoa</v>
      </c>
      <c r="C12" s="1">
        <f t="shared" si="1"/>
        <v>-2331</v>
      </c>
      <c r="D12" s="2">
        <v>0</v>
      </c>
      <c r="E12" s="2">
        <v>2302.4499999999998</v>
      </c>
      <c r="F12" s="2">
        <v>0.13200000000000001</v>
      </c>
      <c r="G12" s="2">
        <v>3.0748000000000002</v>
      </c>
      <c r="H12" s="2">
        <v>10.8422</v>
      </c>
      <c r="I12" s="2">
        <v>1.1505000000000001</v>
      </c>
      <c r="J12" s="2">
        <v>12.634600000000001</v>
      </c>
      <c r="K12" s="2">
        <v>2302.4499999999998</v>
      </c>
      <c r="L12" s="2">
        <v>0</v>
      </c>
    </row>
    <row r="13" spans="1:12" hidden="1" x14ac:dyDescent="0.35">
      <c r="A13" s="3" t="s">
        <v>24</v>
      </c>
      <c r="B13" s="1" t="str">
        <f t="shared" si="0"/>
        <v>Corumba IV</v>
      </c>
      <c r="C13" s="1">
        <f t="shared" si="1"/>
        <v>-2330</v>
      </c>
      <c r="D13" s="2">
        <v>0</v>
      </c>
      <c r="E13" s="2">
        <v>0</v>
      </c>
      <c r="F13" s="2">
        <v>0</v>
      </c>
      <c r="G13" s="2">
        <v>0.3629</v>
      </c>
      <c r="H13" s="2">
        <v>103.82510000000001</v>
      </c>
      <c r="I13" s="2">
        <v>4.7332000000000001</v>
      </c>
      <c r="J13" s="2">
        <v>99.454800000000006</v>
      </c>
      <c r="K13" s="2">
        <v>0</v>
      </c>
      <c r="L13" s="2">
        <v>0</v>
      </c>
    </row>
    <row r="14" spans="1:12" x14ac:dyDescent="0.35">
      <c r="A14" s="3" t="s">
        <v>25</v>
      </c>
      <c r="B14" s="1" t="str">
        <f t="shared" si="0"/>
        <v>Lago Paranoa</v>
      </c>
      <c r="C14" s="1">
        <f t="shared" si="1"/>
        <v>-2330</v>
      </c>
      <c r="D14" s="2">
        <v>0</v>
      </c>
      <c r="E14" s="2">
        <v>2302.4499999999998</v>
      </c>
      <c r="F14" s="2">
        <v>0.13220000000000001</v>
      </c>
      <c r="G14" s="2">
        <v>3.4872000000000001</v>
      </c>
      <c r="H14" s="2">
        <v>10.3956</v>
      </c>
      <c r="I14" s="2">
        <v>1.1505000000000001</v>
      </c>
      <c r="J14" s="2">
        <v>12.600099999999999</v>
      </c>
      <c r="K14" s="2">
        <v>2302.4499999999998</v>
      </c>
      <c r="L14" s="2">
        <v>0</v>
      </c>
    </row>
    <row r="15" spans="1:12" hidden="1" x14ac:dyDescent="0.35">
      <c r="A15" s="3" t="s">
        <v>26</v>
      </c>
      <c r="B15" s="1" t="str">
        <f t="shared" si="0"/>
        <v>Corumba IV</v>
      </c>
      <c r="C15" s="1">
        <f t="shared" si="1"/>
        <v>-2329</v>
      </c>
      <c r="D15" s="2">
        <v>0</v>
      </c>
      <c r="E15" s="2">
        <v>0</v>
      </c>
      <c r="F15" s="2">
        <v>0</v>
      </c>
      <c r="G15" s="2">
        <v>0.3629</v>
      </c>
      <c r="H15" s="2">
        <v>90.574799999999996</v>
      </c>
      <c r="I15" s="2">
        <v>4.8521999999999998</v>
      </c>
      <c r="J15" s="2">
        <v>86.085499999999996</v>
      </c>
      <c r="K15" s="2">
        <v>0</v>
      </c>
      <c r="L15" s="2">
        <v>0</v>
      </c>
    </row>
    <row r="16" spans="1:12" x14ac:dyDescent="0.35">
      <c r="A16" s="3" t="s">
        <v>27</v>
      </c>
      <c r="B16" s="1" t="str">
        <f t="shared" si="0"/>
        <v>Lago Paranoa</v>
      </c>
      <c r="C16" s="1">
        <f t="shared" si="1"/>
        <v>-2329</v>
      </c>
      <c r="D16" s="2">
        <v>0</v>
      </c>
      <c r="E16" s="2">
        <v>2302.4499999999998</v>
      </c>
      <c r="F16" s="2">
        <v>0.13239999999999999</v>
      </c>
      <c r="G16" s="2">
        <v>3.5148000000000001</v>
      </c>
      <c r="H16" s="2">
        <v>11.281000000000001</v>
      </c>
      <c r="I16" s="2">
        <v>1.1736</v>
      </c>
      <c r="J16" s="2">
        <v>13.489800000000001</v>
      </c>
      <c r="K16" s="2">
        <v>2302.4499999999998</v>
      </c>
      <c r="L16" s="2">
        <v>0</v>
      </c>
    </row>
    <row r="17" spans="1:12" hidden="1" x14ac:dyDescent="0.35">
      <c r="A17" s="3" t="s">
        <v>28</v>
      </c>
      <c r="B17" s="1" t="str">
        <f t="shared" si="0"/>
        <v>Corumba IV</v>
      </c>
      <c r="C17" s="1">
        <f t="shared" si="1"/>
        <v>-2328</v>
      </c>
      <c r="D17" s="2">
        <v>0</v>
      </c>
      <c r="E17" s="2">
        <v>0</v>
      </c>
      <c r="F17" s="2">
        <v>0</v>
      </c>
      <c r="G17" s="2">
        <v>0.3629</v>
      </c>
      <c r="H17" s="2">
        <v>110.38120000000001</v>
      </c>
      <c r="I17" s="2">
        <v>4.9405000000000001</v>
      </c>
      <c r="J17" s="2">
        <v>105.8036</v>
      </c>
      <c r="K17" s="2">
        <v>0</v>
      </c>
      <c r="L17" s="2">
        <v>0</v>
      </c>
    </row>
    <row r="18" spans="1:12" x14ac:dyDescent="0.35">
      <c r="A18" s="3" t="s">
        <v>29</v>
      </c>
      <c r="B18" s="1" t="str">
        <f t="shared" si="0"/>
        <v>Lago Paranoa</v>
      </c>
      <c r="C18" s="1">
        <f t="shared" si="1"/>
        <v>-2328</v>
      </c>
      <c r="D18" s="2">
        <v>0</v>
      </c>
      <c r="E18" s="2">
        <v>2302.4499999999998</v>
      </c>
      <c r="F18" s="2">
        <v>0.13250000000000001</v>
      </c>
      <c r="G18" s="2">
        <v>3.8875000000000002</v>
      </c>
      <c r="H18" s="2">
        <v>12.439299999999999</v>
      </c>
      <c r="I18" s="2">
        <v>1.202</v>
      </c>
      <c r="J18" s="2">
        <v>14.9922</v>
      </c>
      <c r="K18" s="2">
        <v>2302.4499999999998</v>
      </c>
      <c r="L18" s="2">
        <v>0</v>
      </c>
    </row>
    <row r="19" spans="1:12" hidden="1" x14ac:dyDescent="0.35">
      <c r="A19" s="3" t="s">
        <v>30</v>
      </c>
      <c r="B19" s="1" t="str">
        <f t="shared" si="0"/>
        <v>Corumba IV</v>
      </c>
      <c r="C19" s="1">
        <f t="shared" si="1"/>
        <v>-2327</v>
      </c>
      <c r="D19" s="2">
        <v>0</v>
      </c>
      <c r="E19" s="2">
        <v>0</v>
      </c>
      <c r="F19" s="2">
        <v>0</v>
      </c>
      <c r="G19" s="2">
        <v>0.3629</v>
      </c>
      <c r="H19" s="2">
        <v>70.8048</v>
      </c>
      <c r="I19" s="2">
        <v>4.8002000000000002</v>
      </c>
      <c r="J19" s="2">
        <v>66.367500000000007</v>
      </c>
      <c r="K19" s="2">
        <v>0</v>
      </c>
      <c r="L19" s="2">
        <v>0</v>
      </c>
    </row>
    <row r="20" spans="1:12" x14ac:dyDescent="0.35">
      <c r="A20" s="3" t="s">
        <v>31</v>
      </c>
      <c r="B20" s="1" t="str">
        <f t="shared" si="0"/>
        <v>Lago Paranoa</v>
      </c>
      <c r="C20" s="1">
        <f t="shared" si="1"/>
        <v>-2327</v>
      </c>
      <c r="D20" s="2">
        <v>0</v>
      </c>
      <c r="E20" s="2">
        <v>2302.4499999999998</v>
      </c>
      <c r="F20" s="2">
        <v>0.15359999999999999</v>
      </c>
      <c r="G20" s="2">
        <v>3.1168999999999998</v>
      </c>
      <c r="H20" s="2">
        <v>11.3629</v>
      </c>
      <c r="I20" s="2">
        <v>1.1899</v>
      </c>
      <c r="J20" s="2">
        <v>13.1363</v>
      </c>
      <c r="K20" s="2">
        <v>2302.4499999999998</v>
      </c>
      <c r="L20" s="2">
        <v>0</v>
      </c>
    </row>
    <row r="21" spans="1:12" hidden="1" x14ac:dyDescent="0.35">
      <c r="A21" s="3" t="s">
        <v>32</v>
      </c>
      <c r="B21" s="1" t="str">
        <f t="shared" si="0"/>
        <v>Corumba IV</v>
      </c>
      <c r="C21" s="1">
        <f t="shared" si="1"/>
        <v>-2326</v>
      </c>
      <c r="D21" s="2">
        <v>0</v>
      </c>
      <c r="E21" s="2">
        <v>0</v>
      </c>
      <c r="F21" s="2">
        <v>0</v>
      </c>
      <c r="G21" s="2">
        <v>0.3629</v>
      </c>
      <c r="H21" s="2">
        <v>84.803299999999993</v>
      </c>
      <c r="I21" s="2">
        <v>4.8002000000000002</v>
      </c>
      <c r="J21" s="2">
        <v>80.366</v>
      </c>
      <c r="K21" s="2">
        <v>0</v>
      </c>
      <c r="L21" s="2">
        <v>0</v>
      </c>
    </row>
    <row r="22" spans="1:12" x14ac:dyDescent="0.35">
      <c r="A22" s="3" t="s">
        <v>33</v>
      </c>
      <c r="B22" s="1" t="str">
        <f t="shared" si="0"/>
        <v>Lago Paranoa</v>
      </c>
      <c r="C22" s="1">
        <f t="shared" si="1"/>
        <v>-2326</v>
      </c>
      <c r="D22" s="2">
        <v>0</v>
      </c>
      <c r="E22" s="2">
        <v>2302.4499999999998</v>
      </c>
      <c r="F22" s="2">
        <v>0.15379999999999999</v>
      </c>
      <c r="G22" s="2">
        <v>3.2050000000000001</v>
      </c>
      <c r="H22" s="2">
        <v>11.0672</v>
      </c>
      <c r="I22" s="2">
        <v>1.1899</v>
      </c>
      <c r="J22" s="2">
        <v>12.928599999999999</v>
      </c>
      <c r="K22" s="2">
        <v>2302.4499999999998</v>
      </c>
      <c r="L22" s="2">
        <v>0</v>
      </c>
    </row>
    <row r="23" spans="1:12" hidden="1" x14ac:dyDescent="0.35">
      <c r="A23" s="3" t="s">
        <v>34</v>
      </c>
      <c r="B23" s="1" t="str">
        <f t="shared" si="0"/>
        <v>Corumba IV</v>
      </c>
      <c r="C23" s="1">
        <f t="shared" si="1"/>
        <v>-2325</v>
      </c>
      <c r="D23" s="2">
        <v>0</v>
      </c>
      <c r="E23" s="2">
        <v>0</v>
      </c>
      <c r="F23" s="2">
        <v>0</v>
      </c>
      <c r="G23" s="2">
        <v>0.3629</v>
      </c>
      <c r="H23" s="2">
        <v>64.585700000000003</v>
      </c>
      <c r="I23" s="2">
        <v>4.8002000000000002</v>
      </c>
      <c r="J23" s="2">
        <v>60.148400000000002</v>
      </c>
      <c r="K23" s="2">
        <v>0</v>
      </c>
      <c r="L23" s="2">
        <v>0</v>
      </c>
    </row>
    <row r="24" spans="1:12" x14ac:dyDescent="0.35">
      <c r="A24" s="3" t="s">
        <v>35</v>
      </c>
      <c r="B24" s="1" t="str">
        <f t="shared" si="0"/>
        <v>Lago Paranoa</v>
      </c>
      <c r="C24" s="1">
        <f t="shared" si="1"/>
        <v>-2325</v>
      </c>
      <c r="D24" s="2">
        <v>0</v>
      </c>
      <c r="E24" s="2">
        <v>2302.4499999999998</v>
      </c>
      <c r="F24" s="2">
        <v>0.154</v>
      </c>
      <c r="G24" s="2">
        <v>3.0312000000000001</v>
      </c>
      <c r="H24" s="2">
        <v>9.0447000000000006</v>
      </c>
      <c r="I24" s="2">
        <v>1.1899</v>
      </c>
      <c r="J24" s="2">
        <v>10.732100000000001</v>
      </c>
      <c r="K24" s="2">
        <v>2302.4499999999998</v>
      </c>
      <c r="L24" s="2">
        <v>0</v>
      </c>
    </row>
    <row r="25" spans="1:12" hidden="1" x14ac:dyDescent="0.35">
      <c r="A25" s="3" t="s">
        <v>36</v>
      </c>
      <c r="B25" s="1" t="str">
        <f t="shared" si="0"/>
        <v>Corumba IV</v>
      </c>
      <c r="C25" s="1">
        <f t="shared" si="1"/>
        <v>-2324</v>
      </c>
      <c r="D25" s="2">
        <v>0</v>
      </c>
      <c r="E25" s="2">
        <v>0</v>
      </c>
      <c r="F25" s="2">
        <v>0</v>
      </c>
      <c r="G25" s="2">
        <v>0.3629</v>
      </c>
      <c r="H25" s="2">
        <v>60.2986</v>
      </c>
      <c r="I25" s="2">
        <v>4.6247999999999996</v>
      </c>
      <c r="J25" s="2">
        <v>56.0366</v>
      </c>
      <c r="K25" s="2">
        <v>0</v>
      </c>
      <c r="L25" s="2">
        <v>0</v>
      </c>
    </row>
    <row r="26" spans="1:12" x14ac:dyDescent="0.35">
      <c r="A26" s="3" t="s">
        <v>37</v>
      </c>
      <c r="B26" s="1" t="str">
        <f t="shared" si="0"/>
        <v>Lago Paranoa</v>
      </c>
      <c r="C26" s="1">
        <f t="shared" si="1"/>
        <v>-2324</v>
      </c>
      <c r="D26" s="2">
        <v>0</v>
      </c>
      <c r="E26" s="2">
        <v>2302.4499999999998</v>
      </c>
      <c r="F26" s="2">
        <v>0.15409999999999999</v>
      </c>
      <c r="G26" s="2">
        <v>3.4923999999999999</v>
      </c>
      <c r="H26" s="2">
        <v>7.7000999999999999</v>
      </c>
      <c r="I26" s="2">
        <v>1.1653</v>
      </c>
      <c r="J26" s="2">
        <v>9.8731000000000009</v>
      </c>
      <c r="K26" s="2">
        <v>2302.4499999999998</v>
      </c>
      <c r="L26" s="2">
        <v>0</v>
      </c>
    </row>
    <row r="27" spans="1:12" hidden="1" x14ac:dyDescent="0.35">
      <c r="A27" s="3" t="s">
        <v>38</v>
      </c>
      <c r="B27" s="1" t="str">
        <f t="shared" si="0"/>
        <v>Corumba IV</v>
      </c>
      <c r="C27" s="1">
        <f t="shared" si="1"/>
        <v>-2323</v>
      </c>
      <c r="D27" s="2">
        <v>0</v>
      </c>
      <c r="E27" s="2">
        <v>0</v>
      </c>
      <c r="F27" s="2">
        <v>0</v>
      </c>
      <c r="G27" s="2">
        <v>0.3629</v>
      </c>
      <c r="H27" s="2">
        <v>60.122300000000003</v>
      </c>
      <c r="I27" s="2">
        <v>3.5726</v>
      </c>
      <c r="J27" s="2">
        <v>56.912599999999998</v>
      </c>
      <c r="K27" s="2">
        <v>0</v>
      </c>
      <c r="L27" s="2">
        <v>0</v>
      </c>
    </row>
    <row r="28" spans="1:12" x14ac:dyDescent="0.35">
      <c r="A28" s="3" t="s">
        <v>39</v>
      </c>
      <c r="B28" s="1" t="str">
        <f t="shared" si="0"/>
        <v>Lago Paranoa</v>
      </c>
      <c r="C28" s="1">
        <f t="shared" si="1"/>
        <v>-2323</v>
      </c>
      <c r="D28" s="2">
        <v>0</v>
      </c>
      <c r="E28" s="2">
        <v>2302.4499999999998</v>
      </c>
      <c r="F28" s="2">
        <v>0.1462</v>
      </c>
      <c r="G28" s="2">
        <v>3.3024</v>
      </c>
      <c r="H28" s="2">
        <v>5.9829999999999997</v>
      </c>
      <c r="I28" s="2">
        <v>1.0178</v>
      </c>
      <c r="J28" s="2">
        <v>8.1212999999999997</v>
      </c>
      <c r="K28" s="2">
        <v>2302.4499999999998</v>
      </c>
      <c r="L28" s="2">
        <v>0</v>
      </c>
    </row>
    <row r="29" spans="1:12" hidden="1" x14ac:dyDescent="0.35">
      <c r="A29" s="3" t="s">
        <v>40</v>
      </c>
      <c r="B29" s="1" t="str">
        <f t="shared" si="0"/>
        <v>Corumba IV</v>
      </c>
      <c r="C29" s="1">
        <f t="shared" si="1"/>
        <v>-2322</v>
      </c>
      <c r="D29" s="2">
        <v>0</v>
      </c>
      <c r="E29" s="2">
        <v>0</v>
      </c>
      <c r="F29" s="2">
        <v>0</v>
      </c>
      <c r="G29" s="2">
        <v>0.3629</v>
      </c>
      <c r="H29" s="2">
        <v>57.057699999999997</v>
      </c>
      <c r="I29" s="2">
        <v>4.4645000000000001</v>
      </c>
      <c r="J29" s="2">
        <v>52.956099999999999</v>
      </c>
      <c r="K29" s="2">
        <v>0</v>
      </c>
      <c r="L29" s="2">
        <v>0</v>
      </c>
    </row>
    <row r="30" spans="1:12" x14ac:dyDescent="0.35">
      <c r="A30" s="3" t="s">
        <v>41</v>
      </c>
      <c r="B30" s="1" t="str">
        <f t="shared" si="0"/>
        <v>Lago Paranoa</v>
      </c>
      <c r="C30" s="1">
        <f t="shared" si="1"/>
        <v>-2322</v>
      </c>
      <c r="D30" s="2">
        <v>0</v>
      </c>
      <c r="E30" s="2">
        <v>2302.4499999999998</v>
      </c>
      <c r="F30" s="2">
        <v>0.1464</v>
      </c>
      <c r="G30" s="2">
        <v>3.0042</v>
      </c>
      <c r="H30" s="2">
        <v>5.0841000000000003</v>
      </c>
      <c r="I30" s="2">
        <v>1.2674000000000001</v>
      </c>
      <c r="J30" s="2">
        <v>6.6745999999999999</v>
      </c>
      <c r="K30" s="2">
        <v>2302.4499999999998</v>
      </c>
      <c r="L30" s="2">
        <v>0</v>
      </c>
    </row>
    <row r="31" spans="1:12" hidden="1" x14ac:dyDescent="0.35">
      <c r="A31" s="3" t="s">
        <v>42</v>
      </c>
      <c r="B31" s="1" t="str">
        <f t="shared" si="0"/>
        <v>Corumba IV</v>
      </c>
      <c r="C31" s="1">
        <f t="shared" si="1"/>
        <v>-2321</v>
      </c>
      <c r="D31" s="2">
        <v>0</v>
      </c>
      <c r="E31" s="2">
        <v>0</v>
      </c>
      <c r="F31" s="2">
        <v>0</v>
      </c>
      <c r="G31" s="2">
        <v>0.3629</v>
      </c>
      <c r="H31" s="2">
        <v>51.529800000000002</v>
      </c>
      <c r="I31" s="2">
        <v>4.4645000000000001</v>
      </c>
      <c r="J31" s="2">
        <v>47.428199999999997</v>
      </c>
      <c r="K31" s="2">
        <v>0</v>
      </c>
      <c r="L31" s="2">
        <v>0</v>
      </c>
    </row>
    <row r="32" spans="1:12" x14ac:dyDescent="0.35">
      <c r="A32" s="3" t="s">
        <v>43</v>
      </c>
      <c r="B32" s="1" t="str">
        <f t="shared" si="0"/>
        <v>Lago Paranoa</v>
      </c>
      <c r="C32" s="1">
        <f t="shared" si="1"/>
        <v>-2321</v>
      </c>
      <c r="D32" s="2">
        <v>0</v>
      </c>
      <c r="E32" s="2">
        <v>2302.4499999999998</v>
      </c>
      <c r="F32" s="2">
        <v>0.14649999999999999</v>
      </c>
      <c r="G32" s="2">
        <v>3.2458999999999998</v>
      </c>
      <c r="H32" s="2">
        <v>4.9911000000000003</v>
      </c>
      <c r="I32" s="2">
        <v>1.2674000000000001</v>
      </c>
      <c r="J32" s="2">
        <v>6.8231999999999999</v>
      </c>
      <c r="K32" s="2">
        <v>2302.4499999999998</v>
      </c>
      <c r="L32" s="2">
        <v>0</v>
      </c>
    </row>
    <row r="33" spans="1:12" hidden="1" x14ac:dyDescent="0.35">
      <c r="A33" s="3" t="s">
        <v>44</v>
      </c>
      <c r="B33" s="1" t="str">
        <f t="shared" si="0"/>
        <v>Corumba IV</v>
      </c>
      <c r="C33" s="1">
        <f t="shared" si="1"/>
        <v>-2320</v>
      </c>
      <c r="D33" s="2">
        <v>0</v>
      </c>
      <c r="E33" s="2">
        <v>0</v>
      </c>
      <c r="F33" s="2">
        <v>0</v>
      </c>
      <c r="G33" s="2">
        <v>0.3629</v>
      </c>
      <c r="H33" s="2">
        <v>54.2316</v>
      </c>
      <c r="I33" s="2">
        <v>4.4645000000000001</v>
      </c>
      <c r="J33" s="2">
        <v>50.129899999999999</v>
      </c>
      <c r="K33" s="2">
        <v>0</v>
      </c>
      <c r="L33" s="2">
        <v>0</v>
      </c>
    </row>
    <row r="34" spans="1:12" x14ac:dyDescent="0.35">
      <c r="A34" s="3" t="s">
        <v>45</v>
      </c>
      <c r="B34" s="1" t="str">
        <f t="shared" si="0"/>
        <v>Lago Paranoa</v>
      </c>
      <c r="C34" s="1">
        <f t="shared" si="1"/>
        <v>-2320</v>
      </c>
      <c r="D34" s="2">
        <v>0</v>
      </c>
      <c r="E34" s="2">
        <v>2302.4499999999998</v>
      </c>
      <c r="F34" s="2">
        <v>0.1467</v>
      </c>
      <c r="G34" s="2">
        <v>3.0792999999999999</v>
      </c>
      <c r="H34" s="2">
        <v>4.8777999999999997</v>
      </c>
      <c r="I34" s="2">
        <v>1.2674000000000001</v>
      </c>
      <c r="J34" s="2">
        <v>6.5430000000000001</v>
      </c>
      <c r="K34" s="2">
        <v>2302.4499999999998</v>
      </c>
      <c r="L34" s="2">
        <v>0</v>
      </c>
    </row>
    <row r="35" spans="1:12" hidden="1" x14ac:dyDescent="0.35">
      <c r="A35" s="3" t="s">
        <v>46</v>
      </c>
      <c r="B35" s="1" t="str">
        <f t="shared" si="0"/>
        <v>Corumba IV</v>
      </c>
      <c r="C35" s="1">
        <f t="shared" si="1"/>
        <v>-2319</v>
      </c>
      <c r="D35" s="2">
        <v>0</v>
      </c>
      <c r="E35" s="2">
        <v>0</v>
      </c>
      <c r="F35" s="2">
        <v>0</v>
      </c>
      <c r="G35" s="2">
        <v>0.3629</v>
      </c>
      <c r="H35" s="2">
        <v>44.186700000000002</v>
      </c>
      <c r="I35" s="2">
        <v>4.5902000000000003</v>
      </c>
      <c r="J35" s="2">
        <v>39.959400000000002</v>
      </c>
      <c r="K35" s="2">
        <v>0</v>
      </c>
      <c r="L35" s="2">
        <v>0</v>
      </c>
    </row>
    <row r="36" spans="1:12" x14ac:dyDescent="0.35">
      <c r="A36" s="3" t="s">
        <v>47</v>
      </c>
      <c r="B36" s="1" t="str">
        <f t="shared" si="0"/>
        <v>Lago Paranoa</v>
      </c>
      <c r="C36" s="1">
        <f t="shared" si="1"/>
        <v>-2319</v>
      </c>
      <c r="D36" s="2">
        <v>0</v>
      </c>
      <c r="E36" s="2">
        <v>2302.4499999999998</v>
      </c>
      <c r="F36" s="2">
        <v>0.1757</v>
      </c>
      <c r="G36" s="2">
        <v>2.8492999999999999</v>
      </c>
      <c r="H36" s="2">
        <v>4.2499000000000002</v>
      </c>
      <c r="I36" s="2">
        <v>1.1686000000000001</v>
      </c>
      <c r="J36" s="2">
        <v>5.7549000000000001</v>
      </c>
      <c r="K36" s="2">
        <v>2302.4499999999998</v>
      </c>
      <c r="L36" s="2">
        <v>0</v>
      </c>
    </row>
    <row r="37" spans="1:12" hidden="1" x14ac:dyDescent="0.35">
      <c r="A37" s="3" t="s">
        <v>48</v>
      </c>
      <c r="B37" s="1" t="str">
        <f t="shared" si="0"/>
        <v>Corumba IV</v>
      </c>
      <c r="C37" s="1">
        <f t="shared" si="1"/>
        <v>-2318</v>
      </c>
      <c r="D37" s="2">
        <v>0</v>
      </c>
      <c r="E37" s="2">
        <v>0</v>
      </c>
      <c r="F37" s="2">
        <v>0</v>
      </c>
      <c r="G37" s="2">
        <v>0.3629</v>
      </c>
      <c r="H37" s="2">
        <v>39.7881</v>
      </c>
      <c r="I37" s="2">
        <v>4.9745999999999997</v>
      </c>
      <c r="J37" s="2">
        <v>35.176400000000001</v>
      </c>
      <c r="K37" s="2">
        <v>0</v>
      </c>
      <c r="L37" s="2">
        <v>0</v>
      </c>
    </row>
    <row r="38" spans="1:12" x14ac:dyDescent="0.35">
      <c r="A38" s="3" t="s">
        <v>49</v>
      </c>
      <c r="B38" s="1" t="str">
        <f t="shared" si="0"/>
        <v>Lago Paranoa</v>
      </c>
      <c r="C38" s="1">
        <f t="shared" si="1"/>
        <v>-2318</v>
      </c>
      <c r="D38" s="2">
        <v>0</v>
      </c>
      <c r="E38" s="2">
        <v>2302.4499999999998</v>
      </c>
      <c r="F38" s="2">
        <v>0.1759</v>
      </c>
      <c r="G38" s="2">
        <v>2.8210999999999999</v>
      </c>
      <c r="H38" s="2">
        <v>3.8643000000000001</v>
      </c>
      <c r="I38" s="2">
        <v>1.2709999999999999</v>
      </c>
      <c r="J38" s="2">
        <v>5.2385000000000002</v>
      </c>
      <c r="K38" s="2">
        <v>2302.4499999999998</v>
      </c>
      <c r="L38" s="2">
        <v>0</v>
      </c>
    </row>
    <row r="39" spans="1:12" hidden="1" x14ac:dyDescent="0.35">
      <c r="A39" s="3" t="s">
        <v>50</v>
      </c>
      <c r="B39" s="1" t="str">
        <f t="shared" si="0"/>
        <v>Corumba IV</v>
      </c>
      <c r="C39" s="1">
        <f t="shared" si="1"/>
        <v>-2317</v>
      </c>
      <c r="D39" s="2">
        <v>0</v>
      </c>
      <c r="E39" s="2">
        <v>0</v>
      </c>
      <c r="F39" s="2">
        <v>0</v>
      </c>
      <c r="G39" s="2">
        <v>0.3629</v>
      </c>
      <c r="H39" s="2">
        <v>36.426200000000001</v>
      </c>
      <c r="I39" s="2">
        <v>4.9745999999999997</v>
      </c>
      <c r="J39" s="2">
        <v>31.814499999999999</v>
      </c>
      <c r="K39" s="2">
        <v>0</v>
      </c>
      <c r="L39" s="2">
        <v>0</v>
      </c>
    </row>
    <row r="40" spans="1:12" x14ac:dyDescent="0.35">
      <c r="A40" s="3" t="s">
        <v>51</v>
      </c>
      <c r="B40" s="1" t="str">
        <f t="shared" si="0"/>
        <v>Lago Paranoa</v>
      </c>
      <c r="C40" s="1">
        <f t="shared" si="1"/>
        <v>-2317</v>
      </c>
      <c r="D40" s="2">
        <v>0</v>
      </c>
      <c r="E40" s="2">
        <v>2302.4499999999998</v>
      </c>
      <c r="F40" s="2">
        <v>0.17610000000000001</v>
      </c>
      <c r="G40" s="2">
        <v>2.6046999999999998</v>
      </c>
      <c r="H40" s="2">
        <v>3.5918000000000001</v>
      </c>
      <c r="I40" s="2">
        <v>1.2709999999999999</v>
      </c>
      <c r="J40" s="2">
        <v>4.7493999999999996</v>
      </c>
      <c r="K40" s="2">
        <v>2302.4499999999998</v>
      </c>
      <c r="L40" s="2">
        <v>0</v>
      </c>
    </row>
    <row r="41" spans="1:12" hidden="1" x14ac:dyDescent="0.35">
      <c r="A41" s="3" t="s">
        <v>52</v>
      </c>
      <c r="B41" s="1" t="str">
        <f t="shared" si="0"/>
        <v>Corumba IV</v>
      </c>
      <c r="C41" s="1">
        <f t="shared" si="1"/>
        <v>-2316</v>
      </c>
      <c r="D41" s="2">
        <v>0</v>
      </c>
      <c r="E41" s="2">
        <v>0</v>
      </c>
      <c r="F41" s="2">
        <v>0</v>
      </c>
      <c r="G41" s="2">
        <v>0.3629</v>
      </c>
      <c r="H41" s="2">
        <v>33.841200000000001</v>
      </c>
      <c r="I41" s="2">
        <v>4.9745999999999997</v>
      </c>
      <c r="J41" s="2">
        <v>29.229399999999998</v>
      </c>
      <c r="K41" s="2">
        <v>0</v>
      </c>
      <c r="L41" s="2">
        <v>0</v>
      </c>
    </row>
    <row r="42" spans="1:12" x14ac:dyDescent="0.35">
      <c r="A42" s="3" t="s">
        <v>53</v>
      </c>
      <c r="B42" s="1" t="str">
        <f t="shared" si="0"/>
        <v>Lago Paranoa</v>
      </c>
      <c r="C42" s="1">
        <f t="shared" si="1"/>
        <v>-2316</v>
      </c>
      <c r="D42" s="2">
        <v>0</v>
      </c>
      <c r="E42" s="2">
        <v>2302.4499999999998</v>
      </c>
      <c r="F42" s="2">
        <v>0.17630000000000001</v>
      </c>
      <c r="G42" s="2">
        <v>2.4882</v>
      </c>
      <c r="H42" s="2">
        <v>3.4035000000000002</v>
      </c>
      <c r="I42" s="2">
        <v>1.2709999999999999</v>
      </c>
      <c r="J42" s="2">
        <v>4.4443000000000001</v>
      </c>
      <c r="K42" s="2">
        <v>2302.4499999999998</v>
      </c>
      <c r="L42" s="2">
        <v>0</v>
      </c>
    </row>
    <row r="43" spans="1:12" hidden="1" x14ac:dyDescent="0.35">
      <c r="A43" s="3" t="s">
        <v>54</v>
      </c>
      <c r="B43" s="1" t="str">
        <f t="shared" si="0"/>
        <v>Corumba IV</v>
      </c>
      <c r="C43" s="1">
        <f t="shared" si="1"/>
        <v>-2315</v>
      </c>
      <c r="D43" s="2">
        <v>0</v>
      </c>
      <c r="E43" s="2">
        <v>0</v>
      </c>
      <c r="F43" s="2">
        <v>0</v>
      </c>
      <c r="G43" s="2">
        <v>0.3629</v>
      </c>
      <c r="H43" s="2">
        <v>31.983599999999999</v>
      </c>
      <c r="I43" s="2">
        <v>5.0803000000000003</v>
      </c>
      <c r="J43" s="2">
        <v>27.266100000000002</v>
      </c>
      <c r="K43" s="2">
        <v>0</v>
      </c>
      <c r="L43" s="2">
        <v>0</v>
      </c>
    </row>
    <row r="44" spans="1:12" x14ac:dyDescent="0.35">
      <c r="A44" s="3" t="s">
        <v>55</v>
      </c>
      <c r="B44" s="1" t="str">
        <f t="shared" si="0"/>
        <v>Lago Paranoa</v>
      </c>
      <c r="C44" s="1">
        <f t="shared" si="1"/>
        <v>-2315</v>
      </c>
      <c r="D44" s="2">
        <v>0</v>
      </c>
      <c r="E44" s="2">
        <v>2302.4499999999998</v>
      </c>
      <c r="F44" s="2">
        <v>0.17649999999999999</v>
      </c>
      <c r="G44" s="2">
        <v>2.7084000000000001</v>
      </c>
      <c r="H44" s="2">
        <v>3.2158000000000002</v>
      </c>
      <c r="I44" s="2">
        <v>1.2827</v>
      </c>
      <c r="J44" s="2">
        <v>4.4649000000000001</v>
      </c>
      <c r="K44" s="2">
        <v>2302.4499999999998</v>
      </c>
      <c r="L44" s="2">
        <v>0</v>
      </c>
    </row>
    <row r="45" spans="1:12" hidden="1" x14ac:dyDescent="0.35">
      <c r="A45" s="3" t="s">
        <v>56</v>
      </c>
      <c r="B45" s="1" t="str">
        <f t="shared" si="0"/>
        <v>Corumba IV</v>
      </c>
      <c r="C45" s="1">
        <f t="shared" si="1"/>
        <v>-2314</v>
      </c>
      <c r="D45" s="2">
        <v>0</v>
      </c>
      <c r="E45" s="2">
        <v>0</v>
      </c>
      <c r="F45" s="2">
        <v>0</v>
      </c>
      <c r="G45" s="2">
        <v>0.3629</v>
      </c>
      <c r="H45" s="2">
        <v>30.510400000000001</v>
      </c>
      <c r="I45" s="2">
        <v>5.2211999999999996</v>
      </c>
      <c r="J45" s="2">
        <v>25.652100000000001</v>
      </c>
      <c r="K45" s="2">
        <v>0</v>
      </c>
      <c r="L45" s="2">
        <v>0</v>
      </c>
    </row>
    <row r="46" spans="1:12" x14ac:dyDescent="0.35">
      <c r="A46" s="3" t="s">
        <v>57</v>
      </c>
      <c r="B46" s="1" t="str">
        <f t="shared" si="0"/>
        <v>Lago Paranoa</v>
      </c>
      <c r="C46" s="1">
        <f t="shared" si="1"/>
        <v>-2314</v>
      </c>
      <c r="D46" s="2">
        <v>0</v>
      </c>
      <c r="E46" s="2">
        <v>2302.4499999999998</v>
      </c>
      <c r="F46" s="2">
        <v>0.19259999999999999</v>
      </c>
      <c r="G46" s="2">
        <v>2.7105999999999999</v>
      </c>
      <c r="H46" s="2">
        <v>3.4232999999999998</v>
      </c>
      <c r="I46" s="2">
        <v>1.2983</v>
      </c>
      <c r="J46" s="2">
        <v>4.6430999999999996</v>
      </c>
      <c r="K46" s="2">
        <v>2302.4499999999998</v>
      </c>
      <c r="L46" s="2">
        <v>0</v>
      </c>
    </row>
    <row r="47" spans="1:12" hidden="1" x14ac:dyDescent="0.35">
      <c r="A47" s="3" t="s">
        <v>58</v>
      </c>
      <c r="B47" s="1" t="str">
        <f t="shared" si="0"/>
        <v>Corumba IV</v>
      </c>
      <c r="C47" s="1">
        <f t="shared" si="1"/>
        <v>-2313</v>
      </c>
      <c r="D47" s="2">
        <v>0</v>
      </c>
      <c r="E47" s="2">
        <v>0</v>
      </c>
      <c r="F47" s="2">
        <v>0</v>
      </c>
      <c r="G47" s="2">
        <v>0.3629</v>
      </c>
      <c r="H47" s="2">
        <v>29.597200000000001</v>
      </c>
      <c r="I47" s="2">
        <v>5.2211999999999996</v>
      </c>
      <c r="J47" s="2">
        <v>24.738800000000001</v>
      </c>
      <c r="K47" s="2">
        <v>0</v>
      </c>
      <c r="L47" s="2">
        <v>0</v>
      </c>
    </row>
    <row r="48" spans="1:12" x14ac:dyDescent="0.35">
      <c r="A48" s="3" t="s">
        <v>59</v>
      </c>
      <c r="B48" s="1" t="str">
        <f t="shared" si="0"/>
        <v>Lago Paranoa</v>
      </c>
      <c r="C48" s="1">
        <f t="shared" si="1"/>
        <v>-2313</v>
      </c>
      <c r="D48" s="2">
        <v>0</v>
      </c>
      <c r="E48" s="2">
        <v>2302.4499999999998</v>
      </c>
      <c r="F48" s="2">
        <v>0.1928</v>
      </c>
      <c r="G48" s="2">
        <v>2.5217000000000001</v>
      </c>
      <c r="H48" s="2">
        <v>3.3205</v>
      </c>
      <c r="I48" s="2">
        <v>1.2983</v>
      </c>
      <c r="J48" s="2">
        <v>4.3512000000000004</v>
      </c>
      <c r="K48" s="2">
        <v>2302.4499999999998</v>
      </c>
      <c r="L48" s="2">
        <v>0</v>
      </c>
    </row>
    <row r="49" spans="1:12" hidden="1" x14ac:dyDescent="0.35">
      <c r="A49" s="3" t="s">
        <v>60</v>
      </c>
      <c r="B49" s="1" t="str">
        <f t="shared" si="0"/>
        <v>Corumba IV</v>
      </c>
      <c r="C49" s="1">
        <f t="shared" si="1"/>
        <v>-2312</v>
      </c>
      <c r="D49" s="2">
        <v>0</v>
      </c>
      <c r="E49" s="2">
        <v>0</v>
      </c>
      <c r="F49" s="2">
        <v>0</v>
      </c>
      <c r="G49" s="2">
        <v>0.3629</v>
      </c>
      <c r="H49" s="2">
        <v>27.9876</v>
      </c>
      <c r="I49" s="2">
        <v>5.2211999999999996</v>
      </c>
      <c r="J49" s="2">
        <v>23.129200000000001</v>
      </c>
      <c r="K49" s="2">
        <v>0</v>
      </c>
      <c r="L49" s="2">
        <v>0</v>
      </c>
    </row>
    <row r="50" spans="1:12" x14ac:dyDescent="0.35">
      <c r="A50" s="3" t="s">
        <v>61</v>
      </c>
      <c r="B50" s="1" t="str">
        <f t="shared" si="0"/>
        <v>Lago Paranoa</v>
      </c>
      <c r="C50" s="1">
        <f t="shared" si="1"/>
        <v>-2312</v>
      </c>
      <c r="D50" s="2">
        <v>0</v>
      </c>
      <c r="E50" s="2">
        <v>2302.4499999999998</v>
      </c>
      <c r="F50" s="2">
        <v>0.193</v>
      </c>
      <c r="G50" s="2">
        <v>2.3681000000000001</v>
      </c>
      <c r="H50" s="2">
        <v>3.1781000000000001</v>
      </c>
      <c r="I50" s="2">
        <v>1.2983</v>
      </c>
      <c r="J50" s="2">
        <v>4.0549999999999997</v>
      </c>
      <c r="K50" s="2">
        <v>2302.4499999999998</v>
      </c>
      <c r="L50" s="2">
        <v>0</v>
      </c>
    </row>
    <row r="51" spans="1:12" hidden="1" x14ac:dyDescent="0.35">
      <c r="A51" s="3" t="s">
        <v>62</v>
      </c>
      <c r="B51" s="1" t="str">
        <f t="shared" si="0"/>
        <v>Corumba IV</v>
      </c>
      <c r="C51" s="1">
        <f t="shared" si="1"/>
        <v>-2311</v>
      </c>
      <c r="D51" s="2">
        <v>0</v>
      </c>
      <c r="E51" s="2">
        <v>0</v>
      </c>
      <c r="F51" s="2">
        <v>0</v>
      </c>
      <c r="G51" s="2">
        <v>0.3629</v>
      </c>
      <c r="H51" s="2">
        <v>27.4087</v>
      </c>
      <c r="I51" s="2">
        <v>5.2211999999999996</v>
      </c>
      <c r="J51" s="2">
        <v>22.5503</v>
      </c>
      <c r="K51" s="2">
        <v>0</v>
      </c>
      <c r="L51" s="2">
        <v>0</v>
      </c>
    </row>
    <row r="52" spans="1:12" x14ac:dyDescent="0.35">
      <c r="A52" s="3" t="s">
        <v>63</v>
      </c>
      <c r="B52" s="1" t="str">
        <f t="shared" si="0"/>
        <v>Lago Paranoa</v>
      </c>
      <c r="C52" s="1">
        <f t="shared" si="1"/>
        <v>-2311</v>
      </c>
      <c r="D52" s="2">
        <v>0</v>
      </c>
      <c r="E52" s="2">
        <v>2302.4499999999998</v>
      </c>
      <c r="F52" s="2">
        <v>0.19309999999999999</v>
      </c>
      <c r="G52" s="2">
        <v>2.1776</v>
      </c>
      <c r="H52" s="2">
        <v>3.0531000000000001</v>
      </c>
      <c r="I52" s="2">
        <v>1.2983</v>
      </c>
      <c r="J52" s="2">
        <v>3.7393000000000001</v>
      </c>
      <c r="K52" s="2">
        <v>2302.4499999999998</v>
      </c>
      <c r="L52" s="2">
        <v>0</v>
      </c>
    </row>
    <row r="53" spans="1:12" hidden="1" x14ac:dyDescent="0.35">
      <c r="A53" s="3" t="s">
        <v>64</v>
      </c>
      <c r="B53" s="1" t="str">
        <f t="shared" si="0"/>
        <v>Corumba IV</v>
      </c>
      <c r="C53" s="1">
        <f t="shared" si="1"/>
        <v>-2310</v>
      </c>
      <c r="D53" s="2">
        <v>0</v>
      </c>
      <c r="E53" s="2">
        <v>0</v>
      </c>
      <c r="F53" s="2">
        <v>0</v>
      </c>
      <c r="G53" s="2">
        <v>0.3629</v>
      </c>
      <c r="H53" s="2">
        <v>25.965800000000002</v>
      </c>
      <c r="I53" s="2">
        <v>6.1776999999999997</v>
      </c>
      <c r="J53" s="2">
        <v>20.151</v>
      </c>
      <c r="K53" s="2">
        <v>0</v>
      </c>
      <c r="L53" s="2">
        <v>0</v>
      </c>
    </row>
    <row r="54" spans="1:12" x14ac:dyDescent="0.35">
      <c r="A54" s="3" t="s">
        <v>65</v>
      </c>
      <c r="B54" s="1" t="str">
        <f t="shared" si="0"/>
        <v>Lago Paranoa</v>
      </c>
      <c r="C54" s="1">
        <f t="shared" si="1"/>
        <v>-2310</v>
      </c>
      <c r="D54" s="2">
        <v>0</v>
      </c>
      <c r="E54" s="2">
        <v>2302.4499999999998</v>
      </c>
      <c r="F54" s="2">
        <v>0.20749999999999999</v>
      </c>
      <c r="G54" s="2">
        <v>2.1473</v>
      </c>
      <c r="H54" s="2">
        <v>2.9155000000000002</v>
      </c>
      <c r="I54" s="2">
        <v>1.4354</v>
      </c>
      <c r="J54" s="2">
        <v>3.42</v>
      </c>
      <c r="K54" s="2">
        <v>2302.4499999999998</v>
      </c>
      <c r="L54" s="2">
        <v>0</v>
      </c>
    </row>
    <row r="55" spans="1:12" hidden="1" x14ac:dyDescent="0.35">
      <c r="A55" s="3" t="s">
        <v>66</v>
      </c>
      <c r="B55" s="1" t="str">
        <f t="shared" si="0"/>
        <v>Corumba IV</v>
      </c>
      <c r="C55" s="1">
        <f t="shared" si="1"/>
        <v>-2309</v>
      </c>
      <c r="D55" s="2">
        <v>0</v>
      </c>
      <c r="E55" s="2">
        <v>0</v>
      </c>
      <c r="F55" s="2">
        <v>0</v>
      </c>
      <c r="G55" s="2">
        <v>0.3629</v>
      </c>
      <c r="H55" s="2">
        <v>24.813199999999998</v>
      </c>
      <c r="I55" s="2">
        <v>6.1776999999999997</v>
      </c>
      <c r="J55" s="2">
        <v>18.9984</v>
      </c>
      <c r="K55" s="2">
        <v>0</v>
      </c>
      <c r="L55" s="2">
        <v>0</v>
      </c>
    </row>
    <row r="56" spans="1:12" x14ac:dyDescent="0.35">
      <c r="A56" s="3" t="s">
        <v>67</v>
      </c>
      <c r="B56" s="1" t="str">
        <f t="shared" si="0"/>
        <v>Lago Paranoa</v>
      </c>
      <c r="C56" s="1">
        <f t="shared" si="1"/>
        <v>-2309</v>
      </c>
      <c r="D56" s="2">
        <v>0</v>
      </c>
      <c r="E56" s="2">
        <v>2302.4499999999998</v>
      </c>
      <c r="F56" s="2">
        <v>0.2077</v>
      </c>
      <c r="G56" s="2">
        <v>2.1932999999999998</v>
      </c>
      <c r="H56" s="2">
        <v>2.8033000000000001</v>
      </c>
      <c r="I56" s="2">
        <v>1.4354</v>
      </c>
      <c r="J56" s="2">
        <v>3.3534000000000002</v>
      </c>
      <c r="K56" s="2">
        <v>2302.4499999999998</v>
      </c>
      <c r="L56" s="2">
        <v>0</v>
      </c>
    </row>
    <row r="57" spans="1:12" hidden="1" x14ac:dyDescent="0.35">
      <c r="A57" s="3" t="s">
        <v>68</v>
      </c>
      <c r="B57" s="1" t="str">
        <f t="shared" si="0"/>
        <v>Corumba IV</v>
      </c>
      <c r="C57" s="1">
        <f t="shared" si="1"/>
        <v>-2308</v>
      </c>
      <c r="D57" s="2">
        <v>0</v>
      </c>
      <c r="E57" s="2">
        <v>0</v>
      </c>
      <c r="F57" s="2">
        <v>0</v>
      </c>
      <c r="G57" s="2">
        <v>0.3629</v>
      </c>
      <c r="H57" s="2">
        <v>23.239899999999999</v>
      </c>
      <c r="I57" s="2">
        <v>6.1776999999999997</v>
      </c>
      <c r="J57" s="2">
        <v>17.4251</v>
      </c>
      <c r="K57" s="2">
        <v>0</v>
      </c>
      <c r="L57" s="2">
        <v>0</v>
      </c>
    </row>
    <row r="58" spans="1:12" x14ac:dyDescent="0.35">
      <c r="A58" s="3" t="s">
        <v>69</v>
      </c>
      <c r="B58" s="1" t="str">
        <f t="shared" si="0"/>
        <v>Lago Paranoa</v>
      </c>
      <c r="C58" s="1">
        <f t="shared" si="1"/>
        <v>-2308</v>
      </c>
      <c r="D58" s="2">
        <v>0</v>
      </c>
      <c r="E58" s="2">
        <v>2302.4499999999998</v>
      </c>
      <c r="F58" s="2">
        <v>0.20799999999999999</v>
      </c>
      <c r="G58" s="2">
        <v>2.6974</v>
      </c>
      <c r="H58" s="2">
        <v>2.7974000000000001</v>
      </c>
      <c r="I58" s="2">
        <v>1.4354</v>
      </c>
      <c r="J58" s="2">
        <v>3.8513999999999999</v>
      </c>
      <c r="K58" s="2">
        <v>2302.4499999999998</v>
      </c>
      <c r="L58" s="2">
        <v>0</v>
      </c>
    </row>
    <row r="59" spans="1:12" hidden="1" x14ac:dyDescent="0.35">
      <c r="A59" s="3" t="s">
        <v>70</v>
      </c>
      <c r="B59" s="1" t="str">
        <f t="shared" si="0"/>
        <v>Corumba IV</v>
      </c>
      <c r="C59" s="1">
        <f t="shared" si="1"/>
        <v>-2307</v>
      </c>
      <c r="D59" s="2">
        <v>0</v>
      </c>
      <c r="E59" s="2">
        <v>0</v>
      </c>
      <c r="F59" s="2">
        <v>0</v>
      </c>
      <c r="G59" s="2">
        <v>0.3629</v>
      </c>
      <c r="H59" s="2">
        <v>29.511600000000001</v>
      </c>
      <c r="I59" s="2">
        <v>6.1776999999999997</v>
      </c>
      <c r="J59" s="2">
        <v>23.696899999999999</v>
      </c>
      <c r="K59" s="2">
        <v>0</v>
      </c>
      <c r="L59" s="2">
        <v>0</v>
      </c>
    </row>
    <row r="60" spans="1:12" x14ac:dyDescent="0.35">
      <c r="A60" s="3" t="s">
        <v>71</v>
      </c>
      <c r="B60" s="1" t="str">
        <f t="shared" si="0"/>
        <v>Lago Paranoa</v>
      </c>
      <c r="C60" s="1">
        <f t="shared" si="1"/>
        <v>-2307</v>
      </c>
      <c r="D60" s="2">
        <v>0</v>
      </c>
      <c r="E60" s="2">
        <v>2302.4499999999998</v>
      </c>
      <c r="F60" s="2">
        <v>0.2082</v>
      </c>
      <c r="G60" s="2">
        <v>2.7025999999999999</v>
      </c>
      <c r="H60" s="2">
        <v>3.0289999999999999</v>
      </c>
      <c r="I60" s="2">
        <v>1.4354</v>
      </c>
      <c r="J60" s="2">
        <v>4.0880000000000001</v>
      </c>
      <c r="K60" s="2">
        <v>2302.4499999999998</v>
      </c>
      <c r="L60" s="2">
        <v>0</v>
      </c>
    </row>
    <row r="61" spans="1:12" hidden="1" x14ac:dyDescent="0.35">
      <c r="A61" s="3" t="s">
        <v>72</v>
      </c>
      <c r="B61" s="1" t="str">
        <f t="shared" si="0"/>
        <v>Corumba IV</v>
      </c>
      <c r="C61" s="1">
        <f t="shared" si="1"/>
        <v>-2306</v>
      </c>
      <c r="D61" s="2">
        <v>0</v>
      </c>
      <c r="E61" s="2">
        <v>0</v>
      </c>
      <c r="F61" s="2">
        <v>0</v>
      </c>
      <c r="G61" s="2">
        <v>0.3629</v>
      </c>
      <c r="H61" s="2">
        <v>24.633500000000002</v>
      </c>
      <c r="I61" s="2">
        <v>6.1151999999999997</v>
      </c>
      <c r="J61" s="2">
        <v>18.8811</v>
      </c>
      <c r="K61" s="2">
        <v>0</v>
      </c>
      <c r="L61" s="2">
        <v>0</v>
      </c>
    </row>
    <row r="62" spans="1:12" x14ac:dyDescent="0.35">
      <c r="A62" s="3" t="s">
        <v>73</v>
      </c>
      <c r="B62" s="1" t="str">
        <f t="shared" si="0"/>
        <v>Lago Paranoa</v>
      </c>
      <c r="C62" s="1">
        <f t="shared" si="1"/>
        <v>-2306</v>
      </c>
      <c r="D62" s="2">
        <v>0</v>
      </c>
      <c r="E62" s="2">
        <v>2302.4499999999998</v>
      </c>
      <c r="F62" s="2">
        <v>0.25969999999999999</v>
      </c>
      <c r="G62" s="2">
        <v>2.2930000000000001</v>
      </c>
      <c r="H62" s="2">
        <v>2.7564000000000002</v>
      </c>
      <c r="I62" s="2">
        <v>1.4292</v>
      </c>
      <c r="J62" s="2">
        <v>3.3605</v>
      </c>
      <c r="K62" s="2">
        <v>2302.4499999999998</v>
      </c>
      <c r="L62" s="2">
        <v>0</v>
      </c>
    </row>
    <row r="63" spans="1:12" hidden="1" x14ac:dyDescent="0.35">
      <c r="A63" s="3" t="s">
        <v>74</v>
      </c>
      <c r="B63" s="1" t="str">
        <f t="shared" si="0"/>
        <v>Corumba IV</v>
      </c>
      <c r="C63" s="1">
        <f t="shared" si="1"/>
        <v>-2305</v>
      </c>
      <c r="D63" s="2">
        <v>0</v>
      </c>
      <c r="E63" s="2">
        <v>0</v>
      </c>
      <c r="F63" s="2">
        <v>0</v>
      </c>
      <c r="G63" s="2">
        <v>0.3629</v>
      </c>
      <c r="H63" s="2">
        <v>30.2728</v>
      </c>
      <c r="I63" s="2">
        <v>6.3300999999999998</v>
      </c>
      <c r="J63" s="2">
        <v>24.305599999999998</v>
      </c>
      <c r="K63" s="2">
        <v>0</v>
      </c>
      <c r="L63" s="2">
        <v>0</v>
      </c>
    </row>
    <row r="64" spans="1:12" x14ac:dyDescent="0.35">
      <c r="A64" s="3" t="s">
        <v>75</v>
      </c>
      <c r="B64" s="1" t="str">
        <f t="shared" si="0"/>
        <v>Lago Paranoa</v>
      </c>
      <c r="C64" s="1">
        <f t="shared" si="1"/>
        <v>-2305</v>
      </c>
      <c r="D64" s="2">
        <v>0</v>
      </c>
      <c r="E64" s="2">
        <v>2302.4499999999998</v>
      </c>
      <c r="F64" s="2">
        <v>0.2601</v>
      </c>
      <c r="G64" s="2">
        <v>2.4285000000000001</v>
      </c>
      <c r="H64" s="2">
        <v>3.0297000000000001</v>
      </c>
      <c r="I64" s="2">
        <v>1.4769000000000001</v>
      </c>
      <c r="J64" s="2">
        <v>3.7214</v>
      </c>
      <c r="K64" s="2">
        <v>2302.4499999999998</v>
      </c>
      <c r="L64" s="2">
        <v>0</v>
      </c>
    </row>
    <row r="65" spans="1:12" hidden="1" x14ac:dyDescent="0.35">
      <c r="A65" s="3" t="s">
        <v>76</v>
      </c>
      <c r="B65" s="1" t="str">
        <f t="shared" si="0"/>
        <v>Corumba IV</v>
      </c>
      <c r="C65" s="1">
        <f t="shared" si="1"/>
        <v>-2304</v>
      </c>
      <c r="D65" s="2">
        <v>0</v>
      </c>
      <c r="E65" s="2">
        <v>0</v>
      </c>
      <c r="F65" s="2">
        <v>0</v>
      </c>
      <c r="G65" s="2">
        <v>0.3629</v>
      </c>
      <c r="H65" s="2">
        <v>26.968900000000001</v>
      </c>
      <c r="I65" s="2">
        <v>6.3300999999999998</v>
      </c>
      <c r="J65" s="2">
        <v>21.0016</v>
      </c>
      <c r="K65" s="2">
        <v>0</v>
      </c>
      <c r="L65" s="2">
        <v>0</v>
      </c>
    </row>
    <row r="66" spans="1:12" x14ac:dyDescent="0.35">
      <c r="A66" s="3" t="s">
        <v>77</v>
      </c>
      <c r="B66" s="1" t="str">
        <f t="shared" si="0"/>
        <v>Lago Paranoa</v>
      </c>
      <c r="C66" s="1">
        <f t="shared" si="1"/>
        <v>-2304</v>
      </c>
      <c r="D66" s="2">
        <v>0</v>
      </c>
      <c r="E66" s="2">
        <v>2302.4499999999998</v>
      </c>
      <c r="F66" s="2">
        <v>0.26040000000000002</v>
      </c>
      <c r="G66" s="2">
        <v>3.0434000000000001</v>
      </c>
      <c r="H66" s="2">
        <v>3.2109000000000001</v>
      </c>
      <c r="I66" s="2">
        <v>1.4769000000000001</v>
      </c>
      <c r="J66" s="2">
        <v>4.5171000000000001</v>
      </c>
      <c r="K66" s="2">
        <v>2302.4499999999998</v>
      </c>
      <c r="L66" s="2">
        <v>0</v>
      </c>
    </row>
    <row r="67" spans="1:12" hidden="1" x14ac:dyDescent="0.35">
      <c r="A67" s="3" t="s">
        <v>78</v>
      </c>
      <c r="B67" s="1" t="str">
        <f t="shared" ref="B67:B130" si="2">_xlfn.TEXTBEFORE(_xlfn.TEXTAFTER(A67,"["),"]")</f>
        <v>Corumba IV</v>
      </c>
      <c r="C67" s="1">
        <f t="shared" ref="C67:C130" si="3">--_xlfn.TEXTBEFORE(_xlfn.TEXTAFTER(A67,"Week "),":")</f>
        <v>-2303</v>
      </c>
      <c r="D67" s="2">
        <v>0</v>
      </c>
      <c r="E67" s="2">
        <v>0</v>
      </c>
      <c r="F67" s="2">
        <v>0</v>
      </c>
      <c r="G67" s="2">
        <v>0.3629</v>
      </c>
      <c r="H67" s="2">
        <v>26.0686</v>
      </c>
      <c r="I67" s="2">
        <v>6.3300999999999998</v>
      </c>
      <c r="J67" s="2">
        <v>20.101400000000002</v>
      </c>
      <c r="K67" s="2">
        <v>0</v>
      </c>
      <c r="L67" s="2">
        <v>0</v>
      </c>
    </row>
    <row r="68" spans="1:12" x14ac:dyDescent="0.35">
      <c r="A68" s="3" t="s">
        <v>79</v>
      </c>
      <c r="B68" s="1" t="str">
        <f t="shared" si="2"/>
        <v>Lago Paranoa</v>
      </c>
      <c r="C68" s="1">
        <f t="shared" si="3"/>
        <v>-2303</v>
      </c>
      <c r="D68" s="2">
        <v>0</v>
      </c>
      <c r="E68" s="2">
        <v>2302.4499999999998</v>
      </c>
      <c r="F68" s="2">
        <v>0.26069999999999999</v>
      </c>
      <c r="G68" s="2">
        <v>2.7526999999999999</v>
      </c>
      <c r="H68" s="2">
        <v>3.1002000000000001</v>
      </c>
      <c r="I68" s="2">
        <v>1.4769000000000001</v>
      </c>
      <c r="J68" s="2">
        <v>4.1153000000000004</v>
      </c>
      <c r="K68" s="2">
        <v>2302.4499999999998</v>
      </c>
      <c r="L68" s="2">
        <v>0</v>
      </c>
    </row>
    <row r="69" spans="1:12" hidden="1" x14ac:dyDescent="0.35">
      <c r="A69" s="3" t="s">
        <v>80</v>
      </c>
      <c r="B69" s="1" t="str">
        <f t="shared" si="2"/>
        <v>Corumba IV</v>
      </c>
      <c r="C69" s="1">
        <f t="shared" si="3"/>
        <v>-2302</v>
      </c>
      <c r="D69" s="2">
        <v>0</v>
      </c>
      <c r="E69" s="2">
        <v>0</v>
      </c>
      <c r="F69" s="2">
        <v>0</v>
      </c>
      <c r="G69" s="2">
        <v>0.3629</v>
      </c>
      <c r="H69" s="2">
        <v>24.998100000000001</v>
      </c>
      <c r="I69" s="2">
        <v>5.8811999999999998</v>
      </c>
      <c r="J69" s="2">
        <v>19.479800000000001</v>
      </c>
      <c r="K69" s="2">
        <v>0</v>
      </c>
      <c r="L69" s="2">
        <v>0</v>
      </c>
    </row>
    <row r="70" spans="1:12" x14ac:dyDescent="0.35">
      <c r="A70" s="3" t="s">
        <v>81</v>
      </c>
      <c r="B70" s="1" t="str">
        <f t="shared" si="2"/>
        <v>Lago Paranoa</v>
      </c>
      <c r="C70" s="1">
        <f t="shared" si="3"/>
        <v>-2302</v>
      </c>
      <c r="D70" s="2">
        <v>0</v>
      </c>
      <c r="E70" s="2">
        <v>2302.4499999999998</v>
      </c>
      <c r="F70" s="2">
        <v>0.26090000000000002</v>
      </c>
      <c r="G70" s="2">
        <v>2.6682000000000001</v>
      </c>
      <c r="H70" s="2">
        <v>3.4639000000000002</v>
      </c>
      <c r="I70" s="2">
        <v>1.4135</v>
      </c>
      <c r="J70" s="2">
        <v>4.4577</v>
      </c>
      <c r="K70" s="2">
        <v>2302.4499999999998</v>
      </c>
      <c r="L70" s="2">
        <v>0</v>
      </c>
    </row>
    <row r="71" spans="1:12" hidden="1" x14ac:dyDescent="0.35">
      <c r="A71" s="3" t="s">
        <v>82</v>
      </c>
      <c r="B71" s="1" t="str">
        <f t="shared" si="2"/>
        <v>Corumba IV</v>
      </c>
      <c r="C71" s="1">
        <f t="shared" si="3"/>
        <v>-2301</v>
      </c>
      <c r="D71" s="2">
        <v>0</v>
      </c>
      <c r="E71" s="2">
        <v>0</v>
      </c>
      <c r="F71" s="2">
        <v>0</v>
      </c>
      <c r="G71" s="2">
        <v>0.3629</v>
      </c>
      <c r="H71" s="2">
        <v>29.835599999999999</v>
      </c>
      <c r="I71" s="2">
        <v>4.7587000000000002</v>
      </c>
      <c r="J71" s="2">
        <v>25.439800000000002</v>
      </c>
      <c r="K71" s="2">
        <v>0</v>
      </c>
      <c r="L71" s="2">
        <v>0</v>
      </c>
    </row>
    <row r="72" spans="1:12" x14ac:dyDescent="0.35">
      <c r="A72" s="3" t="s">
        <v>83</v>
      </c>
      <c r="B72" s="1" t="str">
        <f t="shared" si="2"/>
        <v>Lago Paranoa</v>
      </c>
      <c r="C72" s="1">
        <f t="shared" si="3"/>
        <v>-2301</v>
      </c>
      <c r="D72" s="2">
        <v>0</v>
      </c>
      <c r="E72" s="2">
        <v>2302.4499999999998</v>
      </c>
      <c r="F72" s="2">
        <v>0.22989999999999999</v>
      </c>
      <c r="G72" s="2">
        <v>2.8369</v>
      </c>
      <c r="H72" s="2">
        <v>3.5569999999999999</v>
      </c>
      <c r="I72" s="2">
        <v>1.2551000000000001</v>
      </c>
      <c r="J72" s="2">
        <v>4.9089</v>
      </c>
      <c r="K72" s="2">
        <v>2302.4499999999998</v>
      </c>
      <c r="L72" s="2">
        <v>0</v>
      </c>
    </row>
    <row r="73" spans="1:12" hidden="1" x14ac:dyDescent="0.35">
      <c r="A73" s="3" t="s">
        <v>84</v>
      </c>
      <c r="B73" s="1" t="str">
        <f t="shared" si="2"/>
        <v>Corumba IV</v>
      </c>
      <c r="C73" s="1">
        <f t="shared" si="3"/>
        <v>-2300</v>
      </c>
      <c r="D73" s="2">
        <v>0</v>
      </c>
      <c r="E73" s="2">
        <v>0</v>
      </c>
      <c r="F73" s="2">
        <v>0</v>
      </c>
      <c r="G73" s="2">
        <v>0.3629</v>
      </c>
      <c r="H73" s="2">
        <v>33.615600000000001</v>
      </c>
      <c r="I73" s="2">
        <v>4.7587000000000002</v>
      </c>
      <c r="J73" s="2">
        <v>29.219799999999999</v>
      </c>
      <c r="K73" s="2">
        <v>0</v>
      </c>
      <c r="L73" s="2">
        <v>0</v>
      </c>
    </row>
    <row r="74" spans="1:12" x14ac:dyDescent="0.35">
      <c r="A74" s="3" t="s">
        <v>85</v>
      </c>
      <c r="B74" s="1" t="str">
        <f t="shared" si="2"/>
        <v>Lago Paranoa</v>
      </c>
      <c r="C74" s="1">
        <f t="shared" si="3"/>
        <v>-2300</v>
      </c>
      <c r="D74" s="2">
        <v>0</v>
      </c>
      <c r="E74" s="2">
        <v>2302.4499999999998</v>
      </c>
      <c r="F74" s="2">
        <v>0.2301</v>
      </c>
      <c r="G74" s="2">
        <v>3.3502000000000001</v>
      </c>
      <c r="H74" s="2">
        <v>3.6072000000000002</v>
      </c>
      <c r="I74" s="2">
        <v>1.2551000000000001</v>
      </c>
      <c r="J74" s="2">
        <v>5.4722</v>
      </c>
      <c r="K74" s="2">
        <v>2302.4499999999998</v>
      </c>
      <c r="L74" s="2">
        <v>0</v>
      </c>
    </row>
    <row r="75" spans="1:12" hidden="1" x14ac:dyDescent="0.35">
      <c r="A75" s="3" t="s">
        <v>86</v>
      </c>
      <c r="B75" s="1" t="str">
        <f t="shared" si="2"/>
        <v>Corumba IV</v>
      </c>
      <c r="C75" s="1">
        <f t="shared" si="3"/>
        <v>-2299</v>
      </c>
      <c r="D75" s="2">
        <v>0</v>
      </c>
      <c r="E75" s="2">
        <v>0</v>
      </c>
      <c r="F75" s="2">
        <v>0</v>
      </c>
      <c r="G75" s="2">
        <v>0.3629</v>
      </c>
      <c r="H75" s="2">
        <v>26.219799999999999</v>
      </c>
      <c r="I75" s="2">
        <v>4.7587000000000002</v>
      </c>
      <c r="J75" s="2">
        <v>21.824000000000002</v>
      </c>
      <c r="K75" s="2">
        <v>0</v>
      </c>
      <c r="L75" s="2">
        <v>0</v>
      </c>
    </row>
    <row r="76" spans="1:12" x14ac:dyDescent="0.35">
      <c r="A76" s="3" t="s">
        <v>87</v>
      </c>
      <c r="B76" s="1" t="str">
        <f t="shared" si="2"/>
        <v>Lago Paranoa</v>
      </c>
      <c r="C76" s="1">
        <f t="shared" si="3"/>
        <v>-2299</v>
      </c>
      <c r="D76" s="2">
        <v>0</v>
      </c>
      <c r="E76" s="2">
        <v>2302.4499999999998</v>
      </c>
      <c r="F76" s="2">
        <v>0.23019999999999999</v>
      </c>
      <c r="G76" s="2">
        <v>2.6913</v>
      </c>
      <c r="H76" s="2">
        <v>3.1082999999999998</v>
      </c>
      <c r="I76" s="2">
        <v>1.2551000000000001</v>
      </c>
      <c r="J76" s="2">
        <v>4.3143000000000002</v>
      </c>
      <c r="K76" s="2">
        <v>2302.4499999999998</v>
      </c>
      <c r="L76" s="2">
        <v>0</v>
      </c>
    </row>
    <row r="77" spans="1:12" hidden="1" x14ac:dyDescent="0.35">
      <c r="A77" s="3" t="s">
        <v>88</v>
      </c>
      <c r="B77" s="1" t="str">
        <f t="shared" si="2"/>
        <v>Corumba IV</v>
      </c>
      <c r="C77" s="1">
        <f t="shared" si="3"/>
        <v>-2298</v>
      </c>
      <c r="D77" s="2">
        <v>0</v>
      </c>
      <c r="E77" s="2">
        <v>0</v>
      </c>
      <c r="F77" s="2">
        <v>0</v>
      </c>
      <c r="G77" s="2">
        <v>0.3629</v>
      </c>
      <c r="H77" s="2">
        <v>33.9846</v>
      </c>
      <c r="I77" s="2">
        <v>4.0865999999999998</v>
      </c>
      <c r="J77" s="2">
        <v>30.2608</v>
      </c>
      <c r="K77" s="2">
        <v>0</v>
      </c>
      <c r="L77" s="2">
        <v>0</v>
      </c>
    </row>
    <row r="78" spans="1:12" x14ac:dyDescent="0.35">
      <c r="A78" s="3" t="s">
        <v>89</v>
      </c>
      <c r="B78" s="1" t="str">
        <f t="shared" si="2"/>
        <v>Lago Paranoa</v>
      </c>
      <c r="C78" s="1">
        <f t="shared" si="3"/>
        <v>-2298</v>
      </c>
      <c r="D78" s="2">
        <v>0</v>
      </c>
      <c r="E78" s="2">
        <v>2302.4499999999998</v>
      </c>
      <c r="F78" s="2">
        <v>0.23039999999999999</v>
      </c>
      <c r="G78" s="2">
        <v>3.2073999999999998</v>
      </c>
      <c r="H78" s="2">
        <v>3.9828000000000001</v>
      </c>
      <c r="I78" s="2">
        <v>1.0808</v>
      </c>
      <c r="J78" s="2">
        <v>5.8789999999999996</v>
      </c>
      <c r="K78" s="2">
        <v>2302.4499999999998</v>
      </c>
      <c r="L78" s="2">
        <v>0</v>
      </c>
    </row>
    <row r="79" spans="1:12" hidden="1" x14ac:dyDescent="0.35">
      <c r="A79" s="3" t="s">
        <v>90</v>
      </c>
      <c r="B79" s="1" t="str">
        <f t="shared" si="2"/>
        <v>Corumba IV</v>
      </c>
      <c r="C79" s="1">
        <f t="shared" si="3"/>
        <v>-2297</v>
      </c>
      <c r="D79" s="2">
        <v>0</v>
      </c>
      <c r="E79" s="2">
        <v>0</v>
      </c>
      <c r="F79" s="2">
        <v>0</v>
      </c>
      <c r="G79" s="2">
        <v>0.3629</v>
      </c>
      <c r="H79" s="2">
        <v>39.735399999999998</v>
      </c>
      <c r="I79" s="2">
        <v>3.9569999999999999</v>
      </c>
      <c r="J79" s="2">
        <v>36.141199999999998</v>
      </c>
      <c r="K79" s="2">
        <v>0</v>
      </c>
      <c r="L79" s="2">
        <v>0</v>
      </c>
    </row>
    <row r="80" spans="1:12" x14ac:dyDescent="0.35">
      <c r="A80" s="3" t="s">
        <v>91</v>
      </c>
      <c r="B80" s="1" t="str">
        <f t="shared" si="2"/>
        <v>Lago Paranoa</v>
      </c>
      <c r="C80" s="1">
        <f t="shared" si="3"/>
        <v>-2297</v>
      </c>
      <c r="D80" s="2">
        <v>0</v>
      </c>
      <c r="E80" s="2">
        <v>2302.4499999999998</v>
      </c>
      <c r="F80" s="2">
        <v>0.20219999999999999</v>
      </c>
      <c r="G80" s="2">
        <v>2.9270999999999998</v>
      </c>
      <c r="H80" s="2">
        <v>4.2023999999999999</v>
      </c>
      <c r="I80" s="2">
        <v>1.0043</v>
      </c>
      <c r="J80" s="2">
        <v>5.923</v>
      </c>
      <c r="K80" s="2">
        <v>2302.4499999999998</v>
      </c>
      <c r="L80" s="2">
        <v>0</v>
      </c>
    </row>
    <row r="81" spans="1:12" hidden="1" x14ac:dyDescent="0.35">
      <c r="A81" s="3" t="s">
        <v>92</v>
      </c>
      <c r="B81" s="1" t="str">
        <f t="shared" si="2"/>
        <v>Corumba IV</v>
      </c>
      <c r="C81" s="1">
        <f t="shared" si="3"/>
        <v>-2296</v>
      </c>
      <c r="D81" s="2">
        <v>0</v>
      </c>
      <c r="E81" s="2">
        <v>0</v>
      </c>
      <c r="F81" s="2">
        <v>0</v>
      </c>
      <c r="G81" s="2">
        <v>0.3629</v>
      </c>
      <c r="H81" s="2">
        <v>49.585000000000001</v>
      </c>
      <c r="I81" s="2">
        <v>3.3814000000000002</v>
      </c>
      <c r="J81" s="2">
        <v>46.566400000000002</v>
      </c>
      <c r="K81" s="2">
        <v>0</v>
      </c>
      <c r="L81" s="2">
        <v>0</v>
      </c>
    </row>
    <row r="82" spans="1:12" x14ac:dyDescent="0.35">
      <c r="A82" s="3" t="s">
        <v>93</v>
      </c>
      <c r="B82" s="1" t="str">
        <f t="shared" si="2"/>
        <v>Lago Paranoa</v>
      </c>
      <c r="C82" s="1">
        <f t="shared" si="3"/>
        <v>-2296</v>
      </c>
      <c r="D82" s="2">
        <v>0</v>
      </c>
      <c r="E82" s="2">
        <v>2302.4499999999998</v>
      </c>
      <c r="F82" s="2">
        <v>0.20230000000000001</v>
      </c>
      <c r="G82" s="2">
        <v>2.9001999999999999</v>
      </c>
      <c r="H82" s="2">
        <v>5.1581999999999999</v>
      </c>
      <c r="I82" s="2">
        <v>0.81479999999999997</v>
      </c>
      <c r="J82" s="2">
        <v>7.0412999999999997</v>
      </c>
      <c r="K82" s="2">
        <v>2302.4499999999998</v>
      </c>
      <c r="L82" s="2">
        <v>0</v>
      </c>
    </row>
    <row r="83" spans="1:12" hidden="1" x14ac:dyDescent="0.35">
      <c r="A83" s="3" t="s">
        <v>94</v>
      </c>
      <c r="B83" s="1" t="str">
        <f t="shared" si="2"/>
        <v>Corumba IV</v>
      </c>
      <c r="C83" s="1">
        <f t="shared" si="3"/>
        <v>-2295</v>
      </c>
      <c r="D83" s="2">
        <v>0</v>
      </c>
      <c r="E83" s="2">
        <v>0</v>
      </c>
      <c r="F83" s="2">
        <v>0</v>
      </c>
      <c r="G83" s="2">
        <v>0.3629</v>
      </c>
      <c r="H83" s="2">
        <v>53.231000000000002</v>
      </c>
      <c r="I83" s="2">
        <v>3.3814000000000002</v>
      </c>
      <c r="J83" s="2">
        <v>50.212499999999999</v>
      </c>
      <c r="K83" s="2">
        <v>0</v>
      </c>
      <c r="L83" s="2">
        <v>0</v>
      </c>
    </row>
    <row r="84" spans="1:12" x14ac:dyDescent="0.35">
      <c r="A84" s="3" t="s">
        <v>95</v>
      </c>
      <c r="B84" s="1" t="str">
        <f t="shared" si="2"/>
        <v>Lago Paranoa</v>
      </c>
      <c r="C84" s="1">
        <f t="shared" si="3"/>
        <v>-2295</v>
      </c>
      <c r="D84" s="2">
        <v>0</v>
      </c>
      <c r="E84" s="2">
        <v>2302.4499999999998</v>
      </c>
      <c r="F84" s="2">
        <v>0.2024</v>
      </c>
      <c r="G84" s="2">
        <v>3.2972999999999999</v>
      </c>
      <c r="H84" s="2">
        <v>6.5225</v>
      </c>
      <c r="I84" s="2">
        <v>0.81479999999999997</v>
      </c>
      <c r="J84" s="2">
        <v>8.8026999999999997</v>
      </c>
      <c r="K84" s="2">
        <v>2302.4499999999998</v>
      </c>
      <c r="L84" s="2">
        <v>0</v>
      </c>
    </row>
    <row r="85" spans="1:12" hidden="1" x14ac:dyDescent="0.35">
      <c r="A85" s="3" t="s">
        <v>96</v>
      </c>
      <c r="B85" s="1" t="str">
        <f t="shared" si="2"/>
        <v>Corumba IV</v>
      </c>
      <c r="C85" s="1">
        <f t="shared" si="3"/>
        <v>-2294</v>
      </c>
      <c r="D85" s="2">
        <v>0</v>
      </c>
      <c r="E85" s="2">
        <v>0</v>
      </c>
      <c r="F85" s="2">
        <v>0</v>
      </c>
      <c r="G85" s="2">
        <v>0.3629</v>
      </c>
      <c r="H85" s="2">
        <v>89.927700000000002</v>
      </c>
      <c r="I85" s="2">
        <v>3.3814000000000002</v>
      </c>
      <c r="J85" s="2">
        <v>86.909199999999998</v>
      </c>
      <c r="K85" s="2">
        <v>0</v>
      </c>
      <c r="L85" s="2">
        <v>0</v>
      </c>
    </row>
    <row r="86" spans="1:12" x14ac:dyDescent="0.35">
      <c r="A86" s="3" t="s">
        <v>97</v>
      </c>
      <c r="B86" s="1" t="str">
        <f t="shared" si="2"/>
        <v>Lago Paranoa</v>
      </c>
      <c r="C86" s="1">
        <f t="shared" si="3"/>
        <v>-2294</v>
      </c>
      <c r="D86" s="2">
        <v>0</v>
      </c>
      <c r="E86" s="2">
        <v>2302.4499999999998</v>
      </c>
      <c r="F86" s="2">
        <v>0.20250000000000001</v>
      </c>
      <c r="G86" s="2">
        <v>3.3744000000000001</v>
      </c>
      <c r="H86" s="2">
        <v>7.8959000000000001</v>
      </c>
      <c r="I86" s="2">
        <v>0.81479999999999997</v>
      </c>
      <c r="J86" s="2">
        <v>10.253</v>
      </c>
      <c r="K86" s="2">
        <v>2302.4499999999998</v>
      </c>
      <c r="L86" s="2">
        <v>0</v>
      </c>
    </row>
    <row r="87" spans="1:12" hidden="1" x14ac:dyDescent="0.35">
      <c r="A87" s="3" t="s">
        <v>98</v>
      </c>
      <c r="B87" s="1" t="str">
        <f t="shared" si="2"/>
        <v>Corumba IV</v>
      </c>
      <c r="C87" s="1">
        <f t="shared" si="3"/>
        <v>-2293</v>
      </c>
      <c r="D87" s="2">
        <v>0</v>
      </c>
      <c r="E87" s="2">
        <v>0</v>
      </c>
      <c r="F87" s="2">
        <v>0</v>
      </c>
      <c r="G87" s="2">
        <v>0.3629</v>
      </c>
      <c r="H87" s="2">
        <v>81.090699999999998</v>
      </c>
      <c r="I87" s="2">
        <v>4.1712999999999996</v>
      </c>
      <c r="J87" s="2">
        <v>77.282300000000006</v>
      </c>
      <c r="K87" s="2">
        <v>0</v>
      </c>
      <c r="L87" s="2">
        <v>0</v>
      </c>
    </row>
    <row r="88" spans="1:12" x14ac:dyDescent="0.35">
      <c r="A88" s="3" t="s">
        <v>99</v>
      </c>
      <c r="B88" s="1" t="str">
        <f t="shared" si="2"/>
        <v>Lago Paranoa</v>
      </c>
      <c r="C88" s="1">
        <f t="shared" si="3"/>
        <v>-2293</v>
      </c>
      <c r="D88" s="2">
        <v>0</v>
      </c>
      <c r="E88" s="2">
        <v>2302.4499999999998</v>
      </c>
      <c r="F88" s="2">
        <v>0.14349999999999999</v>
      </c>
      <c r="G88" s="2">
        <v>4.2542999999999997</v>
      </c>
      <c r="H88" s="2">
        <v>8.8293999999999997</v>
      </c>
      <c r="I88" s="2">
        <v>1.0170999999999999</v>
      </c>
      <c r="J88" s="2">
        <v>11.9231</v>
      </c>
      <c r="K88" s="2">
        <v>2302.4499999999998</v>
      </c>
      <c r="L88" s="2">
        <v>0</v>
      </c>
    </row>
    <row r="89" spans="1:12" hidden="1" x14ac:dyDescent="0.35">
      <c r="A89" s="3" t="s">
        <v>100</v>
      </c>
      <c r="B89" s="1" t="str">
        <f t="shared" si="2"/>
        <v>Corumba IV</v>
      </c>
      <c r="C89" s="1">
        <f t="shared" si="3"/>
        <v>-2292</v>
      </c>
      <c r="D89" s="2">
        <v>0</v>
      </c>
      <c r="E89" s="2">
        <v>0</v>
      </c>
      <c r="F89" s="2">
        <v>0</v>
      </c>
      <c r="G89" s="2">
        <v>0.3629</v>
      </c>
      <c r="H89" s="2">
        <v>120.6455</v>
      </c>
      <c r="I89" s="2">
        <v>4.5115999999999996</v>
      </c>
      <c r="J89" s="2">
        <v>116.4967</v>
      </c>
      <c r="K89" s="2">
        <v>0</v>
      </c>
      <c r="L89" s="2">
        <v>0</v>
      </c>
    </row>
    <row r="90" spans="1:12" x14ac:dyDescent="0.35">
      <c r="A90" s="3" t="s">
        <v>101</v>
      </c>
      <c r="B90" s="1" t="str">
        <f t="shared" si="2"/>
        <v>Lago Paranoa</v>
      </c>
      <c r="C90" s="1">
        <f t="shared" si="3"/>
        <v>-2292</v>
      </c>
      <c r="D90" s="2">
        <v>0</v>
      </c>
      <c r="E90" s="2">
        <v>2302.4499999999998</v>
      </c>
      <c r="F90" s="2">
        <v>0.14360000000000001</v>
      </c>
      <c r="G90" s="2">
        <v>4.4443000000000001</v>
      </c>
      <c r="H90" s="2">
        <v>15.4503</v>
      </c>
      <c r="I90" s="2">
        <v>1.2252000000000001</v>
      </c>
      <c r="J90" s="2">
        <v>18.5258</v>
      </c>
      <c r="K90" s="2">
        <v>2302.4499999999998</v>
      </c>
      <c r="L90" s="2">
        <v>0</v>
      </c>
    </row>
    <row r="91" spans="1:12" hidden="1" x14ac:dyDescent="0.35">
      <c r="A91" s="3" t="s">
        <v>102</v>
      </c>
      <c r="B91" s="1" t="str">
        <f t="shared" si="2"/>
        <v>Corumba IV</v>
      </c>
      <c r="C91" s="1">
        <f t="shared" si="3"/>
        <v>-2395</v>
      </c>
      <c r="D91" s="2">
        <v>0</v>
      </c>
      <c r="E91" s="2">
        <v>0</v>
      </c>
      <c r="F91" s="2">
        <v>0</v>
      </c>
      <c r="G91" s="2">
        <v>0.3629</v>
      </c>
      <c r="H91" s="2">
        <v>73.627499999999998</v>
      </c>
      <c r="I91" s="2">
        <v>4.0095999999999998</v>
      </c>
      <c r="J91" s="2">
        <v>69.980699999999999</v>
      </c>
      <c r="K91" s="2">
        <v>0</v>
      </c>
      <c r="L91" s="2">
        <v>0</v>
      </c>
    </row>
    <row r="92" spans="1:12" x14ac:dyDescent="0.35">
      <c r="A92" s="3" t="s">
        <v>103</v>
      </c>
      <c r="B92" s="1" t="str">
        <f t="shared" si="2"/>
        <v>Lago Paranoa</v>
      </c>
      <c r="C92" s="1">
        <f t="shared" si="3"/>
        <v>-2395</v>
      </c>
      <c r="D92" s="2">
        <v>0</v>
      </c>
      <c r="E92" s="2">
        <v>2302.4499999999998</v>
      </c>
      <c r="F92" s="2">
        <v>0.14380000000000001</v>
      </c>
      <c r="G92" s="2">
        <v>4.3913000000000002</v>
      </c>
      <c r="H92" s="2">
        <v>9.8768999999999991</v>
      </c>
      <c r="I92" s="2">
        <v>1.0535000000000001</v>
      </c>
      <c r="J92" s="2">
        <v>13.071</v>
      </c>
      <c r="K92" s="2">
        <v>2302.4499999999998</v>
      </c>
      <c r="L92" s="2">
        <v>0</v>
      </c>
    </row>
    <row r="93" spans="1:12" hidden="1" x14ac:dyDescent="0.35">
      <c r="A93" s="3" t="s">
        <v>104</v>
      </c>
      <c r="B93" s="1" t="str">
        <f t="shared" si="2"/>
        <v>Corumba IV</v>
      </c>
      <c r="C93" s="1">
        <f t="shared" si="3"/>
        <v>-2394</v>
      </c>
      <c r="D93" s="2">
        <v>0</v>
      </c>
      <c r="E93" s="2">
        <v>0</v>
      </c>
      <c r="F93" s="2">
        <v>0</v>
      </c>
      <c r="G93" s="2">
        <v>0.3629</v>
      </c>
      <c r="H93" s="2">
        <v>65.314099999999996</v>
      </c>
      <c r="I93" s="2">
        <v>4.0095999999999998</v>
      </c>
      <c r="J93" s="2">
        <v>61.667299999999997</v>
      </c>
      <c r="K93" s="2">
        <v>0</v>
      </c>
      <c r="L93" s="2">
        <v>0</v>
      </c>
    </row>
    <row r="94" spans="1:12" x14ac:dyDescent="0.35">
      <c r="A94" s="3" t="s">
        <v>105</v>
      </c>
      <c r="B94" s="1" t="str">
        <f t="shared" si="2"/>
        <v>Lago Paranoa</v>
      </c>
      <c r="C94" s="1">
        <f t="shared" si="3"/>
        <v>-2394</v>
      </c>
      <c r="D94" s="2">
        <v>0</v>
      </c>
      <c r="E94" s="2">
        <v>2302.4499999999998</v>
      </c>
      <c r="F94" s="2">
        <v>0.14399999999999999</v>
      </c>
      <c r="G94" s="2">
        <v>3.7227000000000001</v>
      </c>
      <c r="H94" s="2">
        <v>8.5504999999999995</v>
      </c>
      <c r="I94" s="2">
        <v>1.0535000000000001</v>
      </c>
      <c r="J94" s="2">
        <v>11.075799999999999</v>
      </c>
      <c r="K94" s="2">
        <v>2302.4499999999998</v>
      </c>
      <c r="L94" s="2">
        <v>0</v>
      </c>
    </row>
    <row r="95" spans="1:12" hidden="1" x14ac:dyDescent="0.35">
      <c r="A95" s="3" t="s">
        <v>106</v>
      </c>
      <c r="B95" s="1" t="str">
        <f t="shared" si="2"/>
        <v>Corumba IV</v>
      </c>
      <c r="C95" s="1">
        <f t="shared" si="3"/>
        <v>-2393</v>
      </c>
      <c r="D95" s="2">
        <v>0</v>
      </c>
      <c r="E95" s="2">
        <v>0</v>
      </c>
      <c r="F95" s="2">
        <v>0</v>
      </c>
      <c r="G95" s="2">
        <v>0.3629</v>
      </c>
      <c r="H95" s="2">
        <v>79.793899999999994</v>
      </c>
      <c r="I95" s="2">
        <v>4.0095999999999998</v>
      </c>
      <c r="J95" s="2">
        <v>76.147099999999995</v>
      </c>
      <c r="K95" s="2">
        <v>0</v>
      </c>
      <c r="L95" s="2">
        <v>0</v>
      </c>
    </row>
    <row r="96" spans="1:12" x14ac:dyDescent="0.35">
      <c r="A96" s="3" t="s">
        <v>107</v>
      </c>
      <c r="B96" s="1" t="str">
        <f t="shared" si="2"/>
        <v>Lago Paranoa</v>
      </c>
      <c r="C96" s="1">
        <f t="shared" si="3"/>
        <v>-2393</v>
      </c>
      <c r="D96" s="2">
        <v>0</v>
      </c>
      <c r="E96" s="2">
        <v>2302.4499999999998</v>
      </c>
      <c r="F96" s="2">
        <v>0.14419999999999999</v>
      </c>
      <c r="G96" s="2">
        <v>3.4470000000000001</v>
      </c>
      <c r="H96" s="2">
        <v>8.7870000000000008</v>
      </c>
      <c r="I96" s="2">
        <v>1.0535000000000001</v>
      </c>
      <c r="J96" s="2">
        <v>11.0364</v>
      </c>
      <c r="K96" s="2">
        <v>2302.4499999999998</v>
      </c>
      <c r="L96" s="2">
        <v>0</v>
      </c>
    </row>
    <row r="97" spans="1:12" hidden="1" x14ac:dyDescent="0.35">
      <c r="A97" s="3" t="s">
        <v>108</v>
      </c>
      <c r="B97" s="1" t="str">
        <f t="shared" si="2"/>
        <v>Corumba IV</v>
      </c>
      <c r="C97" s="1">
        <f t="shared" si="3"/>
        <v>-2392</v>
      </c>
      <c r="D97" s="2">
        <v>0</v>
      </c>
      <c r="E97" s="2">
        <v>0</v>
      </c>
      <c r="F97" s="2">
        <v>0</v>
      </c>
      <c r="G97" s="2">
        <v>0.3629</v>
      </c>
      <c r="H97" s="2">
        <v>73.209299999999999</v>
      </c>
      <c r="I97" s="2">
        <v>3.1857000000000002</v>
      </c>
      <c r="J97" s="2">
        <v>70.386499999999998</v>
      </c>
      <c r="K97" s="2">
        <v>0</v>
      </c>
      <c r="L97" s="2">
        <v>0</v>
      </c>
    </row>
    <row r="98" spans="1:12" x14ac:dyDescent="0.35">
      <c r="A98" s="3" t="s">
        <v>109</v>
      </c>
      <c r="B98" s="1" t="str">
        <f t="shared" si="2"/>
        <v>Lago Paranoa</v>
      </c>
      <c r="C98" s="1">
        <f t="shared" si="3"/>
        <v>-2392</v>
      </c>
      <c r="D98" s="2">
        <v>0</v>
      </c>
      <c r="E98" s="2">
        <v>2302.4499999999998</v>
      </c>
      <c r="F98" s="2">
        <v>0.1615</v>
      </c>
      <c r="G98" s="2">
        <v>3.9346000000000001</v>
      </c>
      <c r="H98" s="2">
        <v>12.0397</v>
      </c>
      <c r="I98" s="2">
        <v>0.63270000000000004</v>
      </c>
      <c r="J98" s="2">
        <v>15.180099999999999</v>
      </c>
      <c r="K98" s="2">
        <v>2302.4499999999998</v>
      </c>
      <c r="L98" s="2">
        <v>0</v>
      </c>
    </row>
    <row r="99" spans="1:12" hidden="1" x14ac:dyDescent="0.35">
      <c r="A99" s="3" t="s">
        <v>110</v>
      </c>
      <c r="B99" s="1" t="str">
        <f t="shared" si="2"/>
        <v>Corumba IV</v>
      </c>
      <c r="C99" s="1">
        <f t="shared" si="3"/>
        <v>-2391</v>
      </c>
      <c r="D99" s="2">
        <v>0</v>
      </c>
      <c r="E99" s="2">
        <v>0</v>
      </c>
      <c r="F99" s="2">
        <v>0</v>
      </c>
      <c r="G99" s="2">
        <v>0.3629</v>
      </c>
      <c r="H99" s="2">
        <v>64.429299999999998</v>
      </c>
      <c r="I99" s="2">
        <v>3.1857000000000002</v>
      </c>
      <c r="J99" s="2">
        <v>61.606499999999997</v>
      </c>
      <c r="K99" s="2">
        <v>0</v>
      </c>
      <c r="L99" s="2">
        <v>0</v>
      </c>
    </row>
    <row r="100" spans="1:12" x14ac:dyDescent="0.35">
      <c r="A100" s="3" t="s">
        <v>111</v>
      </c>
      <c r="B100" s="1" t="str">
        <f t="shared" si="2"/>
        <v>Lago Paranoa</v>
      </c>
      <c r="C100" s="1">
        <f t="shared" si="3"/>
        <v>-2391</v>
      </c>
      <c r="D100" s="2">
        <v>0</v>
      </c>
      <c r="E100" s="2">
        <v>2302.4499999999998</v>
      </c>
      <c r="F100" s="2">
        <v>0.15229999999999999</v>
      </c>
      <c r="G100" s="2">
        <v>4.0259999999999998</v>
      </c>
      <c r="H100" s="2">
        <v>10.190300000000001</v>
      </c>
      <c r="I100" s="2">
        <v>0.63270000000000004</v>
      </c>
      <c r="J100" s="2">
        <v>13.4312</v>
      </c>
      <c r="K100" s="2">
        <v>2302.4499999999998</v>
      </c>
      <c r="L100" s="2">
        <v>0</v>
      </c>
    </row>
    <row r="101" spans="1:12" hidden="1" x14ac:dyDescent="0.35">
      <c r="A101" s="3" t="s">
        <v>112</v>
      </c>
      <c r="B101" s="1" t="str">
        <f t="shared" si="2"/>
        <v>Corumba IV</v>
      </c>
      <c r="C101" s="1">
        <f t="shared" si="3"/>
        <v>-2390</v>
      </c>
      <c r="D101" s="2">
        <v>0</v>
      </c>
      <c r="E101" s="2">
        <v>0</v>
      </c>
      <c r="F101" s="2">
        <v>0</v>
      </c>
      <c r="G101" s="2">
        <v>0.3629</v>
      </c>
      <c r="H101" s="2">
        <v>47.418900000000001</v>
      </c>
      <c r="I101" s="2">
        <v>3.1857000000000002</v>
      </c>
      <c r="J101" s="2">
        <v>44.5961</v>
      </c>
      <c r="K101" s="2">
        <v>0</v>
      </c>
      <c r="L101" s="2">
        <v>0</v>
      </c>
    </row>
    <row r="102" spans="1:12" x14ac:dyDescent="0.35">
      <c r="A102" s="3" t="s">
        <v>113</v>
      </c>
      <c r="B102" s="1" t="str">
        <f t="shared" si="2"/>
        <v>Lago Paranoa</v>
      </c>
      <c r="C102" s="1">
        <f t="shared" si="3"/>
        <v>-2390</v>
      </c>
      <c r="D102" s="2">
        <v>0</v>
      </c>
      <c r="E102" s="2">
        <v>2302.4499999999998</v>
      </c>
      <c r="F102" s="2">
        <v>0.1525</v>
      </c>
      <c r="G102" s="2">
        <v>3.4546000000000001</v>
      </c>
      <c r="H102" s="2">
        <v>9.2568999999999999</v>
      </c>
      <c r="I102" s="2">
        <v>0.63270000000000004</v>
      </c>
      <c r="J102" s="2">
        <v>11.926299999999999</v>
      </c>
      <c r="K102" s="2">
        <v>2302.4499999999998</v>
      </c>
      <c r="L102" s="2">
        <v>0</v>
      </c>
    </row>
    <row r="103" spans="1:12" hidden="1" x14ac:dyDescent="0.35">
      <c r="A103" s="3" t="s">
        <v>114</v>
      </c>
      <c r="B103" s="1" t="str">
        <f t="shared" si="2"/>
        <v>Corumba IV</v>
      </c>
      <c r="C103" s="1">
        <f t="shared" si="3"/>
        <v>-2389</v>
      </c>
      <c r="D103" s="2">
        <v>0</v>
      </c>
      <c r="E103" s="2">
        <v>0</v>
      </c>
      <c r="F103" s="2">
        <v>0</v>
      </c>
      <c r="G103" s="2">
        <v>0.3629</v>
      </c>
      <c r="H103" s="2">
        <v>79.233099999999993</v>
      </c>
      <c r="I103" s="2">
        <v>3.3329</v>
      </c>
      <c r="J103" s="2">
        <v>76.263099999999994</v>
      </c>
      <c r="K103" s="2">
        <v>0</v>
      </c>
      <c r="L103" s="2">
        <v>0</v>
      </c>
    </row>
    <row r="104" spans="1:12" x14ac:dyDescent="0.35">
      <c r="A104" s="3" t="s">
        <v>115</v>
      </c>
      <c r="B104" s="1" t="str">
        <f t="shared" si="2"/>
        <v>Lago Paranoa</v>
      </c>
      <c r="C104" s="1">
        <f t="shared" si="3"/>
        <v>-2389</v>
      </c>
      <c r="D104" s="2">
        <v>0</v>
      </c>
      <c r="E104" s="2">
        <v>2302.4499999999998</v>
      </c>
      <c r="F104" s="2">
        <v>0.1527</v>
      </c>
      <c r="G104" s="2">
        <v>3.9619</v>
      </c>
      <c r="H104" s="2">
        <v>11.2126</v>
      </c>
      <c r="I104" s="2">
        <v>0.60019999999999996</v>
      </c>
      <c r="J104" s="2">
        <v>14.4216</v>
      </c>
      <c r="K104" s="2">
        <v>2302.4499999999998</v>
      </c>
      <c r="L104" s="2">
        <v>0</v>
      </c>
    </row>
    <row r="105" spans="1:12" hidden="1" x14ac:dyDescent="0.35">
      <c r="A105" s="3" t="s">
        <v>116</v>
      </c>
      <c r="B105" s="1" t="str">
        <f t="shared" si="2"/>
        <v>Corumba IV</v>
      </c>
      <c r="C105" s="1">
        <f t="shared" si="3"/>
        <v>-2388</v>
      </c>
      <c r="D105" s="2">
        <v>0</v>
      </c>
      <c r="E105" s="2">
        <v>0</v>
      </c>
      <c r="F105" s="2">
        <v>0</v>
      </c>
      <c r="G105" s="2">
        <v>0.3629</v>
      </c>
      <c r="H105" s="2">
        <v>65.626000000000005</v>
      </c>
      <c r="I105" s="2">
        <v>3.3866999999999998</v>
      </c>
      <c r="J105" s="2">
        <v>62.602200000000003</v>
      </c>
      <c r="K105" s="2">
        <v>0</v>
      </c>
      <c r="L105" s="2">
        <v>0</v>
      </c>
    </row>
    <row r="106" spans="1:12" x14ac:dyDescent="0.35">
      <c r="A106" s="3" t="s">
        <v>117</v>
      </c>
      <c r="B106" s="1" t="str">
        <f t="shared" si="2"/>
        <v>Lago Paranoa</v>
      </c>
      <c r="C106" s="1">
        <f t="shared" si="3"/>
        <v>-2388</v>
      </c>
      <c r="D106" s="2">
        <v>0</v>
      </c>
      <c r="E106" s="2">
        <v>2302.4499999999998</v>
      </c>
      <c r="F106" s="2">
        <v>0.21629999999999999</v>
      </c>
      <c r="G106" s="2">
        <v>3.3597000000000001</v>
      </c>
      <c r="H106" s="2">
        <v>8.9944000000000006</v>
      </c>
      <c r="I106" s="2">
        <v>0.80279999999999996</v>
      </c>
      <c r="J106" s="2">
        <v>11.335000000000001</v>
      </c>
      <c r="K106" s="2">
        <v>2302.4499999999998</v>
      </c>
      <c r="L106" s="2">
        <v>0</v>
      </c>
    </row>
    <row r="107" spans="1:12" hidden="1" x14ac:dyDescent="0.35">
      <c r="A107" s="3" t="s">
        <v>118</v>
      </c>
      <c r="B107" s="1" t="str">
        <f t="shared" si="2"/>
        <v>Corumba IV</v>
      </c>
      <c r="C107" s="1">
        <f t="shared" si="3"/>
        <v>-2387</v>
      </c>
      <c r="D107" s="2">
        <v>0</v>
      </c>
      <c r="E107" s="2">
        <v>0</v>
      </c>
      <c r="F107" s="2">
        <v>0</v>
      </c>
      <c r="G107" s="2">
        <v>0.3629</v>
      </c>
      <c r="H107" s="2">
        <v>72.961299999999994</v>
      </c>
      <c r="I107" s="2">
        <v>3.6217000000000001</v>
      </c>
      <c r="J107" s="2">
        <v>69.702600000000004</v>
      </c>
      <c r="K107" s="2">
        <v>0</v>
      </c>
      <c r="L107" s="2">
        <v>0</v>
      </c>
    </row>
    <row r="108" spans="1:12" x14ac:dyDescent="0.35">
      <c r="A108" s="3" t="s">
        <v>119</v>
      </c>
      <c r="B108" s="1" t="str">
        <f t="shared" si="2"/>
        <v>Lago Paranoa</v>
      </c>
      <c r="C108" s="1">
        <f t="shared" si="3"/>
        <v>-2387</v>
      </c>
      <c r="D108" s="2">
        <v>0</v>
      </c>
      <c r="E108" s="2">
        <v>2302.4499999999998</v>
      </c>
      <c r="F108" s="2">
        <v>0.2165</v>
      </c>
      <c r="G108" s="2">
        <v>4.1657999999999999</v>
      </c>
      <c r="H108" s="2">
        <v>10.0702</v>
      </c>
      <c r="I108" s="2">
        <v>0.8367</v>
      </c>
      <c r="J108" s="2">
        <v>13.182700000000001</v>
      </c>
      <c r="K108" s="2">
        <v>2302.4499999999998</v>
      </c>
      <c r="L108" s="2">
        <v>0</v>
      </c>
    </row>
    <row r="109" spans="1:12" hidden="1" x14ac:dyDescent="0.35">
      <c r="A109" s="3" t="s">
        <v>120</v>
      </c>
      <c r="B109" s="1" t="str">
        <f t="shared" si="2"/>
        <v>Corumba IV</v>
      </c>
      <c r="C109" s="1">
        <f t="shared" si="3"/>
        <v>-2386</v>
      </c>
      <c r="D109" s="2">
        <v>0</v>
      </c>
      <c r="E109" s="2">
        <v>0</v>
      </c>
      <c r="F109" s="2">
        <v>0</v>
      </c>
      <c r="G109" s="2">
        <v>0.3629</v>
      </c>
      <c r="H109" s="2">
        <v>88.383700000000005</v>
      </c>
      <c r="I109" s="2">
        <v>3.6217000000000001</v>
      </c>
      <c r="J109" s="2">
        <v>85.125</v>
      </c>
      <c r="K109" s="2">
        <v>0</v>
      </c>
      <c r="L109" s="2">
        <v>0</v>
      </c>
    </row>
    <row r="110" spans="1:12" x14ac:dyDescent="0.35">
      <c r="A110" s="3" t="s">
        <v>121</v>
      </c>
      <c r="B110" s="1" t="str">
        <f t="shared" si="2"/>
        <v>Lago Paranoa</v>
      </c>
      <c r="C110" s="1">
        <f t="shared" si="3"/>
        <v>-2386</v>
      </c>
      <c r="D110" s="2">
        <v>0</v>
      </c>
      <c r="E110" s="2">
        <v>2302.4499999999998</v>
      </c>
      <c r="F110" s="2">
        <v>0.2167</v>
      </c>
      <c r="G110" s="2">
        <v>3.8831000000000002</v>
      </c>
      <c r="H110" s="2">
        <v>9.2050999999999998</v>
      </c>
      <c r="I110" s="2">
        <v>0.8367</v>
      </c>
      <c r="J110" s="2">
        <v>12.034700000000001</v>
      </c>
      <c r="K110" s="2">
        <v>2302.4499999999998</v>
      </c>
      <c r="L110" s="2">
        <v>0</v>
      </c>
    </row>
    <row r="111" spans="1:12" hidden="1" x14ac:dyDescent="0.35">
      <c r="A111" s="3" t="s">
        <v>122</v>
      </c>
      <c r="B111" s="1" t="str">
        <f t="shared" si="2"/>
        <v>Corumba IV</v>
      </c>
      <c r="C111" s="1">
        <f t="shared" si="3"/>
        <v>-2385</v>
      </c>
      <c r="D111" s="2">
        <v>0</v>
      </c>
      <c r="E111" s="2">
        <v>0</v>
      </c>
      <c r="F111" s="2">
        <v>0</v>
      </c>
      <c r="G111" s="2">
        <v>0.3629</v>
      </c>
      <c r="H111" s="2">
        <v>71.964299999999994</v>
      </c>
      <c r="I111" s="2">
        <v>3.6217000000000001</v>
      </c>
      <c r="J111" s="2">
        <v>68.705500000000001</v>
      </c>
      <c r="K111" s="2">
        <v>0</v>
      </c>
      <c r="L111" s="2">
        <v>0</v>
      </c>
    </row>
    <row r="112" spans="1:12" x14ac:dyDescent="0.35">
      <c r="A112" s="3" t="s">
        <v>123</v>
      </c>
      <c r="B112" s="1" t="str">
        <f t="shared" si="2"/>
        <v>Lago Paranoa</v>
      </c>
      <c r="C112" s="1">
        <f t="shared" si="3"/>
        <v>-2385</v>
      </c>
      <c r="D112" s="2">
        <v>0</v>
      </c>
      <c r="E112" s="2">
        <v>2302.4499999999998</v>
      </c>
      <c r="F112" s="2">
        <v>0.21690000000000001</v>
      </c>
      <c r="G112" s="2">
        <v>4.0308000000000002</v>
      </c>
      <c r="H112" s="2">
        <v>9.3213000000000008</v>
      </c>
      <c r="I112" s="2">
        <v>0.8367</v>
      </c>
      <c r="J112" s="2">
        <v>12.298400000000001</v>
      </c>
      <c r="K112" s="2">
        <v>2302.4499999999998</v>
      </c>
      <c r="L112" s="2">
        <v>0</v>
      </c>
    </row>
    <row r="113" spans="1:12" hidden="1" x14ac:dyDescent="0.35">
      <c r="A113" s="3" t="s">
        <v>124</v>
      </c>
      <c r="B113" s="1" t="str">
        <f t="shared" si="2"/>
        <v>Corumba IV</v>
      </c>
      <c r="C113" s="1">
        <f t="shared" si="3"/>
        <v>-2384</v>
      </c>
      <c r="D113" s="2">
        <v>0</v>
      </c>
      <c r="E113" s="2">
        <v>0</v>
      </c>
      <c r="F113" s="2">
        <v>0</v>
      </c>
      <c r="G113" s="2">
        <v>0.3629</v>
      </c>
      <c r="H113" s="2">
        <v>69.116500000000002</v>
      </c>
      <c r="I113" s="2">
        <v>3.7736999999999998</v>
      </c>
      <c r="J113" s="2">
        <v>65.705699999999993</v>
      </c>
      <c r="K113" s="2">
        <v>0</v>
      </c>
      <c r="L113" s="2">
        <v>0</v>
      </c>
    </row>
    <row r="114" spans="1:12" x14ac:dyDescent="0.35">
      <c r="A114" s="3" t="s">
        <v>125</v>
      </c>
      <c r="B114" s="1" t="str">
        <f t="shared" si="2"/>
        <v>Lago Paranoa</v>
      </c>
      <c r="C114" s="1">
        <f t="shared" si="3"/>
        <v>-2384</v>
      </c>
      <c r="D114" s="2">
        <v>0</v>
      </c>
      <c r="E114" s="2">
        <v>2302.4499999999998</v>
      </c>
      <c r="F114" s="2">
        <v>0.1318</v>
      </c>
      <c r="G114" s="2">
        <v>3.7305000000000001</v>
      </c>
      <c r="H114" s="2">
        <v>8.5905000000000005</v>
      </c>
      <c r="I114" s="2">
        <v>1.0141</v>
      </c>
      <c r="J114" s="2">
        <v>11.175000000000001</v>
      </c>
      <c r="K114" s="2">
        <v>2302.4499999999998</v>
      </c>
      <c r="L114" s="2">
        <v>0</v>
      </c>
    </row>
    <row r="115" spans="1:12" hidden="1" x14ac:dyDescent="0.35">
      <c r="A115" s="3" t="s">
        <v>126</v>
      </c>
      <c r="B115" s="1" t="str">
        <f t="shared" si="2"/>
        <v>Corumba IV</v>
      </c>
      <c r="C115" s="1">
        <f t="shared" si="3"/>
        <v>-2383</v>
      </c>
      <c r="D115" s="2">
        <v>0</v>
      </c>
      <c r="E115" s="2">
        <v>0</v>
      </c>
      <c r="F115" s="2">
        <v>0</v>
      </c>
      <c r="G115" s="2">
        <v>0.3629</v>
      </c>
      <c r="H115" s="2">
        <v>50.090400000000002</v>
      </c>
      <c r="I115" s="2">
        <v>3.8344999999999998</v>
      </c>
      <c r="J115" s="2">
        <v>46.6188</v>
      </c>
      <c r="K115" s="2">
        <v>0</v>
      </c>
      <c r="L115" s="2">
        <v>0</v>
      </c>
    </row>
    <row r="116" spans="1:12" x14ac:dyDescent="0.35">
      <c r="A116" s="3" t="s">
        <v>127</v>
      </c>
      <c r="B116" s="1" t="str">
        <f t="shared" si="2"/>
        <v>Lago Paranoa</v>
      </c>
      <c r="C116" s="1">
        <f t="shared" si="3"/>
        <v>-2383</v>
      </c>
      <c r="D116" s="2">
        <v>0</v>
      </c>
      <c r="E116" s="2">
        <v>2302.4499999999998</v>
      </c>
      <c r="F116" s="2">
        <v>0.13200000000000001</v>
      </c>
      <c r="G116" s="2">
        <v>2.8323</v>
      </c>
      <c r="H116" s="2">
        <v>6.8421000000000003</v>
      </c>
      <c r="I116" s="2">
        <v>1.085</v>
      </c>
      <c r="J116" s="2">
        <v>8.4573999999999998</v>
      </c>
      <c r="K116" s="2">
        <v>2302.4499999999998</v>
      </c>
      <c r="L116" s="2">
        <v>0</v>
      </c>
    </row>
    <row r="117" spans="1:12" hidden="1" x14ac:dyDescent="0.35">
      <c r="A117" s="3" t="s">
        <v>128</v>
      </c>
      <c r="B117" s="1" t="str">
        <f t="shared" si="2"/>
        <v>Corumba IV</v>
      </c>
      <c r="C117" s="1">
        <f t="shared" si="3"/>
        <v>-2382</v>
      </c>
      <c r="D117" s="2">
        <v>0</v>
      </c>
      <c r="E117" s="2">
        <v>0</v>
      </c>
      <c r="F117" s="2">
        <v>0</v>
      </c>
      <c r="G117" s="2">
        <v>0.3629</v>
      </c>
      <c r="H117" s="2">
        <v>45.351399999999998</v>
      </c>
      <c r="I117" s="2">
        <v>3.8344999999999998</v>
      </c>
      <c r="J117" s="2">
        <v>41.8797</v>
      </c>
      <c r="K117" s="2">
        <v>0</v>
      </c>
      <c r="L117" s="2">
        <v>0</v>
      </c>
    </row>
    <row r="118" spans="1:12" x14ac:dyDescent="0.35">
      <c r="A118" s="3" t="s">
        <v>129</v>
      </c>
      <c r="B118" s="1" t="str">
        <f t="shared" si="2"/>
        <v>Lago Paranoa</v>
      </c>
      <c r="C118" s="1">
        <f t="shared" si="3"/>
        <v>-2382</v>
      </c>
      <c r="D118" s="2">
        <v>0</v>
      </c>
      <c r="E118" s="2">
        <v>2302.4499999999998</v>
      </c>
      <c r="F118" s="2">
        <v>0.13220000000000001</v>
      </c>
      <c r="G118" s="2">
        <v>2.8334000000000001</v>
      </c>
      <c r="H118" s="2">
        <v>6.5914000000000001</v>
      </c>
      <c r="I118" s="2">
        <v>1.085</v>
      </c>
      <c r="J118" s="2">
        <v>8.2074999999999996</v>
      </c>
      <c r="K118" s="2">
        <v>2302.4499999999998</v>
      </c>
      <c r="L118" s="2">
        <v>0</v>
      </c>
    </row>
    <row r="119" spans="1:12" hidden="1" x14ac:dyDescent="0.35">
      <c r="A119" s="3" t="s">
        <v>130</v>
      </c>
      <c r="B119" s="1" t="str">
        <f t="shared" si="2"/>
        <v>Corumba IV</v>
      </c>
      <c r="C119" s="1">
        <f t="shared" si="3"/>
        <v>-2381</v>
      </c>
      <c r="D119" s="2">
        <v>0</v>
      </c>
      <c r="E119" s="2">
        <v>0</v>
      </c>
      <c r="F119" s="2">
        <v>0</v>
      </c>
      <c r="G119" s="2">
        <v>0.3629</v>
      </c>
      <c r="H119" s="2">
        <v>50.783299999999997</v>
      </c>
      <c r="I119" s="2">
        <v>3.8344999999999998</v>
      </c>
      <c r="J119" s="2">
        <v>47.311700000000002</v>
      </c>
      <c r="K119" s="2">
        <v>0</v>
      </c>
      <c r="L119" s="2">
        <v>0</v>
      </c>
    </row>
    <row r="120" spans="1:12" x14ac:dyDescent="0.35">
      <c r="A120" s="3" t="s">
        <v>131</v>
      </c>
      <c r="B120" s="1" t="str">
        <f t="shared" si="2"/>
        <v>Lago Paranoa</v>
      </c>
      <c r="C120" s="1">
        <f t="shared" si="3"/>
        <v>-2381</v>
      </c>
      <c r="D120" s="2">
        <v>0</v>
      </c>
      <c r="E120" s="2">
        <v>2302.4499999999998</v>
      </c>
      <c r="F120" s="2">
        <v>0.13239999999999999</v>
      </c>
      <c r="G120" s="2">
        <v>3.0785</v>
      </c>
      <c r="H120" s="2">
        <v>7.1344000000000003</v>
      </c>
      <c r="I120" s="2">
        <v>1.085</v>
      </c>
      <c r="J120" s="2">
        <v>8.9954999999999998</v>
      </c>
      <c r="K120" s="2">
        <v>2302.4499999999998</v>
      </c>
      <c r="L120" s="2">
        <v>0</v>
      </c>
    </row>
    <row r="121" spans="1:12" hidden="1" x14ac:dyDescent="0.35">
      <c r="A121" s="3" t="s">
        <v>132</v>
      </c>
      <c r="B121" s="1" t="str">
        <f t="shared" si="2"/>
        <v>Corumba IV</v>
      </c>
      <c r="C121" s="1">
        <f t="shared" si="3"/>
        <v>-2380</v>
      </c>
      <c r="D121" s="2">
        <v>0</v>
      </c>
      <c r="E121" s="2">
        <v>0</v>
      </c>
      <c r="F121" s="2">
        <v>0</v>
      </c>
      <c r="G121" s="2">
        <v>0.3629</v>
      </c>
      <c r="H121" s="2">
        <v>90.020200000000003</v>
      </c>
      <c r="I121" s="2">
        <v>3.9777</v>
      </c>
      <c r="J121" s="2">
        <v>86.405299999999997</v>
      </c>
      <c r="K121" s="2">
        <v>0</v>
      </c>
      <c r="L121" s="2">
        <v>0</v>
      </c>
    </row>
    <row r="122" spans="1:12" x14ac:dyDescent="0.35">
      <c r="A122" s="3" t="s">
        <v>133</v>
      </c>
      <c r="B122" s="1" t="str">
        <f t="shared" si="2"/>
        <v>Lago Paranoa</v>
      </c>
      <c r="C122" s="1">
        <f t="shared" si="3"/>
        <v>-2380</v>
      </c>
      <c r="D122" s="2">
        <v>0</v>
      </c>
      <c r="E122" s="2">
        <v>2302.4499999999998</v>
      </c>
      <c r="F122" s="2">
        <v>0.13250000000000001</v>
      </c>
      <c r="G122" s="2">
        <v>5.66</v>
      </c>
      <c r="H122" s="2">
        <v>9.3644999999999996</v>
      </c>
      <c r="I122" s="2">
        <v>1.1704000000000001</v>
      </c>
      <c r="J122" s="2">
        <v>13.721500000000001</v>
      </c>
      <c r="K122" s="2">
        <v>2302.4499999999998</v>
      </c>
      <c r="L122" s="2">
        <v>0</v>
      </c>
    </row>
    <row r="123" spans="1:12" hidden="1" x14ac:dyDescent="0.35">
      <c r="A123" s="3" t="s">
        <v>134</v>
      </c>
      <c r="B123" s="1" t="str">
        <f t="shared" si="2"/>
        <v>Corumba IV</v>
      </c>
      <c r="C123" s="1">
        <f t="shared" si="3"/>
        <v>-2379</v>
      </c>
      <c r="D123" s="2">
        <v>0</v>
      </c>
      <c r="E123" s="2">
        <v>0</v>
      </c>
      <c r="F123" s="2">
        <v>0</v>
      </c>
      <c r="G123" s="2">
        <v>0.3629</v>
      </c>
      <c r="H123" s="2">
        <v>158.01439999999999</v>
      </c>
      <c r="I123" s="2">
        <v>4.1687000000000003</v>
      </c>
      <c r="J123" s="2">
        <v>154.20849999999999</v>
      </c>
      <c r="K123" s="2">
        <v>0</v>
      </c>
      <c r="L123" s="2">
        <v>0</v>
      </c>
    </row>
    <row r="124" spans="1:12" x14ac:dyDescent="0.35">
      <c r="A124" s="3" t="s">
        <v>135</v>
      </c>
      <c r="B124" s="1" t="str">
        <f t="shared" si="2"/>
        <v>Lago Paranoa</v>
      </c>
      <c r="C124" s="1">
        <f t="shared" si="3"/>
        <v>-2379</v>
      </c>
      <c r="D124" s="2">
        <v>0</v>
      </c>
      <c r="E124" s="2">
        <v>2302.4499999999998</v>
      </c>
      <c r="F124" s="2">
        <v>0.15359999999999999</v>
      </c>
      <c r="G124" s="2">
        <v>4.1059000000000001</v>
      </c>
      <c r="H124" s="2">
        <v>11.902100000000001</v>
      </c>
      <c r="I124" s="2">
        <v>1.2841</v>
      </c>
      <c r="J124" s="2">
        <v>14.5703</v>
      </c>
      <c r="K124" s="2">
        <v>2302.4499999999998</v>
      </c>
      <c r="L124" s="2">
        <v>0</v>
      </c>
    </row>
    <row r="125" spans="1:12" hidden="1" x14ac:dyDescent="0.35">
      <c r="A125" s="3" t="s">
        <v>136</v>
      </c>
      <c r="B125" s="1" t="str">
        <f t="shared" si="2"/>
        <v>Corumba IV</v>
      </c>
      <c r="C125" s="1">
        <f t="shared" si="3"/>
        <v>-2378</v>
      </c>
      <c r="D125" s="2">
        <v>0</v>
      </c>
      <c r="E125" s="2">
        <v>0</v>
      </c>
      <c r="F125" s="2">
        <v>0</v>
      </c>
      <c r="G125" s="2">
        <v>0.3629</v>
      </c>
      <c r="H125" s="2">
        <v>88.477099999999993</v>
      </c>
      <c r="I125" s="2">
        <v>4.1687000000000003</v>
      </c>
      <c r="J125" s="2">
        <v>84.671199999999999</v>
      </c>
      <c r="K125" s="2">
        <v>0</v>
      </c>
      <c r="L125" s="2">
        <v>0</v>
      </c>
    </row>
    <row r="126" spans="1:12" x14ac:dyDescent="0.35">
      <c r="A126" s="3" t="s">
        <v>137</v>
      </c>
      <c r="B126" s="1" t="str">
        <f t="shared" si="2"/>
        <v>Lago Paranoa</v>
      </c>
      <c r="C126" s="1">
        <f t="shared" si="3"/>
        <v>-2378</v>
      </c>
      <c r="D126" s="2">
        <v>0</v>
      </c>
      <c r="E126" s="2">
        <v>2302.4499999999998</v>
      </c>
      <c r="F126" s="2">
        <v>0.15379999999999999</v>
      </c>
      <c r="G126" s="2">
        <v>5.9020000000000001</v>
      </c>
      <c r="H126" s="2">
        <v>11.2036</v>
      </c>
      <c r="I126" s="2">
        <v>1.2841</v>
      </c>
      <c r="J126" s="2">
        <v>15.6677</v>
      </c>
      <c r="K126" s="2">
        <v>2302.4499999999998</v>
      </c>
      <c r="L126" s="2">
        <v>0</v>
      </c>
    </row>
    <row r="127" spans="1:12" hidden="1" x14ac:dyDescent="0.35">
      <c r="A127" s="3" t="s">
        <v>138</v>
      </c>
      <c r="B127" s="1" t="str">
        <f t="shared" si="2"/>
        <v>Corumba IV</v>
      </c>
      <c r="C127" s="1">
        <f t="shared" si="3"/>
        <v>-2377</v>
      </c>
      <c r="D127" s="2">
        <v>0</v>
      </c>
      <c r="E127" s="2">
        <v>0</v>
      </c>
      <c r="F127" s="2">
        <v>0</v>
      </c>
      <c r="G127" s="2">
        <v>0.3629</v>
      </c>
      <c r="H127" s="2">
        <v>173.37540000000001</v>
      </c>
      <c r="I127" s="2">
        <v>4.1687000000000003</v>
      </c>
      <c r="J127" s="2">
        <v>169.56960000000001</v>
      </c>
      <c r="K127" s="2">
        <v>0</v>
      </c>
      <c r="L127" s="2">
        <v>0</v>
      </c>
    </row>
    <row r="128" spans="1:12" x14ac:dyDescent="0.35">
      <c r="A128" s="3" t="s">
        <v>139</v>
      </c>
      <c r="B128" s="1" t="str">
        <f t="shared" si="2"/>
        <v>Lago Paranoa</v>
      </c>
      <c r="C128" s="1">
        <f t="shared" si="3"/>
        <v>-2377</v>
      </c>
      <c r="D128" s="2">
        <v>0</v>
      </c>
      <c r="E128" s="2">
        <v>2302.4499999999998</v>
      </c>
      <c r="F128" s="2">
        <v>0.154</v>
      </c>
      <c r="G128" s="2">
        <v>6.4927999999999999</v>
      </c>
      <c r="H128" s="2">
        <v>16.319400000000002</v>
      </c>
      <c r="I128" s="2">
        <v>1.2841</v>
      </c>
      <c r="J128" s="2">
        <v>21.374099999999999</v>
      </c>
      <c r="K128" s="2">
        <v>2302.4499999999998</v>
      </c>
      <c r="L128" s="2">
        <v>0</v>
      </c>
    </row>
    <row r="129" spans="1:12" hidden="1" x14ac:dyDescent="0.35">
      <c r="A129" s="3" t="s">
        <v>140</v>
      </c>
      <c r="B129" s="1" t="str">
        <f t="shared" si="2"/>
        <v>Corumba IV</v>
      </c>
      <c r="C129" s="1">
        <f t="shared" si="3"/>
        <v>-2376</v>
      </c>
      <c r="D129" s="2">
        <v>0</v>
      </c>
      <c r="E129" s="2">
        <v>0</v>
      </c>
      <c r="F129" s="2">
        <v>0</v>
      </c>
      <c r="G129" s="2">
        <v>0.3629</v>
      </c>
      <c r="H129" s="2">
        <v>90.522999999999996</v>
      </c>
      <c r="I129" s="2">
        <v>4.8315999999999999</v>
      </c>
      <c r="J129" s="2">
        <v>86.054299999999998</v>
      </c>
      <c r="K129" s="2">
        <v>0</v>
      </c>
      <c r="L129" s="2">
        <v>0</v>
      </c>
    </row>
    <row r="130" spans="1:12" x14ac:dyDescent="0.35">
      <c r="A130" s="3" t="s">
        <v>141</v>
      </c>
      <c r="B130" s="1" t="str">
        <f t="shared" si="2"/>
        <v>Lago Paranoa</v>
      </c>
      <c r="C130" s="1">
        <f t="shared" si="3"/>
        <v>-2376</v>
      </c>
      <c r="D130" s="2">
        <v>0</v>
      </c>
      <c r="E130" s="2">
        <v>2302.4499999999998</v>
      </c>
      <c r="F130" s="2">
        <v>0.15409999999999999</v>
      </c>
      <c r="G130" s="2">
        <v>4.0191999999999997</v>
      </c>
      <c r="H130" s="2">
        <v>9.82</v>
      </c>
      <c r="I130" s="2">
        <v>1.379</v>
      </c>
      <c r="J130" s="2">
        <v>12.306100000000001</v>
      </c>
      <c r="K130" s="2">
        <v>2302.4499999999998</v>
      </c>
      <c r="L130" s="2">
        <v>0</v>
      </c>
    </row>
    <row r="131" spans="1:12" hidden="1" x14ac:dyDescent="0.35">
      <c r="A131" s="3" t="s">
        <v>142</v>
      </c>
      <c r="B131" s="1" t="str">
        <f t="shared" ref="B131:B194" si="4">_xlfn.TEXTBEFORE(_xlfn.TEXTAFTER(A131,"["),"]")</f>
        <v>Corumba IV</v>
      </c>
      <c r="C131" s="1">
        <f t="shared" ref="C131:C194" si="5">--_xlfn.TEXTBEFORE(_xlfn.TEXTAFTER(A131,"Week "),":")</f>
        <v>-2375</v>
      </c>
      <c r="D131" s="2">
        <v>0</v>
      </c>
      <c r="E131" s="2">
        <v>0</v>
      </c>
      <c r="F131" s="2">
        <v>0</v>
      </c>
      <c r="G131" s="2">
        <v>0.3629</v>
      </c>
      <c r="H131" s="2">
        <v>70.093699999999998</v>
      </c>
      <c r="I131" s="2">
        <v>4.5060000000000002</v>
      </c>
      <c r="J131" s="2">
        <v>65.950599999999994</v>
      </c>
      <c r="K131" s="2">
        <v>0</v>
      </c>
      <c r="L131" s="2">
        <v>0</v>
      </c>
    </row>
    <row r="132" spans="1:12" x14ac:dyDescent="0.35">
      <c r="A132" s="3" t="s">
        <v>143</v>
      </c>
      <c r="B132" s="1" t="str">
        <f t="shared" si="4"/>
        <v>Lago Paranoa</v>
      </c>
      <c r="C132" s="1">
        <f t="shared" si="5"/>
        <v>-2375</v>
      </c>
      <c r="D132" s="2">
        <v>0</v>
      </c>
      <c r="E132" s="2">
        <v>2302.4499999999998</v>
      </c>
      <c r="F132" s="2">
        <v>0.1462</v>
      </c>
      <c r="G132" s="2">
        <v>3.6747000000000001</v>
      </c>
      <c r="H132" s="2">
        <v>8.6028000000000002</v>
      </c>
      <c r="I132" s="2">
        <v>1.1509</v>
      </c>
      <c r="J132" s="2">
        <v>10.980399999999999</v>
      </c>
      <c r="K132" s="2">
        <v>2302.4499999999998</v>
      </c>
      <c r="L132" s="2">
        <v>0</v>
      </c>
    </row>
    <row r="133" spans="1:12" hidden="1" x14ac:dyDescent="0.35">
      <c r="A133" s="3" t="s">
        <v>144</v>
      </c>
      <c r="B133" s="1" t="str">
        <f t="shared" si="4"/>
        <v>Corumba IV</v>
      </c>
      <c r="C133" s="1">
        <f t="shared" si="5"/>
        <v>-2374</v>
      </c>
      <c r="D133" s="2">
        <v>0</v>
      </c>
      <c r="E133" s="2">
        <v>0</v>
      </c>
      <c r="F133" s="2">
        <v>0</v>
      </c>
      <c r="G133" s="2">
        <v>0.3629</v>
      </c>
      <c r="H133" s="2">
        <v>60.152500000000003</v>
      </c>
      <c r="I133" s="2">
        <v>5.1063999999999998</v>
      </c>
      <c r="J133" s="2">
        <v>55.409100000000002</v>
      </c>
      <c r="K133" s="2">
        <v>0</v>
      </c>
      <c r="L133" s="2">
        <v>0</v>
      </c>
    </row>
    <row r="134" spans="1:12" x14ac:dyDescent="0.35">
      <c r="A134" s="3" t="s">
        <v>145</v>
      </c>
      <c r="B134" s="1" t="str">
        <f t="shared" si="4"/>
        <v>Lago Paranoa</v>
      </c>
      <c r="C134" s="1">
        <f t="shared" si="5"/>
        <v>-2374</v>
      </c>
      <c r="D134" s="2">
        <v>0</v>
      </c>
      <c r="E134" s="2">
        <v>2302.4499999999998</v>
      </c>
      <c r="F134" s="2">
        <v>0.1464</v>
      </c>
      <c r="G134" s="2">
        <v>3.3713000000000002</v>
      </c>
      <c r="H134" s="2">
        <v>7.7614000000000001</v>
      </c>
      <c r="I134" s="2">
        <v>1.3219000000000001</v>
      </c>
      <c r="J134" s="2">
        <v>9.6645000000000003</v>
      </c>
      <c r="K134" s="2">
        <v>2302.4499999999998</v>
      </c>
      <c r="L134" s="2">
        <v>0</v>
      </c>
    </row>
    <row r="135" spans="1:12" hidden="1" x14ac:dyDescent="0.35">
      <c r="A135" s="3" t="s">
        <v>146</v>
      </c>
      <c r="B135" s="1" t="str">
        <f t="shared" si="4"/>
        <v>Corumba IV</v>
      </c>
      <c r="C135" s="1">
        <f t="shared" si="5"/>
        <v>-2373</v>
      </c>
      <c r="D135" s="2">
        <v>0</v>
      </c>
      <c r="E135" s="2">
        <v>0</v>
      </c>
      <c r="F135" s="2">
        <v>0</v>
      </c>
      <c r="G135" s="2">
        <v>0.3629</v>
      </c>
      <c r="H135" s="2">
        <v>55.2943</v>
      </c>
      <c r="I135" s="2">
        <v>5.1063999999999998</v>
      </c>
      <c r="J135" s="2">
        <v>50.550800000000002</v>
      </c>
      <c r="K135" s="2">
        <v>0</v>
      </c>
      <c r="L135" s="2">
        <v>0</v>
      </c>
    </row>
    <row r="136" spans="1:12" x14ac:dyDescent="0.35">
      <c r="A136" s="3" t="s">
        <v>147</v>
      </c>
      <c r="B136" s="1" t="str">
        <f t="shared" si="4"/>
        <v>Lago Paranoa</v>
      </c>
      <c r="C136" s="1">
        <f t="shared" si="5"/>
        <v>-2373</v>
      </c>
      <c r="D136" s="2">
        <v>0</v>
      </c>
      <c r="E136" s="2">
        <v>2302.4499999999998</v>
      </c>
      <c r="F136" s="2">
        <v>0.14649999999999999</v>
      </c>
      <c r="G136" s="2">
        <v>3.6850000000000001</v>
      </c>
      <c r="H136" s="2">
        <v>7.4405999999999999</v>
      </c>
      <c r="I136" s="2">
        <v>1.3219000000000001</v>
      </c>
      <c r="J136" s="2">
        <v>9.6571999999999996</v>
      </c>
      <c r="K136" s="2">
        <v>2302.4499999999998</v>
      </c>
      <c r="L136" s="2">
        <v>0</v>
      </c>
    </row>
    <row r="137" spans="1:12" hidden="1" x14ac:dyDescent="0.35">
      <c r="A137" s="3" t="s">
        <v>148</v>
      </c>
      <c r="B137" s="1" t="str">
        <f t="shared" si="4"/>
        <v>Corumba IV</v>
      </c>
      <c r="C137" s="1">
        <f t="shared" si="5"/>
        <v>-2372</v>
      </c>
      <c r="D137" s="2">
        <v>0</v>
      </c>
      <c r="E137" s="2">
        <v>0</v>
      </c>
      <c r="F137" s="2">
        <v>0</v>
      </c>
      <c r="G137" s="2">
        <v>0.3629</v>
      </c>
      <c r="H137" s="2">
        <v>51.345799999999997</v>
      </c>
      <c r="I137" s="2">
        <v>5.1063999999999998</v>
      </c>
      <c r="J137" s="2">
        <v>46.6023</v>
      </c>
      <c r="K137" s="2">
        <v>0</v>
      </c>
      <c r="L137" s="2">
        <v>0</v>
      </c>
    </row>
    <row r="138" spans="1:12" x14ac:dyDescent="0.35">
      <c r="A138" s="3" t="s">
        <v>149</v>
      </c>
      <c r="B138" s="1" t="str">
        <f t="shared" si="4"/>
        <v>Lago Paranoa</v>
      </c>
      <c r="C138" s="1">
        <f t="shared" si="5"/>
        <v>-2372</v>
      </c>
      <c r="D138" s="2">
        <v>0</v>
      </c>
      <c r="E138" s="2">
        <v>2302.4499999999998</v>
      </c>
      <c r="F138" s="2">
        <v>0.1467</v>
      </c>
      <c r="G138" s="2">
        <v>3.3472</v>
      </c>
      <c r="H138" s="2">
        <v>7.0323000000000002</v>
      </c>
      <c r="I138" s="2">
        <v>1.3219000000000001</v>
      </c>
      <c r="J138" s="2">
        <v>8.9108999999999998</v>
      </c>
      <c r="K138" s="2">
        <v>2302.4499999999998</v>
      </c>
      <c r="L138" s="2">
        <v>0</v>
      </c>
    </row>
    <row r="139" spans="1:12" hidden="1" x14ac:dyDescent="0.35">
      <c r="A139" s="3" t="s">
        <v>150</v>
      </c>
      <c r="B139" s="1" t="str">
        <f t="shared" si="4"/>
        <v>Corumba IV</v>
      </c>
      <c r="C139" s="1">
        <f t="shared" si="5"/>
        <v>-2371</v>
      </c>
      <c r="D139" s="2">
        <v>0</v>
      </c>
      <c r="E139" s="2">
        <v>0</v>
      </c>
      <c r="F139" s="2">
        <v>0</v>
      </c>
      <c r="G139" s="2">
        <v>0.3629</v>
      </c>
      <c r="H139" s="2">
        <v>46.851300000000002</v>
      </c>
      <c r="I139" s="2">
        <v>4.5544000000000002</v>
      </c>
      <c r="J139" s="2">
        <v>42.659799999999997</v>
      </c>
      <c r="K139" s="2">
        <v>0</v>
      </c>
      <c r="L139" s="2">
        <v>0</v>
      </c>
    </row>
    <row r="140" spans="1:12" x14ac:dyDescent="0.35">
      <c r="A140" s="3" t="s">
        <v>151</v>
      </c>
      <c r="B140" s="1" t="str">
        <f t="shared" si="4"/>
        <v>Lago Paranoa</v>
      </c>
      <c r="C140" s="1">
        <f t="shared" si="5"/>
        <v>-2371</v>
      </c>
      <c r="D140" s="2">
        <v>0</v>
      </c>
      <c r="E140" s="2">
        <v>2302.4499999999998</v>
      </c>
      <c r="F140" s="2">
        <v>0.1757</v>
      </c>
      <c r="G140" s="2">
        <v>3.2387000000000001</v>
      </c>
      <c r="H140" s="2">
        <v>6.4217000000000004</v>
      </c>
      <c r="I140" s="2">
        <v>1.163</v>
      </c>
      <c r="J140" s="2">
        <v>8.3216999999999999</v>
      </c>
      <c r="K140" s="2">
        <v>2302.4499999999998</v>
      </c>
      <c r="L140" s="2">
        <v>0</v>
      </c>
    </row>
    <row r="141" spans="1:12" hidden="1" x14ac:dyDescent="0.35">
      <c r="A141" s="3" t="s">
        <v>152</v>
      </c>
      <c r="B141" s="1" t="str">
        <f t="shared" si="4"/>
        <v>Corumba IV</v>
      </c>
      <c r="C141" s="1">
        <f t="shared" si="5"/>
        <v>-2370</v>
      </c>
      <c r="D141" s="2">
        <v>0</v>
      </c>
      <c r="E141" s="2">
        <v>0</v>
      </c>
      <c r="F141" s="2">
        <v>0</v>
      </c>
      <c r="G141" s="2">
        <v>0.3629</v>
      </c>
      <c r="H141" s="2">
        <v>43.5214</v>
      </c>
      <c r="I141" s="2">
        <v>4.4752000000000001</v>
      </c>
      <c r="J141" s="2">
        <v>39.409100000000002</v>
      </c>
      <c r="K141" s="2">
        <v>0</v>
      </c>
      <c r="L141" s="2">
        <v>0</v>
      </c>
    </row>
    <row r="142" spans="1:12" x14ac:dyDescent="0.35">
      <c r="A142" s="3" t="s">
        <v>153</v>
      </c>
      <c r="B142" s="1" t="str">
        <f t="shared" si="4"/>
        <v>Lago Paranoa</v>
      </c>
      <c r="C142" s="1">
        <f t="shared" si="5"/>
        <v>-2370</v>
      </c>
      <c r="D142" s="2">
        <v>0</v>
      </c>
      <c r="E142" s="2">
        <v>2302.4499999999998</v>
      </c>
      <c r="F142" s="2">
        <v>0.1759</v>
      </c>
      <c r="G142" s="2">
        <v>3.1211000000000002</v>
      </c>
      <c r="H142" s="2">
        <v>5.7153999999999998</v>
      </c>
      <c r="I142" s="2">
        <v>1.0490999999999999</v>
      </c>
      <c r="J142" s="2">
        <v>7.6115000000000004</v>
      </c>
      <c r="K142" s="2">
        <v>2302.4499999999998</v>
      </c>
      <c r="L142" s="2">
        <v>0</v>
      </c>
    </row>
    <row r="143" spans="1:12" hidden="1" x14ac:dyDescent="0.35">
      <c r="A143" s="3" t="s">
        <v>154</v>
      </c>
      <c r="B143" s="1" t="str">
        <f t="shared" si="4"/>
        <v>Corumba IV</v>
      </c>
      <c r="C143" s="1">
        <f t="shared" si="5"/>
        <v>-2369</v>
      </c>
      <c r="D143" s="2">
        <v>0</v>
      </c>
      <c r="E143" s="2">
        <v>0</v>
      </c>
      <c r="F143" s="2">
        <v>0</v>
      </c>
      <c r="G143" s="2">
        <v>0.3629</v>
      </c>
      <c r="H143" s="2">
        <v>40.2607</v>
      </c>
      <c r="I143" s="2">
        <v>4.4752000000000001</v>
      </c>
      <c r="J143" s="2">
        <v>36.148299999999999</v>
      </c>
      <c r="K143" s="2">
        <v>0</v>
      </c>
      <c r="L143" s="2">
        <v>0</v>
      </c>
    </row>
    <row r="144" spans="1:12" x14ac:dyDescent="0.35">
      <c r="A144" s="3" t="s">
        <v>155</v>
      </c>
      <c r="B144" s="1" t="str">
        <f t="shared" si="4"/>
        <v>Lago Paranoa</v>
      </c>
      <c r="C144" s="1">
        <f t="shared" si="5"/>
        <v>-2369</v>
      </c>
      <c r="D144" s="2">
        <v>0</v>
      </c>
      <c r="E144" s="2">
        <v>2302.4499999999998</v>
      </c>
      <c r="F144" s="2">
        <v>0.17610000000000001</v>
      </c>
      <c r="G144" s="2">
        <v>2.9811000000000001</v>
      </c>
      <c r="H144" s="2">
        <v>5.4513999999999996</v>
      </c>
      <c r="I144" s="2">
        <v>1.0490999999999999</v>
      </c>
      <c r="J144" s="2">
        <v>7.2073</v>
      </c>
      <c r="K144" s="2">
        <v>2302.4499999999998</v>
      </c>
      <c r="L144" s="2">
        <v>0</v>
      </c>
    </row>
    <row r="145" spans="1:12" hidden="1" x14ac:dyDescent="0.35">
      <c r="A145" s="3" t="s">
        <v>156</v>
      </c>
      <c r="B145" s="1" t="str">
        <f t="shared" si="4"/>
        <v>Corumba IV</v>
      </c>
      <c r="C145" s="1">
        <f t="shared" si="5"/>
        <v>-2368</v>
      </c>
      <c r="D145" s="2">
        <v>0</v>
      </c>
      <c r="E145" s="2">
        <v>0</v>
      </c>
      <c r="F145" s="2">
        <v>0</v>
      </c>
      <c r="G145" s="2">
        <v>0.3629</v>
      </c>
      <c r="H145" s="2">
        <v>38.538699999999999</v>
      </c>
      <c r="I145" s="2">
        <v>4.4752000000000001</v>
      </c>
      <c r="J145" s="2">
        <v>34.426400000000001</v>
      </c>
      <c r="K145" s="2">
        <v>0</v>
      </c>
      <c r="L145" s="2">
        <v>0</v>
      </c>
    </row>
    <row r="146" spans="1:12" x14ac:dyDescent="0.35">
      <c r="A146" s="3" t="s">
        <v>157</v>
      </c>
      <c r="B146" s="1" t="str">
        <f t="shared" si="4"/>
        <v>Lago Paranoa</v>
      </c>
      <c r="C146" s="1">
        <f t="shared" si="5"/>
        <v>-2368</v>
      </c>
      <c r="D146" s="2">
        <v>0</v>
      </c>
      <c r="E146" s="2">
        <v>2302.4499999999998</v>
      </c>
      <c r="F146" s="2">
        <v>0.17630000000000001</v>
      </c>
      <c r="G146" s="2">
        <v>2.8824000000000001</v>
      </c>
      <c r="H146" s="2">
        <v>5.3223000000000003</v>
      </c>
      <c r="I146" s="2">
        <v>1.0490999999999999</v>
      </c>
      <c r="J146" s="2">
        <v>6.9794</v>
      </c>
      <c r="K146" s="2">
        <v>2302.4499999999998</v>
      </c>
      <c r="L146" s="2">
        <v>0</v>
      </c>
    </row>
    <row r="147" spans="1:12" hidden="1" x14ac:dyDescent="0.35">
      <c r="A147" s="3" t="s">
        <v>158</v>
      </c>
      <c r="B147" s="1" t="str">
        <f t="shared" si="4"/>
        <v>Corumba IV</v>
      </c>
      <c r="C147" s="1">
        <f t="shared" si="5"/>
        <v>-2367</v>
      </c>
      <c r="D147" s="2">
        <v>0</v>
      </c>
      <c r="E147" s="2">
        <v>0</v>
      </c>
      <c r="F147" s="2">
        <v>0</v>
      </c>
      <c r="G147" s="2">
        <v>0.3629</v>
      </c>
      <c r="H147" s="2">
        <v>36.161000000000001</v>
      </c>
      <c r="I147" s="2">
        <v>4.58</v>
      </c>
      <c r="J147" s="2">
        <v>31.943899999999999</v>
      </c>
      <c r="K147" s="2">
        <v>0</v>
      </c>
      <c r="L147" s="2">
        <v>0</v>
      </c>
    </row>
    <row r="148" spans="1:12" x14ac:dyDescent="0.35">
      <c r="A148" s="3" t="s">
        <v>159</v>
      </c>
      <c r="B148" s="1" t="str">
        <f t="shared" si="4"/>
        <v>Lago Paranoa</v>
      </c>
      <c r="C148" s="1">
        <f t="shared" si="5"/>
        <v>-2367</v>
      </c>
      <c r="D148" s="2">
        <v>0</v>
      </c>
      <c r="E148" s="2">
        <v>2302.4499999999998</v>
      </c>
      <c r="F148" s="2">
        <v>0.17649999999999999</v>
      </c>
      <c r="G148" s="2">
        <v>3.1217000000000001</v>
      </c>
      <c r="H148" s="2">
        <v>5.6496000000000004</v>
      </c>
      <c r="I148" s="2">
        <v>1.0847</v>
      </c>
      <c r="J148" s="2">
        <v>7.5101000000000004</v>
      </c>
      <c r="K148" s="2">
        <v>2302.4499999999998</v>
      </c>
      <c r="L148" s="2">
        <v>0</v>
      </c>
    </row>
    <row r="149" spans="1:12" hidden="1" x14ac:dyDescent="0.35">
      <c r="A149" s="3" t="s">
        <v>160</v>
      </c>
      <c r="B149" s="1" t="str">
        <f t="shared" si="4"/>
        <v>Corumba IV</v>
      </c>
      <c r="C149" s="1">
        <f t="shared" si="5"/>
        <v>-2366</v>
      </c>
      <c r="D149" s="2">
        <v>0</v>
      </c>
      <c r="E149" s="2">
        <v>0</v>
      </c>
      <c r="F149" s="2">
        <v>0</v>
      </c>
      <c r="G149" s="2">
        <v>0.3629</v>
      </c>
      <c r="H149" s="2">
        <v>35.559600000000003</v>
      </c>
      <c r="I149" s="2">
        <v>4.7838000000000003</v>
      </c>
      <c r="J149" s="2">
        <v>31.1388</v>
      </c>
      <c r="K149" s="2">
        <v>0</v>
      </c>
      <c r="L149" s="2">
        <v>0</v>
      </c>
    </row>
    <row r="150" spans="1:12" x14ac:dyDescent="0.35">
      <c r="A150" s="3" t="s">
        <v>161</v>
      </c>
      <c r="B150" s="1" t="str">
        <f t="shared" si="4"/>
        <v>Lago Paranoa</v>
      </c>
      <c r="C150" s="1">
        <f t="shared" si="5"/>
        <v>-2366</v>
      </c>
      <c r="D150" s="2">
        <v>0</v>
      </c>
      <c r="E150" s="2">
        <v>2302.4499999999998</v>
      </c>
      <c r="F150" s="2">
        <v>0.19259999999999999</v>
      </c>
      <c r="G150" s="2">
        <v>3.4432</v>
      </c>
      <c r="H150" s="2">
        <v>6.5740999999999996</v>
      </c>
      <c r="I150" s="2">
        <v>1.1512</v>
      </c>
      <c r="J150" s="2">
        <v>8.6736000000000004</v>
      </c>
      <c r="K150" s="2">
        <v>2302.4499999999998</v>
      </c>
      <c r="L150" s="2">
        <v>0</v>
      </c>
    </row>
    <row r="151" spans="1:12" hidden="1" x14ac:dyDescent="0.35">
      <c r="A151" s="3" t="s">
        <v>162</v>
      </c>
      <c r="B151" s="1" t="str">
        <f t="shared" si="4"/>
        <v>Corumba IV</v>
      </c>
      <c r="C151" s="1">
        <f t="shared" si="5"/>
        <v>-2365</v>
      </c>
      <c r="D151" s="2">
        <v>0</v>
      </c>
      <c r="E151" s="2">
        <v>0</v>
      </c>
      <c r="F151" s="2">
        <v>0</v>
      </c>
      <c r="G151" s="2">
        <v>0.3629</v>
      </c>
      <c r="H151" s="2">
        <v>30.5623</v>
      </c>
      <c r="I151" s="2">
        <v>4.944</v>
      </c>
      <c r="J151" s="2">
        <v>25.981100000000001</v>
      </c>
      <c r="K151" s="2">
        <v>0</v>
      </c>
      <c r="L151" s="2">
        <v>0</v>
      </c>
    </row>
    <row r="152" spans="1:12" x14ac:dyDescent="0.35">
      <c r="A152" s="3" t="s">
        <v>163</v>
      </c>
      <c r="B152" s="1" t="str">
        <f t="shared" si="4"/>
        <v>Lago Paranoa</v>
      </c>
      <c r="C152" s="1">
        <f t="shared" si="5"/>
        <v>-2365</v>
      </c>
      <c r="D152" s="2">
        <v>0</v>
      </c>
      <c r="E152" s="2">
        <v>2302.4499999999998</v>
      </c>
      <c r="F152" s="2">
        <v>0.1928</v>
      </c>
      <c r="G152" s="2">
        <v>3.3085</v>
      </c>
      <c r="H152" s="2">
        <v>6.1905999999999999</v>
      </c>
      <c r="I152" s="2">
        <v>1.1988000000000001</v>
      </c>
      <c r="J152" s="2">
        <v>8.1075999999999997</v>
      </c>
      <c r="K152" s="2">
        <v>2302.4499999999998</v>
      </c>
      <c r="L152" s="2">
        <v>0</v>
      </c>
    </row>
    <row r="153" spans="1:12" hidden="1" x14ac:dyDescent="0.35">
      <c r="A153" s="3" t="s">
        <v>164</v>
      </c>
      <c r="B153" s="1" t="str">
        <f t="shared" si="4"/>
        <v>Corumba IV</v>
      </c>
      <c r="C153" s="1">
        <f t="shared" si="5"/>
        <v>-2364</v>
      </c>
      <c r="D153" s="2">
        <v>0</v>
      </c>
      <c r="E153" s="2">
        <v>0</v>
      </c>
      <c r="F153" s="2">
        <v>0</v>
      </c>
      <c r="G153" s="2">
        <v>0.3629</v>
      </c>
      <c r="H153" s="2">
        <v>29.842600000000001</v>
      </c>
      <c r="I153" s="2">
        <v>4.944</v>
      </c>
      <c r="J153" s="2">
        <v>25.261399999999998</v>
      </c>
      <c r="K153" s="2">
        <v>0</v>
      </c>
      <c r="L153" s="2">
        <v>0</v>
      </c>
    </row>
    <row r="154" spans="1:12" x14ac:dyDescent="0.35">
      <c r="A154" s="3" t="s">
        <v>165</v>
      </c>
      <c r="B154" s="1" t="str">
        <f t="shared" si="4"/>
        <v>Lago Paranoa</v>
      </c>
      <c r="C154" s="1">
        <f t="shared" si="5"/>
        <v>-2364</v>
      </c>
      <c r="D154" s="2">
        <v>0</v>
      </c>
      <c r="E154" s="2">
        <v>2302.4499999999998</v>
      </c>
      <c r="F154" s="2">
        <v>0.193</v>
      </c>
      <c r="G154" s="2">
        <v>3.2603</v>
      </c>
      <c r="H154" s="2">
        <v>6.2134999999999998</v>
      </c>
      <c r="I154" s="2">
        <v>1.1988000000000001</v>
      </c>
      <c r="J154" s="2">
        <v>8.0820000000000007</v>
      </c>
      <c r="K154" s="2">
        <v>2302.4499999999998</v>
      </c>
      <c r="L154" s="2">
        <v>0</v>
      </c>
    </row>
    <row r="155" spans="1:12" hidden="1" x14ac:dyDescent="0.35">
      <c r="A155" s="3" t="s">
        <v>166</v>
      </c>
      <c r="B155" s="1" t="str">
        <f t="shared" si="4"/>
        <v>Corumba IV</v>
      </c>
      <c r="C155" s="1">
        <f t="shared" si="5"/>
        <v>-2363</v>
      </c>
      <c r="D155" s="2">
        <v>0</v>
      </c>
      <c r="E155" s="2">
        <v>0</v>
      </c>
      <c r="F155" s="2">
        <v>0</v>
      </c>
      <c r="G155" s="2">
        <v>0.3629</v>
      </c>
      <c r="H155" s="2">
        <v>30.221900000000002</v>
      </c>
      <c r="I155" s="2">
        <v>4.944</v>
      </c>
      <c r="J155" s="2">
        <v>25.640699999999999</v>
      </c>
      <c r="K155" s="2">
        <v>0</v>
      </c>
      <c r="L155" s="2">
        <v>0</v>
      </c>
    </row>
    <row r="156" spans="1:12" x14ac:dyDescent="0.35">
      <c r="A156" s="3" t="s">
        <v>167</v>
      </c>
      <c r="B156" s="1" t="str">
        <f t="shared" si="4"/>
        <v>Lago Paranoa</v>
      </c>
      <c r="C156" s="1">
        <f t="shared" si="5"/>
        <v>-2363</v>
      </c>
      <c r="D156" s="2">
        <v>0</v>
      </c>
      <c r="E156" s="2">
        <v>2302.4499999999998</v>
      </c>
      <c r="F156" s="2">
        <v>0.19309999999999999</v>
      </c>
      <c r="G156" s="2">
        <v>3.1387</v>
      </c>
      <c r="H156" s="2">
        <v>6.1151999999999997</v>
      </c>
      <c r="I156" s="2">
        <v>1.1988000000000001</v>
      </c>
      <c r="J156" s="2">
        <v>7.8619000000000003</v>
      </c>
      <c r="K156" s="2">
        <v>2302.4499999999998</v>
      </c>
      <c r="L156" s="2">
        <v>0</v>
      </c>
    </row>
    <row r="157" spans="1:12" hidden="1" x14ac:dyDescent="0.35">
      <c r="A157" s="3" t="s">
        <v>168</v>
      </c>
      <c r="B157" s="1" t="str">
        <f t="shared" si="4"/>
        <v>Corumba IV</v>
      </c>
      <c r="C157" s="1">
        <f t="shared" si="5"/>
        <v>-2362</v>
      </c>
      <c r="D157" s="2">
        <v>0</v>
      </c>
      <c r="E157" s="2">
        <v>0</v>
      </c>
      <c r="F157" s="2">
        <v>0</v>
      </c>
      <c r="G157" s="2">
        <v>0.3629</v>
      </c>
      <c r="H157" s="2">
        <v>29.551400000000001</v>
      </c>
      <c r="I157" s="2">
        <v>5.5392999999999999</v>
      </c>
      <c r="J157" s="2">
        <v>24.375</v>
      </c>
      <c r="K157" s="2">
        <v>0</v>
      </c>
      <c r="L157" s="2">
        <v>0</v>
      </c>
    </row>
    <row r="158" spans="1:12" x14ac:dyDescent="0.35">
      <c r="A158" s="3" t="s">
        <v>169</v>
      </c>
      <c r="B158" s="1" t="str">
        <f t="shared" si="4"/>
        <v>Lago Paranoa</v>
      </c>
      <c r="C158" s="1">
        <f t="shared" si="5"/>
        <v>-2362</v>
      </c>
      <c r="D158" s="2">
        <v>0</v>
      </c>
      <c r="E158" s="2">
        <v>2302.4499999999998</v>
      </c>
      <c r="F158" s="2">
        <v>0.20749999999999999</v>
      </c>
      <c r="G158" s="2">
        <v>2.8656000000000001</v>
      </c>
      <c r="H158" s="2">
        <v>5.2995999999999999</v>
      </c>
      <c r="I158" s="2">
        <v>1.4327000000000001</v>
      </c>
      <c r="J158" s="2">
        <v>6.5250000000000004</v>
      </c>
      <c r="K158" s="2">
        <v>2302.4499999999998</v>
      </c>
      <c r="L158" s="2">
        <v>0</v>
      </c>
    </row>
    <row r="159" spans="1:12" hidden="1" x14ac:dyDescent="0.35">
      <c r="A159" s="3" t="s">
        <v>170</v>
      </c>
      <c r="B159" s="1" t="str">
        <f t="shared" si="4"/>
        <v>Corumba IV</v>
      </c>
      <c r="C159" s="1">
        <f t="shared" si="5"/>
        <v>-2361</v>
      </c>
      <c r="D159" s="2">
        <v>0</v>
      </c>
      <c r="E159" s="2">
        <v>0</v>
      </c>
      <c r="F159" s="2">
        <v>0</v>
      </c>
      <c r="G159" s="2">
        <v>0.3629</v>
      </c>
      <c r="H159" s="2">
        <v>28.412600000000001</v>
      </c>
      <c r="I159" s="2">
        <v>5.5392999999999999</v>
      </c>
      <c r="J159" s="2">
        <v>23.2362</v>
      </c>
      <c r="K159" s="2">
        <v>0</v>
      </c>
      <c r="L159" s="2">
        <v>0</v>
      </c>
    </row>
    <row r="160" spans="1:12" x14ac:dyDescent="0.35">
      <c r="A160" s="3" t="s">
        <v>171</v>
      </c>
      <c r="B160" s="1" t="str">
        <f t="shared" si="4"/>
        <v>Lago Paranoa</v>
      </c>
      <c r="C160" s="1">
        <f t="shared" si="5"/>
        <v>-2361</v>
      </c>
      <c r="D160" s="2">
        <v>0</v>
      </c>
      <c r="E160" s="2">
        <v>2302.4499999999998</v>
      </c>
      <c r="F160" s="2">
        <v>0.2077</v>
      </c>
      <c r="G160" s="2">
        <v>3.2965</v>
      </c>
      <c r="H160" s="2">
        <v>4.9419000000000004</v>
      </c>
      <c r="I160" s="2">
        <v>1.4327000000000001</v>
      </c>
      <c r="J160" s="2">
        <v>6.5979999999999999</v>
      </c>
      <c r="K160" s="2">
        <v>2302.4499999999998</v>
      </c>
      <c r="L160" s="2">
        <v>0</v>
      </c>
    </row>
    <row r="161" spans="1:12" hidden="1" x14ac:dyDescent="0.35">
      <c r="A161" s="3" t="s">
        <v>172</v>
      </c>
      <c r="B161" s="1" t="str">
        <f t="shared" si="4"/>
        <v>Corumba IV</v>
      </c>
      <c r="C161" s="1">
        <f t="shared" si="5"/>
        <v>-2360</v>
      </c>
      <c r="D161" s="2">
        <v>0</v>
      </c>
      <c r="E161" s="2">
        <v>0</v>
      </c>
      <c r="F161" s="2">
        <v>0</v>
      </c>
      <c r="G161" s="2">
        <v>0.3629</v>
      </c>
      <c r="H161" s="2">
        <v>27.079499999999999</v>
      </c>
      <c r="I161" s="2">
        <v>5.5392999999999999</v>
      </c>
      <c r="J161" s="2">
        <v>21.903099999999998</v>
      </c>
      <c r="K161" s="2">
        <v>0</v>
      </c>
      <c r="L161" s="2">
        <v>0</v>
      </c>
    </row>
    <row r="162" spans="1:12" x14ac:dyDescent="0.35">
      <c r="A162" s="3" t="s">
        <v>173</v>
      </c>
      <c r="B162" s="1" t="str">
        <f t="shared" si="4"/>
        <v>Lago Paranoa</v>
      </c>
      <c r="C162" s="1">
        <f t="shared" si="5"/>
        <v>-2360</v>
      </c>
      <c r="D162" s="2">
        <v>0</v>
      </c>
      <c r="E162" s="2">
        <v>2302.4499999999998</v>
      </c>
      <c r="F162" s="2">
        <v>0.2079</v>
      </c>
      <c r="G162" s="2">
        <v>3.3622000000000001</v>
      </c>
      <c r="H162" s="2">
        <v>4.5782999999999996</v>
      </c>
      <c r="I162" s="2">
        <v>1.4327000000000001</v>
      </c>
      <c r="J162" s="2">
        <v>6.2999000000000001</v>
      </c>
      <c r="K162" s="2">
        <v>2302.4499999999998</v>
      </c>
      <c r="L162" s="2">
        <v>0</v>
      </c>
    </row>
    <row r="163" spans="1:12" hidden="1" x14ac:dyDescent="0.35">
      <c r="A163" s="3" t="s">
        <v>174</v>
      </c>
      <c r="B163" s="1" t="str">
        <f t="shared" si="4"/>
        <v>Corumba IV</v>
      </c>
      <c r="C163" s="1">
        <f t="shared" si="5"/>
        <v>-2359</v>
      </c>
      <c r="D163" s="2">
        <v>0</v>
      </c>
      <c r="E163" s="2">
        <v>0</v>
      </c>
      <c r="F163" s="2">
        <v>0</v>
      </c>
      <c r="G163" s="2">
        <v>0.3629</v>
      </c>
      <c r="H163" s="2">
        <v>26.072099999999999</v>
      </c>
      <c r="I163" s="2">
        <v>5.5392999999999999</v>
      </c>
      <c r="J163" s="2">
        <v>20.895700000000001</v>
      </c>
      <c r="K163" s="2">
        <v>0</v>
      </c>
      <c r="L163" s="2">
        <v>0</v>
      </c>
    </row>
    <row r="164" spans="1:12" x14ac:dyDescent="0.35">
      <c r="A164" s="3" t="s">
        <v>175</v>
      </c>
      <c r="B164" s="1" t="str">
        <f t="shared" si="4"/>
        <v>Lago Paranoa</v>
      </c>
      <c r="C164" s="1">
        <f t="shared" si="5"/>
        <v>-2359</v>
      </c>
      <c r="D164" s="2">
        <v>0</v>
      </c>
      <c r="E164" s="2">
        <v>2302.4499999999998</v>
      </c>
      <c r="F164" s="2">
        <v>0.20810000000000001</v>
      </c>
      <c r="G164" s="2">
        <v>3.0857000000000001</v>
      </c>
      <c r="H164" s="2">
        <v>4.2586000000000004</v>
      </c>
      <c r="I164" s="2">
        <v>1.4327000000000001</v>
      </c>
      <c r="J164" s="2">
        <v>5.7035</v>
      </c>
      <c r="K164" s="2">
        <v>2302.4499999999998</v>
      </c>
      <c r="L164" s="2">
        <v>0</v>
      </c>
    </row>
    <row r="165" spans="1:12" hidden="1" x14ac:dyDescent="0.35">
      <c r="A165" s="3" t="s">
        <v>176</v>
      </c>
      <c r="B165" s="1" t="str">
        <f t="shared" si="4"/>
        <v>Corumba IV</v>
      </c>
      <c r="C165" s="1">
        <f t="shared" si="5"/>
        <v>-2358</v>
      </c>
      <c r="D165" s="2">
        <v>0</v>
      </c>
      <c r="E165" s="2">
        <v>0</v>
      </c>
      <c r="F165" s="2">
        <v>0</v>
      </c>
      <c r="G165" s="2">
        <v>0.3629</v>
      </c>
      <c r="H165" s="2">
        <v>24.661999999999999</v>
      </c>
      <c r="I165" s="2">
        <v>5.8682999999999996</v>
      </c>
      <c r="J165" s="2">
        <v>19.156600000000001</v>
      </c>
      <c r="K165" s="2">
        <v>0</v>
      </c>
      <c r="L165" s="2">
        <v>0</v>
      </c>
    </row>
    <row r="166" spans="1:12" x14ac:dyDescent="0.35">
      <c r="A166" s="3" t="s">
        <v>177</v>
      </c>
      <c r="B166" s="1" t="str">
        <f t="shared" si="4"/>
        <v>Lago Paranoa</v>
      </c>
      <c r="C166" s="1">
        <f t="shared" si="5"/>
        <v>-2358</v>
      </c>
      <c r="D166" s="2">
        <v>0</v>
      </c>
      <c r="E166" s="2">
        <v>2302.4499999999998</v>
      </c>
      <c r="F166" s="2">
        <v>0.25950000000000001</v>
      </c>
      <c r="G166" s="2">
        <v>3.0154000000000001</v>
      </c>
      <c r="H166" s="2">
        <v>4.0209999999999999</v>
      </c>
      <c r="I166" s="2">
        <v>1.5138</v>
      </c>
      <c r="J166" s="2">
        <v>5.2630999999999997</v>
      </c>
      <c r="K166" s="2">
        <v>2302.4499999999998</v>
      </c>
      <c r="L166" s="2">
        <v>0</v>
      </c>
    </row>
    <row r="167" spans="1:12" hidden="1" x14ac:dyDescent="0.35">
      <c r="A167" s="3" t="s">
        <v>178</v>
      </c>
      <c r="B167" s="1" t="str">
        <f t="shared" si="4"/>
        <v>Corumba IV</v>
      </c>
      <c r="C167" s="1">
        <f t="shared" si="5"/>
        <v>-2357</v>
      </c>
      <c r="D167" s="2">
        <v>0</v>
      </c>
      <c r="E167" s="2">
        <v>0</v>
      </c>
      <c r="F167" s="2">
        <v>0</v>
      </c>
      <c r="G167" s="2">
        <v>0.3629</v>
      </c>
      <c r="H167" s="2">
        <v>23.708200000000001</v>
      </c>
      <c r="I167" s="2">
        <v>5.8533999999999997</v>
      </c>
      <c r="J167" s="2">
        <v>18.217600000000001</v>
      </c>
      <c r="K167" s="2">
        <v>0</v>
      </c>
      <c r="L167" s="2">
        <v>0</v>
      </c>
    </row>
    <row r="168" spans="1:12" x14ac:dyDescent="0.35">
      <c r="A168" s="3" t="s">
        <v>179</v>
      </c>
      <c r="B168" s="1" t="str">
        <f t="shared" si="4"/>
        <v>Lago Paranoa</v>
      </c>
      <c r="C168" s="1">
        <f t="shared" si="5"/>
        <v>-2357</v>
      </c>
      <c r="D168" s="2">
        <v>0</v>
      </c>
      <c r="E168" s="2">
        <v>2302.4499999999998</v>
      </c>
      <c r="F168" s="2">
        <v>0.25979999999999998</v>
      </c>
      <c r="G168" s="2">
        <v>3.2578</v>
      </c>
      <c r="H168" s="2">
        <v>4.0658000000000003</v>
      </c>
      <c r="I168" s="2">
        <v>1.5223</v>
      </c>
      <c r="J168" s="2">
        <v>5.5415000000000001</v>
      </c>
      <c r="K168" s="2">
        <v>2302.4499999999998</v>
      </c>
      <c r="L168" s="2">
        <v>0</v>
      </c>
    </row>
    <row r="169" spans="1:12" hidden="1" x14ac:dyDescent="0.35">
      <c r="A169" s="3" t="s">
        <v>180</v>
      </c>
      <c r="B169" s="1" t="str">
        <f t="shared" si="4"/>
        <v>Corumba IV</v>
      </c>
      <c r="C169" s="1">
        <f t="shared" si="5"/>
        <v>-2356</v>
      </c>
      <c r="D169" s="2">
        <v>0</v>
      </c>
      <c r="E169" s="2">
        <v>0</v>
      </c>
      <c r="F169" s="2">
        <v>0</v>
      </c>
      <c r="G169" s="2">
        <v>0.3629</v>
      </c>
      <c r="H169" s="2">
        <v>22.826899999999998</v>
      </c>
      <c r="I169" s="2">
        <v>5.8533999999999997</v>
      </c>
      <c r="J169" s="2">
        <v>17.336300000000001</v>
      </c>
      <c r="K169" s="2">
        <v>0</v>
      </c>
      <c r="L169" s="2">
        <v>0</v>
      </c>
    </row>
    <row r="170" spans="1:12" x14ac:dyDescent="0.35">
      <c r="A170" s="3" t="s">
        <v>181</v>
      </c>
      <c r="B170" s="1" t="str">
        <f t="shared" si="4"/>
        <v>Lago Paranoa</v>
      </c>
      <c r="C170" s="1">
        <f t="shared" si="5"/>
        <v>-2356</v>
      </c>
      <c r="D170" s="2">
        <v>0</v>
      </c>
      <c r="E170" s="2">
        <v>2302.4499999999998</v>
      </c>
      <c r="F170" s="2">
        <v>0.26</v>
      </c>
      <c r="G170" s="2">
        <v>3.1922999999999999</v>
      </c>
      <c r="H170" s="2">
        <v>3.9626999999999999</v>
      </c>
      <c r="I170" s="2">
        <v>1.5223</v>
      </c>
      <c r="J170" s="2">
        <v>5.3727999999999998</v>
      </c>
      <c r="K170" s="2">
        <v>2302.4499999999998</v>
      </c>
      <c r="L170" s="2">
        <v>0</v>
      </c>
    </row>
    <row r="171" spans="1:12" hidden="1" x14ac:dyDescent="0.35">
      <c r="A171" s="3" t="s">
        <v>182</v>
      </c>
      <c r="B171" s="1" t="str">
        <f t="shared" si="4"/>
        <v>Corumba IV</v>
      </c>
      <c r="C171" s="1">
        <f t="shared" si="5"/>
        <v>-2355</v>
      </c>
      <c r="D171" s="2">
        <v>0</v>
      </c>
      <c r="E171" s="2">
        <v>0</v>
      </c>
      <c r="F171" s="2">
        <v>0</v>
      </c>
      <c r="G171" s="2">
        <v>0.3629</v>
      </c>
      <c r="H171" s="2">
        <v>22.162500000000001</v>
      </c>
      <c r="I171" s="2">
        <v>5.8533999999999997</v>
      </c>
      <c r="J171" s="2">
        <v>16.671900000000001</v>
      </c>
      <c r="K171" s="2">
        <v>0</v>
      </c>
      <c r="L171" s="2">
        <v>0</v>
      </c>
    </row>
    <row r="172" spans="1:12" x14ac:dyDescent="0.35">
      <c r="A172" s="3" t="s">
        <v>183</v>
      </c>
      <c r="B172" s="1" t="str">
        <f t="shared" si="4"/>
        <v>Lago Paranoa</v>
      </c>
      <c r="C172" s="1">
        <f t="shared" si="5"/>
        <v>-2355</v>
      </c>
      <c r="D172" s="2">
        <v>0</v>
      </c>
      <c r="E172" s="2">
        <v>2302.4499999999998</v>
      </c>
      <c r="F172" s="2">
        <v>0.26019999999999999</v>
      </c>
      <c r="G172" s="2">
        <v>3.0627</v>
      </c>
      <c r="H172" s="2">
        <v>3.8052000000000001</v>
      </c>
      <c r="I172" s="2">
        <v>1.5223</v>
      </c>
      <c r="J172" s="2">
        <v>5.0853999999999999</v>
      </c>
      <c r="K172" s="2">
        <v>2302.4499999999998</v>
      </c>
      <c r="L172" s="2">
        <v>0</v>
      </c>
    </row>
    <row r="173" spans="1:12" hidden="1" x14ac:dyDescent="0.35">
      <c r="A173" s="3" t="s">
        <v>184</v>
      </c>
      <c r="B173" s="1" t="str">
        <f t="shared" si="4"/>
        <v>Corumba IV</v>
      </c>
      <c r="C173" s="1">
        <f t="shared" si="5"/>
        <v>-2354</v>
      </c>
      <c r="D173" s="2">
        <v>0</v>
      </c>
      <c r="E173" s="2">
        <v>0</v>
      </c>
      <c r="F173" s="2">
        <v>0</v>
      </c>
      <c r="G173" s="2">
        <v>0.3629</v>
      </c>
      <c r="H173" s="2">
        <v>23.918099999999999</v>
      </c>
      <c r="I173" s="2">
        <v>5.3966000000000003</v>
      </c>
      <c r="J173" s="2">
        <v>18.884399999999999</v>
      </c>
      <c r="K173" s="2">
        <v>0</v>
      </c>
      <c r="L173" s="2">
        <v>0</v>
      </c>
    </row>
    <row r="174" spans="1:12" x14ac:dyDescent="0.35">
      <c r="A174" s="3" t="s">
        <v>185</v>
      </c>
      <c r="B174" s="1" t="str">
        <f t="shared" si="4"/>
        <v>Lago Paranoa</v>
      </c>
      <c r="C174" s="1">
        <f t="shared" si="5"/>
        <v>-2354</v>
      </c>
      <c r="D174" s="2">
        <v>0</v>
      </c>
      <c r="E174" s="2">
        <v>2302.4499999999998</v>
      </c>
      <c r="F174" s="2">
        <v>0.26040000000000002</v>
      </c>
      <c r="G174" s="2">
        <v>3.1278000000000001</v>
      </c>
      <c r="H174" s="2">
        <v>3.7797999999999998</v>
      </c>
      <c r="I174" s="2">
        <v>1.4503999999999999</v>
      </c>
      <c r="J174" s="2">
        <v>5.1967999999999996</v>
      </c>
      <c r="K174" s="2">
        <v>2302.4499999999998</v>
      </c>
      <c r="L174" s="2">
        <v>0</v>
      </c>
    </row>
    <row r="175" spans="1:12" hidden="1" x14ac:dyDescent="0.35">
      <c r="A175" s="3" t="s">
        <v>186</v>
      </c>
      <c r="B175" s="1" t="str">
        <f t="shared" si="4"/>
        <v>Corumba IV</v>
      </c>
      <c r="C175" s="1">
        <f t="shared" si="5"/>
        <v>-2353</v>
      </c>
      <c r="D175" s="2">
        <v>0</v>
      </c>
      <c r="E175" s="2">
        <v>0</v>
      </c>
      <c r="F175" s="2">
        <v>0</v>
      </c>
      <c r="G175" s="2">
        <v>0.3629</v>
      </c>
      <c r="H175" s="2">
        <v>23.938800000000001</v>
      </c>
      <c r="I175" s="2">
        <v>3.8148</v>
      </c>
      <c r="J175" s="2">
        <v>20.486999999999998</v>
      </c>
      <c r="K175" s="2">
        <v>0</v>
      </c>
      <c r="L175" s="2">
        <v>0</v>
      </c>
    </row>
    <row r="176" spans="1:12" x14ac:dyDescent="0.35">
      <c r="A176" s="3" t="s">
        <v>187</v>
      </c>
      <c r="B176" s="1" t="str">
        <f t="shared" si="4"/>
        <v>Lago Paranoa</v>
      </c>
      <c r="C176" s="1">
        <f t="shared" si="5"/>
        <v>-2353</v>
      </c>
      <c r="D176" s="2">
        <v>0</v>
      </c>
      <c r="E176" s="2">
        <v>2302.4499999999998</v>
      </c>
      <c r="F176" s="2">
        <v>0.22950000000000001</v>
      </c>
      <c r="G176" s="2">
        <v>3.0966</v>
      </c>
      <c r="H176" s="2">
        <v>3.8098999999999998</v>
      </c>
      <c r="I176" s="2">
        <v>1.1174999999999999</v>
      </c>
      <c r="J176" s="2">
        <v>5.5594999999999999</v>
      </c>
      <c r="K176" s="2">
        <v>2302.4499999999998</v>
      </c>
      <c r="L176" s="2">
        <v>0</v>
      </c>
    </row>
    <row r="177" spans="1:12" hidden="1" x14ac:dyDescent="0.35">
      <c r="A177" s="3" t="s">
        <v>188</v>
      </c>
      <c r="B177" s="1" t="str">
        <f t="shared" si="4"/>
        <v>Corumba IV</v>
      </c>
      <c r="C177" s="1">
        <f t="shared" si="5"/>
        <v>-2352</v>
      </c>
      <c r="D177" s="2">
        <v>0</v>
      </c>
      <c r="E177" s="2">
        <v>0</v>
      </c>
      <c r="F177" s="2">
        <v>0</v>
      </c>
      <c r="G177" s="2">
        <v>0.3629</v>
      </c>
      <c r="H177" s="2">
        <v>30.108699999999999</v>
      </c>
      <c r="I177" s="2">
        <v>3.8148</v>
      </c>
      <c r="J177" s="2">
        <v>26.6568</v>
      </c>
      <c r="K177" s="2">
        <v>0</v>
      </c>
      <c r="L177" s="2">
        <v>0</v>
      </c>
    </row>
    <row r="178" spans="1:12" x14ac:dyDescent="0.35">
      <c r="A178" s="3" t="s">
        <v>189</v>
      </c>
      <c r="B178" s="1" t="str">
        <f t="shared" si="4"/>
        <v>Lago Paranoa</v>
      </c>
      <c r="C178" s="1">
        <f t="shared" si="5"/>
        <v>-2352</v>
      </c>
      <c r="D178" s="2">
        <v>0</v>
      </c>
      <c r="E178" s="2">
        <v>2302.4499999999998</v>
      </c>
      <c r="F178" s="2">
        <v>0.22969999999999999</v>
      </c>
      <c r="G178" s="2">
        <v>3.4722</v>
      </c>
      <c r="H178" s="2">
        <v>4.5532000000000004</v>
      </c>
      <c r="I178" s="2">
        <v>1.1174999999999999</v>
      </c>
      <c r="J178" s="2">
        <v>6.6782000000000004</v>
      </c>
      <c r="K178" s="2">
        <v>2302.4499999999998</v>
      </c>
      <c r="L178" s="2">
        <v>0</v>
      </c>
    </row>
    <row r="179" spans="1:12" hidden="1" x14ac:dyDescent="0.35">
      <c r="A179" s="3" t="s">
        <v>190</v>
      </c>
      <c r="B179" s="1" t="str">
        <f t="shared" si="4"/>
        <v>Corumba IV</v>
      </c>
      <c r="C179" s="1">
        <f t="shared" si="5"/>
        <v>-2351</v>
      </c>
      <c r="D179" s="2">
        <v>0</v>
      </c>
      <c r="E179" s="2">
        <v>0</v>
      </c>
      <c r="F179" s="2">
        <v>0</v>
      </c>
      <c r="G179" s="2">
        <v>0.3629</v>
      </c>
      <c r="H179" s="2">
        <v>40.705599999999997</v>
      </c>
      <c r="I179" s="2">
        <v>3.8148</v>
      </c>
      <c r="J179" s="2">
        <v>37.253799999999998</v>
      </c>
      <c r="K179" s="2">
        <v>0</v>
      </c>
      <c r="L179" s="2">
        <v>0</v>
      </c>
    </row>
    <row r="180" spans="1:12" x14ac:dyDescent="0.35">
      <c r="A180" s="3" t="s">
        <v>191</v>
      </c>
      <c r="B180" s="1" t="str">
        <f t="shared" si="4"/>
        <v>Lago Paranoa</v>
      </c>
      <c r="C180" s="1">
        <f t="shared" si="5"/>
        <v>-2351</v>
      </c>
      <c r="D180" s="2">
        <v>0</v>
      </c>
      <c r="E180" s="2">
        <v>2302.4499999999998</v>
      </c>
      <c r="F180" s="2">
        <v>0.22989999999999999</v>
      </c>
      <c r="G180" s="2">
        <v>3.1879</v>
      </c>
      <c r="H180" s="2">
        <v>4.8109999999999999</v>
      </c>
      <c r="I180" s="2">
        <v>1.1174999999999999</v>
      </c>
      <c r="J180" s="2">
        <v>6.6515000000000004</v>
      </c>
      <c r="K180" s="2">
        <v>2302.4499999999998</v>
      </c>
      <c r="L180" s="2">
        <v>0</v>
      </c>
    </row>
    <row r="181" spans="1:12" hidden="1" x14ac:dyDescent="0.35">
      <c r="A181" s="3" t="s">
        <v>192</v>
      </c>
      <c r="B181" s="1" t="str">
        <f t="shared" si="4"/>
        <v>Corumba IV</v>
      </c>
      <c r="C181" s="1">
        <f t="shared" si="5"/>
        <v>-2350</v>
      </c>
      <c r="D181" s="2">
        <v>0</v>
      </c>
      <c r="E181" s="2">
        <v>0</v>
      </c>
      <c r="F181" s="2">
        <v>0</v>
      </c>
      <c r="G181" s="2">
        <v>0.3629</v>
      </c>
      <c r="H181" s="2">
        <v>36.326000000000001</v>
      </c>
      <c r="I181" s="2">
        <v>3.8148</v>
      </c>
      <c r="J181" s="2">
        <v>32.874099999999999</v>
      </c>
      <c r="K181" s="2">
        <v>0</v>
      </c>
      <c r="L181" s="2">
        <v>0</v>
      </c>
    </row>
    <row r="182" spans="1:12" x14ac:dyDescent="0.35">
      <c r="A182" s="3" t="s">
        <v>193</v>
      </c>
      <c r="B182" s="1" t="str">
        <f t="shared" si="4"/>
        <v>Lago Paranoa</v>
      </c>
      <c r="C182" s="1">
        <f t="shared" si="5"/>
        <v>-2350</v>
      </c>
      <c r="D182" s="2">
        <v>0</v>
      </c>
      <c r="E182" s="2">
        <v>2302.4499999999998</v>
      </c>
      <c r="F182" s="2">
        <v>0.2301</v>
      </c>
      <c r="G182" s="2">
        <v>3.2637</v>
      </c>
      <c r="H182" s="2">
        <v>5.2324999999999999</v>
      </c>
      <c r="I182" s="2">
        <v>1.1174999999999999</v>
      </c>
      <c r="J182" s="2">
        <v>7.1486000000000001</v>
      </c>
      <c r="K182" s="2">
        <v>2302.4499999999998</v>
      </c>
      <c r="L182" s="2">
        <v>0</v>
      </c>
    </row>
    <row r="183" spans="1:12" hidden="1" x14ac:dyDescent="0.35">
      <c r="A183" s="3" t="s">
        <v>194</v>
      </c>
      <c r="B183" s="1" t="str">
        <f t="shared" si="4"/>
        <v>Corumba IV</v>
      </c>
      <c r="C183" s="1">
        <f t="shared" si="5"/>
        <v>-2349</v>
      </c>
      <c r="D183" s="2">
        <v>0</v>
      </c>
      <c r="E183" s="2">
        <v>0</v>
      </c>
      <c r="F183" s="2">
        <v>0</v>
      </c>
      <c r="G183" s="2">
        <v>0.3629</v>
      </c>
      <c r="H183" s="2">
        <v>35.7774</v>
      </c>
      <c r="I183" s="2">
        <v>5.0396999999999998</v>
      </c>
      <c r="J183" s="2">
        <v>31.1006</v>
      </c>
      <c r="K183" s="2">
        <v>0</v>
      </c>
      <c r="L183" s="2">
        <v>0</v>
      </c>
    </row>
    <row r="184" spans="1:12" x14ac:dyDescent="0.35">
      <c r="A184" s="3" t="s">
        <v>195</v>
      </c>
      <c r="B184" s="1" t="str">
        <f t="shared" si="4"/>
        <v>Lago Paranoa</v>
      </c>
      <c r="C184" s="1">
        <f t="shared" si="5"/>
        <v>-2349</v>
      </c>
      <c r="D184" s="2">
        <v>0</v>
      </c>
      <c r="E184" s="2">
        <v>2302.4499999999998</v>
      </c>
      <c r="F184" s="2">
        <v>0.2019</v>
      </c>
      <c r="G184" s="2">
        <v>3.6453000000000002</v>
      </c>
      <c r="H184" s="2">
        <v>7.2066999999999997</v>
      </c>
      <c r="I184" s="2">
        <v>1.1802999999999999</v>
      </c>
      <c r="J184" s="2">
        <v>9.4697999999999993</v>
      </c>
      <c r="K184" s="2">
        <v>2302.4499999999998</v>
      </c>
      <c r="L184" s="2">
        <v>0</v>
      </c>
    </row>
    <row r="185" spans="1:12" hidden="1" x14ac:dyDescent="0.35">
      <c r="A185" s="3" t="s">
        <v>196</v>
      </c>
      <c r="B185" s="1" t="str">
        <f t="shared" si="4"/>
        <v>Corumba IV</v>
      </c>
      <c r="C185" s="1">
        <f t="shared" si="5"/>
        <v>-2348</v>
      </c>
      <c r="D185" s="2">
        <v>0</v>
      </c>
      <c r="E185" s="2">
        <v>0</v>
      </c>
      <c r="F185" s="2">
        <v>0</v>
      </c>
      <c r="G185" s="2">
        <v>0.3629</v>
      </c>
      <c r="H185" s="2">
        <v>43.230200000000004</v>
      </c>
      <c r="I185" s="2">
        <v>3.7995000000000001</v>
      </c>
      <c r="J185" s="2">
        <v>39.793599999999998</v>
      </c>
      <c r="K185" s="2">
        <v>0</v>
      </c>
      <c r="L185" s="2">
        <v>0</v>
      </c>
    </row>
    <row r="186" spans="1:12" x14ac:dyDescent="0.35">
      <c r="A186" s="3" t="s">
        <v>197</v>
      </c>
      <c r="B186" s="1" t="str">
        <f t="shared" si="4"/>
        <v>Lago Paranoa</v>
      </c>
      <c r="C186" s="1">
        <f t="shared" si="5"/>
        <v>-2348</v>
      </c>
      <c r="D186" s="2">
        <v>0</v>
      </c>
      <c r="E186" s="2">
        <v>2302.4499999999998</v>
      </c>
      <c r="F186" s="2">
        <v>0.2021</v>
      </c>
      <c r="G186" s="2">
        <v>3.1429</v>
      </c>
      <c r="H186" s="2">
        <v>7.7824</v>
      </c>
      <c r="I186" s="2">
        <v>0.8266</v>
      </c>
      <c r="J186" s="2">
        <v>9.8965999999999994</v>
      </c>
      <c r="K186" s="2">
        <v>2302.4499999999998</v>
      </c>
      <c r="L186" s="2">
        <v>0</v>
      </c>
    </row>
    <row r="187" spans="1:12" hidden="1" x14ac:dyDescent="0.35">
      <c r="A187" s="3" t="s">
        <v>198</v>
      </c>
      <c r="B187" s="1" t="str">
        <f t="shared" si="4"/>
        <v>Corumba IV</v>
      </c>
      <c r="C187" s="1">
        <f t="shared" si="5"/>
        <v>-2347</v>
      </c>
      <c r="D187" s="2">
        <v>0</v>
      </c>
      <c r="E187" s="2">
        <v>0</v>
      </c>
      <c r="F187" s="2">
        <v>0</v>
      </c>
      <c r="G187" s="2">
        <v>0.3629</v>
      </c>
      <c r="H187" s="2">
        <v>43.254399999999997</v>
      </c>
      <c r="I187" s="2">
        <v>3.5588000000000002</v>
      </c>
      <c r="J187" s="2">
        <v>40.058500000000002</v>
      </c>
      <c r="K187" s="2">
        <v>0</v>
      </c>
      <c r="L187" s="2">
        <v>0</v>
      </c>
    </row>
    <row r="188" spans="1:12" x14ac:dyDescent="0.35">
      <c r="A188" s="3" t="s">
        <v>199</v>
      </c>
      <c r="B188" s="1" t="str">
        <f t="shared" si="4"/>
        <v>Lago Paranoa</v>
      </c>
      <c r="C188" s="1">
        <f t="shared" si="5"/>
        <v>-2347</v>
      </c>
      <c r="D188" s="2">
        <v>0</v>
      </c>
      <c r="E188" s="2">
        <v>2302.4499999999998</v>
      </c>
      <c r="F188" s="2">
        <v>0.20230000000000001</v>
      </c>
      <c r="G188" s="2">
        <v>2.976</v>
      </c>
      <c r="H188" s="2">
        <v>7.8506999999999998</v>
      </c>
      <c r="I188" s="2">
        <v>0.76590000000000003</v>
      </c>
      <c r="J188" s="2">
        <v>9.8585999999999991</v>
      </c>
      <c r="K188" s="2">
        <v>2302.4499999999998</v>
      </c>
      <c r="L188" s="2">
        <v>0</v>
      </c>
    </row>
    <row r="189" spans="1:12" hidden="1" x14ac:dyDescent="0.35">
      <c r="A189" s="3" t="s">
        <v>200</v>
      </c>
      <c r="B189" s="1" t="str">
        <f t="shared" si="4"/>
        <v>Corumba IV</v>
      </c>
      <c r="C189" s="1">
        <f t="shared" si="5"/>
        <v>-2346</v>
      </c>
      <c r="D189" s="2">
        <v>0</v>
      </c>
      <c r="E189" s="2">
        <v>0</v>
      </c>
      <c r="F189" s="2">
        <v>0</v>
      </c>
      <c r="G189" s="2">
        <v>0.3629</v>
      </c>
      <c r="H189" s="2">
        <v>55.137900000000002</v>
      </c>
      <c r="I189" s="2">
        <v>3.5588000000000002</v>
      </c>
      <c r="J189" s="2">
        <v>51.942</v>
      </c>
      <c r="K189" s="2">
        <v>0</v>
      </c>
      <c r="L189" s="2">
        <v>0</v>
      </c>
    </row>
    <row r="190" spans="1:12" x14ac:dyDescent="0.35">
      <c r="A190" s="3" t="s">
        <v>201</v>
      </c>
      <c r="B190" s="1" t="str">
        <f t="shared" si="4"/>
        <v>Lago Paranoa</v>
      </c>
      <c r="C190" s="1">
        <f t="shared" si="5"/>
        <v>-2346</v>
      </c>
      <c r="D190" s="2">
        <v>0</v>
      </c>
      <c r="E190" s="2">
        <v>2302.4499999999998</v>
      </c>
      <c r="F190" s="2">
        <v>0.20250000000000001</v>
      </c>
      <c r="G190" s="2">
        <v>2.8062999999999998</v>
      </c>
      <c r="H190" s="2">
        <v>7.5278</v>
      </c>
      <c r="I190" s="2">
        <v>0.76590000000000003</v>
      </c>
      <c r="J190" s="2">
        <v>9.3658000000000001</v>
      </c>
      <c r="K190" s="2">
        <v>2302.4499999999998</v>
      </c>
      <c r="L190" s="2">
        <v>0</v>
      </c>
    </row>
    <row r="191" spans="1:12" hidden="1" x14ac:dyDescent="0.35">
      <c r="A191" s="3" t="s">
        <v>202</v>
      </c>
      <c r="B191" s="1" t="str">
        <f t="shared" si="4"/>
        <v>Corumba IV</v>
      </c>
      <c r="C191" s="1">
        <f t="shared" si="5"/>
        <v>-2345</v>
      </c>
      <c r="D191" s="2">
        <v>0</v>
      </c>
      <c r="E191" s="2">
        <v>0</v>
      </c>
      <c r="F191" s="2">
        <v>0</v>
      </c>
      <c r="G191" s="2">
        <v>0.3629</v>
      </c>
      <c r="H191" s="2">
        <v>42.4863</v>
      </c>
      <c r="I191" s="2">
        <v>4.3166000000000002</v>
      </c>
      <c r="J191" s="2">
        <v>38.532699999999998</v>
      </c>
      <c r="K191" s="2">
        <v>0</v>
      </c>
      <c r="L191" s="2">
        <v>0</v>
      </c>
    </row>
    <row r="192" spans="1:12" x14ac:dyDescent="0.35">
      <c r="A192" s="3" t="s">
        <v>203</v>
      </c>
      <c r="B192" s="1" t="str">
        <f t="shared" si="4"/>
        <v>Lago Paranoa</v>
      </c>
      <c r="C192" s="1">
        <f t="shared" si="5"/>
        <v>-2345</v>
      </c>
      <c r="D192" s="2">
        <v>0</v>
      </c>
      <c r="E192" s="2">
        <v>2302.4499999999998</v>
      </c>
      <c r="F192" s="2">
        <v>0.14349999999999999</v>
      </c>
      <c r="G192" s="2">
        <v>3.0137</v>
      </c>
      <c r="H192" s="2">
        <v>6.9122000000000003</v>
      </c>
      <c r="I192" s="2">
        <v>1.0779000000000001</v>
      </c>
      <c r="J192" s="2">
        <v>8.7044999999999995</v>
      </c>
      <c r="K192" s="2">
        <v>2302.4499999999998</v>
      </c>
      <c r="L192" s="2">
        <v>0</v>
      </c>
    </row>
    <row r="193" spans="1:12" hidden="1" x14ac:dyDescent="0.35">
      <c r="A193" s="3" t="s">
        <v>204</v>
      </c>
      <c r="B193" s="1" t="str">
        <f t="shared" si="4"/>
        <v>Corumba IV</v>
      </c>
      <c r="C193" s="1">
        <f t="shared" si="5"/>
        <v>-2344</v>
      </c>
      <c r="D193" s="2">
        <v>0</v>
      </c>
      <c r="E193" s="2">
        <v>0</v>
      </c>
      <c r="F193" s="2">
        <v>0</v>
      </c>
      <c r="G193" s="2">
        <v>0.3629</v>
      </c>
      <c r="H193" s="2">
        <v>33.098100000000002</v>
      </c>
      <c r="I193" s="2">
        <v>4.4560000000000004</v>
      </c>
      <c r="J193" s="2">
        <v>29.004999999999999</v>
      </c>
      <c r="K193" s="2">
        <v>0</v>
      </c>
      <c r="L193" s="2">
        <v>0</v>
      </c>
    </row>
    <row r="194" spans="1:12" x14ac:dyDescent="0.35">
      <c r="A194" s="3" t="s">
        <v>205</v>
      </c>
      <c r="B194" s="1" t="str">
        <f t="shared" si="4"/>
        <v>Lago Paranoa</v>
      </c>
      <c r="C194" s="1">
        <f t="shared" si="5"/>
        <v>-2344</v>
      </c>
      <c r="D194" s="2">
        <v>0</v>
      </c>
      <c r="E194" s="2">
        <v>2302.4499999999998</v>
      </c>
      <c r="F194" s="2">
        <v>0.14360000000000001</v>
      </c>
      <c r="G194" s="2">
        <v>2.9323999999999999</v>
      </c>
      <c r="H194" s="2">
        <v>6.0179999999999998</v>
      </c>
      <c r="I194" s="2">
        <v>1.2496</v>
      </c>
      <c r="J194" s="2">
        <v>7.5571999999999999</v>
      </c>
      <c r="K194" s="2">
        <v>2302.4499999999998</v>
      </c>
      <c r="L194" s="2">
        <v>0</v>
      </c>
    </row>
    <row r="195" spans="1:12" hidden="1" x14ac:dyDescent="0.35">
      <c r="A195" s="3" t="s">
        <v>206</v>
      </c>
      <c r="B195" s="1" t="str">
        <f t="shared" ref="B195:B258" si="6">_xlfn.TEXTBEFORE(_xlfn.TEXTAFTER(A195,"["),"]")</f>
        <v>Corumba IV</v>
      </c>
      <c r="C195" s="1">
        <f t="shared" ref="C195:C258" si="7">--_xlfn.TEXTBEFORE(_xlfn.TEXTAFTER(A195,"Week "),":")</f>
        <v>-2447</v>
      </c>
      <c r="D195" s="2">
        <v>0</v>
      </c>
      <c r="E195" s="2">
        <v>0</v>
      </c>
      <c r="F195" s="2">
        <v>0</v>
      </c>
      <c r="G195" s="2">
        <v>0.3629</v>
      </c>
      <c r="H195" s="2">
        <v>96.970200000000006</v>
      </c>
      <c r="I195" s="2">
        <v>4.4478</v>
      </c>
      <c r="J195" s="2">
        <v>92.885300000000001</v>
      </c>
      <c r="K195" s="2">
        <v>0</v>
      </c>
      <c r="L195" s="2">
        <v>0</v>
      </c>
    </row>
    <row r="196" spans="1:12" x14ac:dyDescent="0.35">
      <c r="A196" s="3" t="s">
        <v>207</v>
      </c>
      <c r="B196" s="1" t="str">
        <f t="shared" si="6"/>
        <v>Lago Paranoa</v>
      </c>
      <c r="C196" s="1">
        <f t="shared" si="7"/>
        <v>-2447</v>
      </c>
      <c r="D196" s="2">
        <v>0</v>
      </c>
      <c r="E196" s="2">
        <v>2302.4499999999998</v>
      </c>
      <c r="F196" s="2">
        <v>0.14380000000000001</v>
      </c>
      <c r="G196" s="2">
        <v>7.5895000000000001</v>
      </c>
      <c r="H196" s="2">
        <v>16.209199999999999</v>
      </c>
      <c r="I196" s="2">
        <v>1.0680000000000001</v>
      </c>
      <c r="J196" s="2">
        <v>22.587</v>
      </c>
      <c r="K196" s="2">
        <v>2302.4499999999998</v>
      </c>
      <c r="L196" s="2">
        <v>0</v>
      </c>
    </row>
    <row r="197" spans="1:12" hidden="1" x14ac:dyDescent="0.35">
      <c r="A197" s="3" t="s">
        <v>208</v>
      </c>
      <c r="B197" s="1" t="str">
        <f t="shared" si="6"/>
        <v>Corumba IV</v>
      </c>
      <c r="C197" s="1">
        <f t="shared" si="7"/>
        <v>-2446</v>
      </c>
      <c r="D197" s="2">
        <v>0</v>
      </c>
      <c r="E197" s="2">
        <v>0</v>
      </c>
      <c r="F197" s="2">
        <v>0</v>
      </c>
      <c r="G197" s="2">
        <v>0.3629</v>
      </c>
      <c r="H197" s="2">
        <v>104.131</v>
      </c>
      <c r="I197" s="2">
        <v>4.4478</v>
      </c>
      <c r="J197" s="2">
        <v>100.0461</v>
      </c>
      <c r="K197" s="2">
        <v>0</v>
      </c>
      <c r="L197" s="2">
        <v>0</v>
      </c>
    </row>
    <row r="198" spans="1:12" x14ac:dyDescent="0.35">
      <c r="A198" s="3" t="s">
        <v>209</v>
      </c>
      <c r="B198" s="1" t="str">
        <f t="shared" si="6"/>
        <v>Lago Paranoa</v>
      </c>
      <c r="C198" s="1">
        <f t="shared" si="7"/>
        <v>-2446</v>
      </c>
      <c r="D198" s="2">
        <v>0</v>
      </c>
      <c r="E198" s="2">
        <v>2302.4499999999998</v>
      </c>
      <c r="F198" s="2">
        <v>0.14399999999999999</v>
      </c>
      <c r="G198" s="2">
        <v>9.7179000000000002</v>
      </c>
      <c r="H198" s="2">
        <v>22.140899999999998</v>
      </c>
      <c r="I198" s="2">
        <v>1.0680000000000001</v>
      </c>
      <c r="J198" s="2">
        <v>30.646799999999999</v>
      </c>
      <c r="K198" s="2">
        <v>2302.4499999999998</v>
      </c>
      <c r="L198" s="2">
        <v>0</v>
      </c>
    </row>
    <row r="199" spans="1:12" hidden="1" x14ac:dyDescent="0.35">
      <c r="A199" s="3" t="s">
        <v>210</v>
      </c>
      <c r="B199" s="1" t="str">
        <f t="shared" si="6"/>
        <v>Corumba IV</v>
      </c>
      <c r="C199" s="1">
        <f t="shared" si="7"/>
        <v>-2445</v>
      </c>
      <c r="D199" s="2">
        <v>0</v>
      </c>
      <c r="E199" s="2">
        <v>0</v>
      </c>
      <c r="F199" s="2">
        <v>0</v>
      </c>
      <c r="G199" s="2">
        <v>0.3629</v>
      </c>
      <c r="H199" s="2">
        <v>102.7668</v>
      </c>
      <c r="I199" s="2">
        <v>4.4478</v>
      </c>
      <c r="J199" s="2">
        <v>98.681799999999996</v>
      </c>
      <c r="K199" s="2">
        <v>0</v>
      </c>
      <c r="L199" s="2">
        <v>0</v>
      </c>
    </row>
    <row r="200" spans="1:12" x14ac:dyDescent="0.35">
      <c r="A200" s="3" t="s">
        <v>211</v>
      </c>
      <c r="B200" s="1" t="str">
        <f t="shared" si="6"/>
        <v>Lago Paranoa</v>
      </c>
      <c r="C200" s="1">
        <f t="shared" si="7"/>
        <v>-2445</v>
      </c>
      <c r="D200" s="2">
        <v>0</v>
      </c>
      <c r="E200" s="2">
        <v>2302.4499999999998</v>
      </c>
      <c r="F200" s="2">
        <v>0.14419999999999999</v>
      </c>
      <c r="G200" s="2">
        <v>6.7469000000000001</v>
      </c>
      <c r="H200" s="2">
        <v>15.6637</v>
      </c>
      <c r="I200" s="2">
        <v>1.0680000000000001</v>
      </c>
      <c r="J200" s="2">
        <v>21.198499999999999</v>
      </c>
      <c r="K200" s="2">
        <v>2302.4499999999998</v>
      </c>
      <c r="L200" s="2">
        <v>0</v>
      </c>
    </row>
    <row r="201" spans="1:12" hidden="1" x14ac:dyDescent="0.35">
      <c r="A201" s="3" t="s">
        <v>212</v>
      </c>
      <c r="B201" s="1" t="str">
        <f t="shared" si="6"/>
        <v>Corumba IV</v>
      </c>
      <c r="C201" s="1">
        <f t="shared" si="7"/>
        <v>-2444</v>
      </c>
      <c r="D201" s="2">
        <v>0</v>
      </c>
      <c r="E201" s="2">
        <v>0</v>
      </c>
      <c r="F201" s="2">
        <v>0</v>
      </c>
      <c r="G201" s="2">
        <v>0.3629</v>
      </c>
      <c r="H201" s="2">
        <v>81.507999999999996</v>
      </c>
      <c r="I201" s="2">
        <v>4.4995000000000003</v>
      </c>
      <c r="J201" s="2">
        <v>77.371499999999997</v>
      </c>
      <c r="K201" s="2">
        <v>0</v>
      </c>
      <c r="L201" s="2">
        <v>0</v>
      </c>
    </row>
    <row r="202" spans="1:12" x14ac:dyDescent="0.35">
      <c r="A202" s="3" t="s">
        <v>213</v>
      </c>
      <c r="B202" s="1" t="str">
        <f t="shared" si="6"/>
        <v>Lago Paranoa</v>
      </c>
      <c r="C202" s="1">
        <f t="shared" si="7"/>
        <v>-2444</v>
      </c>
      <c r="D202" s="2">
        <v>0</v>
      </c>
      <c r="E202" s="2">
        <v>2302.4499999999998</v>
      </c>
      <c r="F202" s="2">
        <v>0.1615</v>
      </c>
      <c r="G202" s="2">
        <v>5.1837</v>
      </c>
      <c r="H202" s="2">
        <v>10.1313</v>
      </c>
      <c r="I202" s="2">
        <v>1.3028999999999999</v>
      </c>
      <c r="J202" s="2">
        <v>13.8505</v>
      </c>
      <c r="K202" s="2">
        <v>2302.4499999999998</v>
      </c>
      <c r="L202" s="2">
        <v>0</v>
      </c>
    </row>
    <row r="203" spans="1:12" hidden="1" x14ac:dyDescent="0.35">
      <c r="A203" s="3" t="s">
        <v>214</v>
      </c>
      <c r="B203" s="1" t="str">
        <f t="shared" si="6"/>
        <v>Corumba IV</v>
      </c>
      <c r="C203" s="1">
        <f t="shared" si="7"/>
        <v>-2443</v>
      </c>
      <c r="D203" s="2">
        <v>0</v>
      </c>
      <c r="E203" s="2">
        <v>0</v>
      </c>
      <c r="F203" s="2">
        <v>0</v>
      </c>
      <c r="G203" s="2">
        <v>0.3629</v>
      </c>
      <c r="H203" s="2">
        <v>89.371300000000005</v>
      </c>
      <c r="I203" s="2">
        <v>4.4995000000000003</v>
      </c>
      <c r="J203" s="2">
        <v>85.234700000000004</v>
      </c>
      <c r="K203" s="2">
        <v>0</v>
      </c>
      <c r="L203" s="2">
        <v>0</v>
      </c>
    </row>
    <row r="204" spans="1:12" x14ac:dyDescent="0.35">
      <c r="A204" s="3" t="s">
        <v>215</v>
      </c>
      <c r="B204" s="1" t="str">
        <f t="shared" si="6"/>
        <v>Lago Paranoa</v>
      </c>
      <c r="C204" s="1">
        <f t="shared" si="7"/>
        <v>-2443</v>
      </c>
      <c r="D204" s="2">
        <v>0</v>
      </c>
      <c r="E204" s="2">
        <v>2302.4499999999998</v>
      </c>
      <c r="F204" s="2">
        <v>0.15229999999999999</v>
      </c>
      <c r="G204" s="2">
        <v>4.5426000000000002</v>
      </c>
      <c r="H204" s="2">
        <v>10.479699999999999</v>
      </c>
      <c r="I204" s="2">
        <v>1.3028999999999999</v>
      </c>
      <c r="J204" s="2">
        <v>13.5671</v>
      </c>
      <c r="K204" s="2">
        <v>2302.4499999999998</v>
      </c>
      <c r="L204" s="2">
        <v>0</v>
      </c>
    </row>
    <row r="205" spans="1:12" hidden="1" x14ac:dyDescent="0.35">
      <c r="A205" s="3" t="s">
        <v>216</v>
      </c>
      <c r="B205" s="1" t="str">
        <f t="shared" si="6"/>
        <v>Corumba IV</v>
      </c>
      <c r="C205" s="1">
        <f t="shared" si="7"/>
        <v>-2442</v>
      </c>
      <c r="D205" s="2">
        <v>0</v>
      </c>
      <c r="E205" s="2">
        <v>0</v>
      </c>
      <c r="F205" s="2">
        <v>0</v>
      </c>
      <c r="G205" s="2">
        <v>0.3629</v>
      </c>
      <c r="H205" s="2">
        <v>103.02249999999999</v>
      </c>
      <c r="I205" s="2">
        <v>4.4995000000000003</v>
      </c>
      <c r="J205" s="2">
        <v>98.885900000000007</v>
      </c>
      <c r="K205" s="2">
        <v>0</v>
      </c>
      <c r="L205" s="2">
        <v>0</v>
      </c>
    </row>
    <row r="206" spans="1:12" x14ac:dyDescent="0.35">
      <c r="A206" s="3" t="s">
        <v>217</v>
      </c>
      <c r="B206" s="1" t="str">
        <f t="shared" si="6"/>
        <v>Lago Paranoa</v>
      </c>
      <c r="C206" s="1">
        <f t="shared" si="7"/>
        <v>-2442</v>
      </c>
      <c r="D206" s="2">
        <v>0</v>
      </c>
      <c r="E206" s="2">
        <v>2302.4499999999998</v>
      </c>
      <c r="F206" s="2">
        <v>0.1525</v>
      </c>
      <c r="G206" s="2">
        <v>4.3276000000000003</v>
      </c>
      <c r="H206" s="2">
        <v>10.7349</v>
      </c>
      <c r="I206" s="2">
        <v>1.3028999999999999</v>
      </c>
      <c r="J206" s="2">
        <v>13.607100000000001</v>
      </c>
      <c r="K206" s="2">
        <v>2302.4499999999998</v>
      </c>
      <c r="L206" s="2">
        <v>0</v>
      </c>
    </row>
    <row r="207" spans="1:12" hidden="1" x14ac:dyDescent="0.35">
      <c r="A207" s="3" t="s">
        <v>218</v>
      </c>
      <c r="B207" s="1" t="str">
        <f t="shared" si="6"/>
        <v>Corumba IV</v>
      </c>
      <c r="C207" s="1">
        <f t="shared" si="7"/>
        <v>-2441</v>
      </c>
      <c r="D207" s="2">
        <v>0</v>
      </c>
      <c r="E207" s="2">
        <v>0</v>
      </c>
      <c r="F207" s="2">
        <v>0</v>
      </c>
      <c r="G207" s="2">
        <v>0.3629</v>
      </c>
      <c r="H207" s="2">
        <v>92.717600000000004</v>
      </c>
      <c r="I207" s="2">
        <v>4.0724</v>
      </c>
      <c r="J207" s="2">
        <v>89.008099999999999</v>
      </c>
      <c r="K207" s="2">
        <v>0</v>
      </c>
      <c r="L207" s="2">
        <v>0</v>
      </c>
    </row>
    <row r="208" spans="1:12" x14ac:dyDescent="0.35">
      <c r="A208" s="3" t="s">
        <v>219</v>
      </c>
      <c r="B208" s="1" t="str">
        <f t="shared" si="6"/>
        <v>Lago Paranoa</v>
      </c>
      <c r="C208" s="1">
        <f t="shared" si="7"/>
        <v>-2441</v>
      </c>
      <c r="D208" s="2">
        <v>0</v>
      </c>
      <c r="E208" s="2">
        <v>2302.4499999999998</v>
      </c>
      <c r="F208" s="2">
        <v>0.1527</v>
      </c>
      <c r="G208" s="2">
        <v>4.5220000000000002</v>
      </c>
      <c r="H208" s="2">
        <v>10.767200000000001</v>
      </c>
      <c r="I208" s="2">
        <v>1.2154</v>
      </c>
      <c r="J208" s="2">
        <v>13.920999999999999</v>
      </c>
      <c r="K208" s="2">
        <v>2302.4499999999998</v>
      </c>
      <c r="L208" s="2">
        <v>0</v>
      </c>
    </row>
    <row r="209" spans="1:12" hidden="1" x14ac:dyDescent="0.35">
      <c r="A209" s="3" t="s">
        <v>220</v>
      </c>
      <c r="B209" s="1" t="str">
        <f t="shared" si="6"/>
        <v>Corumba IV</v>
      </c>
      <c r="C209" s="1">
        <f t="shared" si="7"/>
        <v>-2440</v>
      </c>
      <c r="D209" s="2">
        <v>0</v>
      </c>
      <c r="E209" s="2">
        <v>0</v>
      </c>
      <c r="F209" s="2">
        <v>0</v>
      </c>
      <c r="G209" s="2">
        <v>0.3629</v>
      </c>
      <c r="H209" s="2">
        <v>90.863399999999999</v>
      </c>
      <c r="I209" s="2">
        <v>3.0911</v>
      </c>
      <c r="J209" s="2">
        <v>88.135199999999998</v>
      </c>
      <c r="K209" s="2">
        <v>0</v>
      </c>
      <c r="L209" s="2">
        <v>0</v>
      </c>
    </row>
    <row r="210" spans="1:12" x14ac:dyDescent="0.35">
      <c r="A210" s="3" t="s">
        <v>221</v>
      </c>
      <c r="B210" s="1" t="str">
        <f t="shared" si="6"/>
        <v>Lago Paranoa</v>
      </c>
      <c r="C210" s="1">
        <f t="shared" si="7"/>
        <v>-2440</v>
      </c>
      <c r="D210" s="2">
        <v>0</v>
      </c>
      <c r="E210" s="2">
        <v>2302.4499999999998</v>
      </c>
      <c r="F210" s="2">
        <v>0.21629999999999999</v>
      </c>
      <c r="G210" s="2">
        <v>6.8874000000000004</v>
      </c>
      <c r="H210" s="2">
        <v>12.461499999999999</v>
      </c>
      <c r="I210" s="2">
        <v>1.0004</v>
      </c>
      <c r="J210" s="2">
        <v>18.132200000000001</v>
      </c>
      <c r="K210" s="2">
        <v>2302.4499999999998</v>
      </c>
      <c r="L210" s="2">
        <v>0</v>
      </c>
    </row>
    <row r="211" spans="1:12" hidden="1" x14ac:dyDescent="0.35">
      <c r="A211" s="3" t="s">
        <v>222</v>
      </c>
      <c r="B211" s="1" t="str">
        <f t="shared" si="6"/>
        <v>Corumba IV</v>
      </c>
      <c r="C211" s="1">
        <f t="shared" si="7"/>
        <v>-2439</v>
      </c>
      <c r="D211" s="2">
        <v>0</v>
      </c>
      <c r="E211" s="2">
        <v>0</v>
      </c>
      <c r="F211" s="2">
        <v>0</v>
      </c>
      <c r="G211" s="2">
        <v>0.3629</v>
      </c>
      <c r="H211" s="2">
        <v>93.045000000000002</v>
      </c>
      <c r="I211" s="2">
        <v>2.9264000000000001</v>
      </c>
      <c r="J211" s="2">
        <v>90.4816</v>
      </c>
      <c r="K211" s="2">
        <v>0</v>
      </c>
      <c r="L211" s="2">
        <v>0</v>
      </c>
    </row>
    <row r="212" spans="1:12" x14ac:dyDescent="0.35">
      <c r="A212" s="3" t="s">
        <v>223</v>
      </c>
      <c r="B212" s="1" t="str">
        <f t="shared" si="6"/>
        <v>Lago Paranoa</v>
      </c>
      <c r="C212" s="1">
        <f t="shared" si="7"/>
        <v>-2439</v>
      </c>
      <c r="D212" s="2">
        <v>0</v>
      </c>
      <c r="E212" s="2">
        <v>2302.4499999999998</v>
      </c>
      <c r="F212" s="2">
        <v>0.2165</v>
      </c>
      <c r="G212" s="2">
        <v>5.1660000000000004</v>
      </c>
      <c r="H212" s="2">
        <v>10.0022</v>
      </c>
      <c r="I212" s="2">
        <v>0.96099999999999997</v>
      </c>
      <c r="J212" s="2">
        <v>13.9907</v>
      </c>
      <c r="K212" s="2">
        <v>2302.4499999999998</v>
      </c>
      <c r="L212" s="2">
        <v>0</v>
      </c>
    </row>
    <row r="213" spans="1:12" hidden="1" x14ac:dyDescent="0.35">
      <c r="A213" s="3" t="s">
        <v>224</v>
      </c>
      <c r="B213" s="1" t="str">
        <f t="shared" si="6"/>
        <v>Corumba IV</v>
      </c>
      <c r="C213" s="1">
        <f t="shared" si="7"/>
        <v>-2438</v>
      </c>
      <c r="D213" s="2">
        <v>0</v>
      </c>
      <c r="E213" s="2">
        <v>0</v>
      </c>
      <c r="F213" s="2">
        <v>0</v>
      </c>
      <c r="G213" s="2">
        <v>0.3629</v>
      </c>
      <c r="H213" s="2">
        <v>91.635000000000005</v>
      </c>
      <c r="I213" s="2">
        <v>2.9264000000000001</v>
      </c>
      <c r="J213" s="2">
        <v>89.0715</v>
      </c>
      <c r="K213" s="2">
        <v>0</v>
      </c>
      <c r="L213" s="2">
        <v>0</v>
      </c>
    </row>
    <row r="214" spans="1:12" x14ac:dyDescent="0.35">
      <c r="A214" s="3" t="s">
        <v>225</v>
      </c>
      <c r="B214" s="1" t="str">
        <f t="shared" si="6"/>
        <v>Lago Paranoa</v>
      </c>
      <c r="C214" s="1">
        <f t="shared" si="7"/>
        <v>-2438</v>
      </c>
      <c r="D214" s="2">
        <v>0</v>
      </c>
      <c r="E214" s="2">
        <v>2302.4499999999998</v>
      </c>
      <c r="F214" s="2">
        <v>0.2167</v>
      </c>
      <c r="G214" s="2">
        <v>6.1154999999999999</v>
      </c>
      <c r="H214" s="2">
        <v>10.7027</v>
      </c>
      <c r="I214" s="2">
        <v>0.96099999999999997</v>
      </c>
      <c r="J214" s="2">
        <v>15.640499999999999</v>
      </c>
      <c r="K214" s="2">
        <v>2302.4499999999998</v>
      </c>
      <c r="L214" s="2">
        <v>0</v>
      </c>
    </row>
    <row r="215" spans="1:12" hidden="1" x14ac:dyDescent="0.35">
      <c r="A215" s="3" t="s">
        <v>226</v>
      </c>
      <c r="B215" s="1" t="str">
        <f t="shared" si="6"/>
        <v>Corumba IV</v>
      </c>
      <c r="C215" s="1">
        <f t="shared" si="7"/>
        <v>-2437</v>
      </c>
      <c r="D215" s="2">
        <v>0</v>
      </c>
      <c r="E215" s="2">
        <v>0</v>
      </c>
      <c r="F215" s="2">
        <v>0</v>
      </c>
      <c r="G215" s="2">
        <v>0.3629</v>
      </c>
      <c r="H215" s="2">
        <v>98.876999999999995</v>
      </c>
      <c r="I215" s="2">
        <v>2.9264000000000001</v>
      </c>
      <c r="J215" s="2">
        <v>96.313599999999994</v>
      </c>
      <c r="K215" s="2">
        <v>0</v>
      </c>
      <c r="L215" s="2">
        <v>0</v>
      </c>
    </row>
    <row r="216" spans="1:12" x14ac:dyDescent="0.35">
      <c r="A216" s="3" t="s">
        <v>227</v>
      </c>
      <c r="B216" s="1" t="str">
        <f t="shared" si="6"/>
        <v>Lago Paranoa</v>
      </c>
      <c r="C216" s="1">
        <f t="shared" si="7"/>
        <v>-2437</v>
      </c>
      <c r="D216" s="2">
        <v>0</v>
      </c>
      <c r="E216" s="2">
        <v>2302.4499999999998</v>
      </c>
      <c r="F216" s="2">
        <v>0.21690000000000001</v>
      </c>
      <c r="G216" s="2">
        <v>3.8323999999999998</v>
      </c>
      <c r="H216" s="2">
        <v>9.4009</v>
      </c>
      <c r="I216" s="2">
        <v>0.96099999999999997</v>
      </c>
      <c r="J216" s="2">
        <v>12.055400000000001</v>
      </c>
      <c r="K216" s="2">
        <v>2302.4499999999998</v>
      </c>
      <c r="L216" s="2">
        <v>0</v>
      </c>
    </row>
    <row r="217" spans="1:12" hidden="1" x14ac:dyDescent="0.35">
      <c r="A217" s="3" t="s">
        <v>228</v>
      </c>
      <c r="B217" s="1" t="str">
        <f t="shared" si="6"/>
        <v>Corumba IV</v>
      </c>
      <c r="C217" s="1">
        <f t="shared" si="7"/>
        <v>-2436</v>
      </c>
      <c r="D217" s="2">
        <v>0</v>
      </c>
      <c r="E217" s="2">
        <v>0</v>
      </c>
      <c r="F217" s="2">
        <v>0</v>
      </c>
      <c r="G217" s="2">
        <v>0.3629</v>
      </c>
      <c r="H217" s="2">
        <v>94.576899999999995</v>
      </c>
      <c r="I217" s="2">
        <v>3.0880999999999998</v>
      </c>
      <c r="J217" s="2">
        <v>91.851699999999994</v>
      </c>
      <c r="K217" s="2">
        <v>0</v>
      </c>
      <c r="L217" s="2">
        <v>0</v>
      </c>
    </row>
    <row r="218" spans="1:12" x14ac:dyDescent="0.35">
      <c r="A218" s="3" t="s">
        <v>229</v>
      </c>
      <c r="B218" s="1" t="str">
        <f t="shared" si="6"/>
        <v>Lago Paranoa</v>
      </c>
      <c r="C218" s="1">
        <f t="shared" si="7"/>
        <v>-2436</v>
      </c>
      <c r="D218" s="2">
        <v>0</v>
      </c>
      <c r="E218" s="2">
        <v>2302.4499999999998</v>
      </c>
      <c r="F218" s="2">
        <v>0.1318</v>
      </c>
      <c r="G218" s="2">
        <v>4.6235999999999997</v>
      </c>
      <c r="H218" s="2">
        <v>11.0175</v>
      </c>
      <c r="I218" s="2">
        <v>0.95650000000000002</v>
      </c>
      <c r="J218" s="2">
        <v>14.5527</v>
      </c>
      <c r="K218" s="2">
        <v>2302.4499999999998</v>
      </c>
      <c r="L218" s="2">
        <v>0</v>
      </c>
    </row>
    <row r="219" spans="1:12" hidden="1" x14ac:dyDescent="0.35">
      <c r="A219" s="3" t="s">
        <v>230</v>
      </c>
      <c r="B219" s="1" t="str">
        <f t="shared" si="6"/>
        <v>Corumba IV</v>
      </c>
      <c r="C219" s="1">
        <f t="shared" si="7"/>
        <v>-2435</v>
      </c>
      <c r="D219" s="2">
        <v>0</v>
      </c>
      <c r="E219" s="2">
        <v>0</v>
      </c>
      <c r="F219" s="2">
        <v>0</v>
      </c>
      <c r="G219" s="2">
        <v>0.3629</v>
      </c>
      <c r="H219" s="2">
        <v>104.2684</v>
      </c>
      <c r="I219" s="2">
        <v>2.7858999999999998</v>
      </c>
      <c r="J219" s="2">
        <v>101.8454</v>
      </c>
      <c r="K219" s="2">
        <v>0</v>
      </c>
      <c r="L219" s="2">
        <v>0</v>
      </c>
    </row>
    <row r="220" spans="1:12" x14ac:dyDescent="0.35">
      <c r="A220" s="3" t="s">
        <v>231</v>
      </c>
      <c r="B220" s="1" t="str">
        <f t="shared" si="6"/>
        <v>Lago Paranoa</v>
      </c>
      <c r="C220" s="1">
        <f t="shared" si="7"/>
        <v>-2435</v>
      </c>
      <c r="D220" s="2">
        <v>0</v>
      </c>
      <c r="E220" s="2">
        <v>2302.4499999999998</v>
      </c>
      <c r="F220" s="2">
        <v>0.13200000000000001</v>
      </c>
      <c r="G220" s="2">
        <v>5.9408000000000003</v>
      </c>
      <c r="H220" s="2">
        <v>12.3368</v>
      </c>
      <c r="I220" s="2">
        <v>0.83989999999999998</v>
      </c>
      <c r="J220" s="2">
        <v>17.305599999999998</v>
      </c>
      <c r="K220" s="2">
        <v>2302.4499999999998</v>
      </c>
      <c r="L220" s="2">
        <v>0</v>
      </c>
    </row>
    <row r="221" spans="1:12" hidden="1" x14ac:dyDescent="0.35">
      <c r="A221" s="3" t="s">
        <v>232</v>
      </c>
      <c r="B221" s="1" t="str">
        <f t="shared" si="6"/>
        <v>Corumba IV</v>
      </c>
      <c r="C221" s="1">
        <f t="shared" si="7"/>
        <v>-2434</v>
      </c>
      <c r="D221" s="2">
        <v>0</v>
      </c>
      <c r="E221" s="2">
        <v>0</v>
      </c>
      <c r="F221" s="2">
        <v>0</v>
      </c>
      <c r="G221" s="2">
        <v>0.3629</v>
      </c>
      <c r="H221" s="2">
        <v>172.9512</v>
      </c>
      <c r="I221" s="2">
        <v>2.7858999999999998</v>
      </c>
      <c r="J221" s="2">
        <v>170.5282</v>
      </c>
      <c r="K221" s="2">
        <v>0</v>
      </c>
      <c r="L221" s="2">
        <v>0</v>
      </c>
    </row>
    <row r="222" spans="1:12" x14ac:dyDescent="0.35">
      <c r="A222" s="3" t="s">
        <v>233</v>
      </c>
      <c r="B222" s="1" t="str">
        <f t="shared" si="6"/>
        <v>Lago Paranoa</v>
      </c>
      <c r="C222" s="1">
        <f t="shared" si="7"/>
        <v>-2434</v>
      </c>
      <c r="D222" s="2">
        <v>0</v>
      </c>
      <c r="E222" s="2">
        <v>2302.4499999999998</v>
      </c>
      <c r="F222" s="2">
        <v>0.13220000000000001</v>
      </c>
      <c r="G222" s="2">
        <v>8.5541999999999998</v>
      </c>
      <c r="H222" s="2">
        <v>17.655100000000001</v>
      </c>
      <c r="I222" s="2">
        <v>0.83989999999999998</v>
      </c>
      <c r="J222" s="2">
        <v>25.237200000000001</v>
      </c>
      <c r="K222" s="2">
        <v>2302.4499999999998</v>
      </c>
      <c r="L222" s="2">
        <v>0</v>
      </c>
    </row>
    <row r="223" spans="1:12" hidden="1" x14ac:dyDescent="0.35">
      <c r="A223" s="3" t="s">
        <v>234</v>
      </c>
      <c r="B223" s="1" t="str">
        <f t="shared" si="6"/>
        <v>Corumba IV</v>
      </c>
      <c r="C223" s="1">
        <f t="shared" si="7"/>
        <v>-2433</v>
      </c>
      <c r="D223" s="2">
        <v>0</v>
      </c>
      <c r="E223" s="2">
        <v>0</v>
      </c>
      <c r="F223" s="2">
        <v>0</v>
      </c>
      <c r="G223" s="2">
        <v>2.6907999999999999</v>
      </c>
      <c r="H223" s="2">
        <v>201.2636</v>
      </c>
      <c r="I223" s="2">
        <v>2.7858999999999998</v>
      </c>
      <c r="J223" s="2">
        <v>201.1686</v>
      </c>
      <c r="K223" s="2">
        <v>0</v>
      </c>
      <c r="L223" s="2">
        <v>0</v>
      </c>
    </row>
    <row r="224" spans="1:12" x14ac:dyDescent="0.35">
      <c r="A224" s="3" t="s">
        <v>235</v>
      </c>
      <c r="B224" s="1" t="str">
        <f t="shared" si="6"/>
        <v>Lago Paranoa</v>
      </c>
      <c r="C224" s="1">
        <f t="shared" si="7"/>
        <v>-2433</v>
      </c>
      <c r="D224" s="2">
        <v>0</v>
      </c>
      <c r="E224" s="2">
        <v>2302.4499999999998</v>
      </c>
      <c r="F224" s="2">
        <v>0.13239999999999999</v>
      </c>
      <c r="G224" s="2">
        <v>8.3141999999999996</v>
      </c>
      <c r="H224" s="2">
        <v>22.033200000000001</v>
      </c>
      <c r="I224" s="2">
        <v>0.83989999999999998</v>
      </c>
      <c r="J224" s="2">
        <v>29.3751</v>
      </c>
      <c r="K224" s="2">
        <v>2302.4499999999998</v>
      </c>
      <c r="L224" s="2">
        <v>0</v>
      </c>
    </row>
    <row r="225" spans="1:12" hidden="1" x14ac:dyDescent="0.35">
      <c r="A225" s="3" t="s">
        <v>236</v>
      </c>
      <c r="B225" s="1" t="str">
        <f t="shared" si="6"/>
        <v>Corumba IV</v>
      </c>
      <c r="C225" s="1">
        <f t="shared" si="7"/>
        <v>-2432</v>
      </c>
      <c r="D225" s="2">
        <v>0</v>
      </c>
      <c r="E225" s="2">
        <v>0</v>
      </c>
      <c r="F225" s="2">
        <v>0</v>
      </c>
      <c r="G225" s="2">
        <v>4.6295999999999999</v>
      </c>
      <c r="H225" s="2">
        <v>262.09269999999998</v>
      </c>
      <c r="I225" s="2">
        <v>2.3559000000000001</v>
      </c>
      <c r="J225" s="2">
        <v>264.3664</v>
      </c>
      <c r="K225" s="2">
        <v>0</v>
      </c>
      <c r="L225" s="2">
        <v>0</v>
      </c>
    </row>
    <row r="226" spans="1:12" x14ac:dyDescent="0.35">
      <c r="A226" s="3" t="s">
        <v>237</v>
      </c>
      <c r="B226" s="1" t="str">
        <f t="shared" si="6"/>
        <v>Lago Paranoa</v>
      </c>
      <c r="C226" s="1">
        <f t="shared" si="7"/>
        <v>-2432</v>
      </c>
      <c r="D226" s="2">
        <v>0</v>
      </c>
      <c r="E226" s="2">
        <v>2302.4499999999998</v>
      </c>
      <c r="F226" s="2">
        <v>0.13250000000000001</v>
      </c>
      <c r="G226" s="2">
        <v>8.1984999999999992</v>
      </c>
      <c r="H226" s="2">
        <v>23.909700000000001</v>
      </c>
      <c r="I226" s="2">
        <v>0.74329999999999996</v>
      </c>
      <c r="J226" s="2">
        <v>31.232399999999998</v>
      </c>
      <c r="K226" s="2">
        <v>2302.4499999999998</v>
      </c>
      <c r="L226" s="2">
        <v>0</v>
      </c>
    </row>
    <row r="227" spans="1:12" hidden="1" x14ac:dyDescent="0.35">
      <c r="A227" s="3" t="s">
        <v>238</v>
      </c>
      <c r="B227" s="1" t="str">
        <f t="shared" si="6"/>
        <v>Corumba IV</v>
      </c>
      <c r="C227" s="1">
        <f t="shared" si="7"/>
        <v>-2431</v>
      </c>
      <c r="D227" s="2">
        <v>0</v>
      </c>
      <c r="E227" s="2">
        <v>0</v>
      </c>
      <c r="F227" s="2">
        <v>0</v>
      </c>
      <c r="G227" s="2">
        <v>3.3624999999999998</v>
      </c>
      <c r="H227" s="2">
        <v>183.3468</v>
      </c>
      <c r="I227" s="2">
        <v>2.5015999999999998</v>
      </c>
      <c r="J227" s="2">
        <v>184.20769999999999</v>
      </c>
      <c r="K227" s="2">
        <v>0</v>
      </c>
      <c r="L227" s="2">
        <v>0</v>
      </c>
    </row>
    <row r="228" spans="1:12" x14ac:dyDescent="0.35">
      <c r="A228" s="3" t="s">
        <v>239</v>
      </c>
      <c r="B228" s="1" t="str">
        <f t="shared" si="6"/>
        <v>Lago Paranoa</v>
      </c>
      <c r="C228" s="1">
        <f t="shared" si="7"/>
        <v>-2431</v>
      </c>
      <c r="D228" s="2">
        <v>0</v>
      </c>
      <c r="E228" s="2">
        <v>2302.4499999999998</v>
      </c>
      <c r="F228" s="2">
        <v>0.15359999999999999</v>
      </c>
      <c r="G228" s="2">
        <v>7.4302999999999999</v>
      </c>
      <c r="H228" s="2">
        <v>14.837</v>
      </c>
      <c r="I228" s="2">
        <v>0.67710000000000004</v>
      </c>
      <c r="J228" s="2">
        <v>21.436599999999999</v>
      </c>
      <c r="K228" s="2">
        <v>2302.4499999999998</v>
      </c>
      <c r="L228" s="2">
        <v>0</v>
      </c>
    </row>
    <row r="229" spans="1:12" hidden="1" x14ac:dyDescent="0.35">
      <c r="A229" s="3" t="s">
        <v>240</v>
      </c>
      <c r="B229" s="1" t="str">
        <f t="shared" si="6"/>
        <v>Corumba IV</v>
      </c>
      <c r="C229" s="1">
        <f t="shared" si="7"/>
        <v>-2430</v>
      </c>
      <c r="D229" s="2">
        <v>0</v>
      </c>
      <c r="E229" s="2">
        <v>0</v>
      </c>
      <c r="F229" s="2">
        <v>0</v>
      </c>
      <c r="G229" s="2">
        <v>3.67</v>
      </c>
      <c r="H229" s="2">
        <v>188.5257</v>
      </c>
      <c r="I229" s="2">
        <v>2.5015999999999998</v>
      </c>
      <c r="J229" s="2">
        <v>189.69399999999999</v>
      </c>
      <c r="K229" s="2">
        <v>0</v>
      </c>
      <c r="L229" s="2">
        <v>0</v>
      </c>
    </row>
    <row r="230" spans="1:12" x14ac:dyDescent="0.35">
      <c r="A230" s="3" t="s">
        <v>241</v>
      </c>
      <c r="B230" s="1" t="str">
        <f t="shared" si="6"/>
        <v>Lago Paranoa</v>
      </c>
      <c r="C230" s="1">
        <f t="shared" si="7"/>
        <v>-2430</v>
      </c>
      <c r="D230" s="2">
        <v>0</v>
      </c>
      <c r="E230" s="2">
        <v>2302.4499999999998</v>
      </c>
      <c r="F230" s="2">
        <v>0.15379999999999999</v>
      </c>
      <c r="G230" s="2">
        <v>7.5388999999999999</v>
      </c>
      <c r="H230" s="2">
        <v>15.989000000000001</v>
      </c>
      <c r="I230" s="2">
        <v>0.67710000000000004</v>
      </c>
      <c r="J230" s="2">
        <v>22.697099999999999</v>
      </c>
      <c r="K230" s="2">
        <v>2302.4499999999998</v>
      </c>
      <c r="L230" s="2">
        <v>0</v>
      </c>
    </row>
    <row r="231" spans="1:12" hidden="1" x14ac:dyDescent="0.35">
      <c r="A231" s="3" t="s">
        <v>242</v>
      </c>
      <c r="B231" s="1" t="str">
        <f t="shared" si="6"/>
        <v>Corumba IV</v>
      </c>
      <c r="C231" s="1">
        <f t="shared" si="7"/>
        <v>-2429</v>
      </c>
      <c r="D231" s="2">
        <v>0</v>
      </c>
      <c r="E231" s="2">
        <v>0</v>
      </c>
      <c r="F231" s="2">
        <v>0</v>
      </c>
      <c r="G231" s="2">
        <v>2.7852000000000001</v>
      </c>
      <c r="H231" s="2">
        <v>158.17850000000001</v>
      </c>
      <c r="I231" s="2">
        <v>2.5015999999999998</v>
      </c>
      <c r="J231" s="2">
        <v>158.46209999999999</v>
      </c>
      <c r="K231" s="2">
        <v>0</v>
      </c>
      <c r="L231" s="2">
        <v>0</v>
      </c>
    </row>
    <row r="232" spans="1:12" x14ac:dyDescent="0.35">
      <c r="A232" s="3" t="s">
        <v>243</v>
      </c>
      <c r="B232" s="1" t="str">
        <f t="shared" si="6"/>
        <v>Lago Paranoa</v>
      </c>
      <c r="C232" s="1">
        <f t="shared" si="7"/>
        <v>-2429</v>
      </c>
      <c r="D232" s="2">
        <v>0</v>
      </c>
      <c r="E232" s="2">
        <v>2302.4499999999998</v>
      </c>
      <c r="F232" s="2">
        <v>0.154</v>
      </c>
      <c r="G232" s="2">
        <v>7.4318999999999997</v>
      </c>
      <c r="H232" s="2">
        <v>15.411</v>
      </c>
      <c r="I232" s="2">
        <v>0.67710000000000004</v>
      </c>
      <c r="J232" s="2">
        <v>22.011900000000001</v>
      </c>
      <c r="K232" s="2">
        <v>2302.4499999999998</v>
      </c>
      <c r="L232" s="2">
        <v>0</v>
      </c>
    </row>
    <row r="233" spans="1:12" hidden="1" x14ac:dyDescent="0.35">
      <c r="A233" s="3" t="s">
        <v>244</v>
      </c>
      <c r="B233" s="1" t="str">
        <f t="shared" si="6"/>
        <v>Corumba IV</v>
      </c>
      <c r="C233" s="1">
        <f t="shared" si="7"/>
        <v>-2428</v>
      </c>
      <c r="D233" s="2">
        <v>0</v>
      </c>
      <c r="E233" s="2">
        <v>0</v>
      </c>
      <c r="F233" s="2">
        <v>0</v>
      </c>
      <c r="G233" s="2">
        <v>2.4874999999999998</v>
      </c>
      <c r="H233" s="2">
        <v>126.1544</v>
      </c>
      <c r="I233" s="2">
        <v>2.8506</v>
      </c>
      <c r="J233" s="2">
        <v>125.7912</v>
      </c>
      <c r="K233" s="2">
        <v>0</v>
      </c>
      <c r="L233" s="2">
        <v>0</v>
      </c>
    </row>
    <row r="234" spans="1:12" x14ac:dyDescent="0.35">
      <c r="A234" s="3" t="s">
        <v>245</v>
      </c>
      <c r="B234" s="1" t="str">
        <f t="shared" si="6"/>
        <v>Lago Paranoa</v>
      </c>
      <c r="C234" s="1">
        <f t="shared" si="7"/>
        <v>-2428</v>
      </c>
      <c r="D234" s="2">
        <v>0</v>
      </c>
      <c r="E234" s="2">
        <v>2302.4499999999998</v>
      </c>
      <c r="F234" s="2">
        <v>0.15409999999999999</v>
      </c>
      <c r="G234" s="2">
        <v>6.4691000000000001</v>
      </c>
      <c r="H234" s="2">
        <v>12.9253</v>
      </c>
      <c r="I234" s="2">
        <v>0.74580000000000002</v>
      </c>
      <c r="J234" s="2">
        <v>18.494399999999999</v>
      </c>
      <c r="K234" s="2">
        <v>2302.4499999999998</v>
      </c>
      <c r="L234" s="2">
        <v>0</v>
      </c>
    </row>
    <row r="235" spans="1:12" hidden="1" x14ac:dyDescent="0.35">
      <c r="A235" s="3" t="s">
        <v>246</v>
      </c>
      <c r="B235" s="1" t="str">
        <f t="shared" si="6"/>
        <v>Corumba IV</v>
      </c>
      <c r="C235" s="1">
        <f t="shared" si="7"/>
        <v>-2427</v>
      </c>
      <c r="D235" s="2">
        <v>0</v>
      </c>
      <c r="E235" s="2">
        <v>0</v>
      </c>
      <c r="F235" s="2">
        <v>0</v>
      </c>
      <c r="G235" s="2">
        <v>1.8727</v>
      </c>
      <c r="H235" s="2">
        <v>116.18380000000001</v>
      </c>
      <c r="I235" s="2">
        <v>4.0179999999999998</v>
      </c>
      <c r="J235" s="2">
        <v>114.0385</v>
      </c>
      <c r="K235" s="2">
        <v>0</v>
      </c>
      <c r="L235" s="2">
        <v>0</v>
      </c>
    </row>
    <row r="236" spans="1:12" x14ac:dyDescent="0.35">
      <c r="A236" s="3" t="s">
        <v>247</v>
      </c>
      <c r="B236" s="1" t="str">
        <f t="shared" si="6"/>
        <v>Lago Paranoa</v>
      </c>
      <c r="C236" s="1">
        <f t="shared" si="7"/>
        <v>-2427</v>
      </c>
      <c r="D236" s="2">
        <v>0</v>
      </c>
      <c r="E236" s="2">
        <v>2302.4499999999998</v>
      </c>
      <c r="F236" s="2">
        <v>0.1462</v>
      </c>
      <c r="G236" s="2">
        <v>5.9478</v>
      </c>
      <c r="H236" s="2">
        <v>11.977</v>
      </c>
      <c r="I236" s="2">
        <v>0.93179999999999996</v>
      </c>
      <c r="J236" s="2">
        <v>16.846900000000002</v>
      </c>
      <c r="K236" s="2">
        <v>2302.4499999999998</v>
      </c>
      <c r="L236" s="2">
        <v>0</v>
      </c>
    </row>
    <row r="237" spans="1:12" hidden="1" x14ac:dyDescent="0.35">
      <c r="A237" s="3" t="s">
        <v>248</v>
      </c>
      <c r="B237" s="1" t="str">
        <f t="shared" si="6"/>
        <v>Corumba IV</v>
      </c>
      <c r="C237" s="1">
        <f t="shared" si="7"/>
        <v>-2426</v>
      </c>
      <c r="D237" s="2">
        <v>0</v>
      </c>
      <c r="E237" s="2">
        <v>0</v>
      </c>
      <c r="F237" s="2">
        <v>0</v>
      </c>
      <c r="G237" s="2">
        <v>1.7775000000000001</v>
      </c>
      <c r="H237" s="2">
        <v>107.3866</v>
      </c>
      <c r="I237" s="2">
        <v>4.3639999999999999</v>
      </c>
      <c r="J237" s="2">
        <v>104.8001</v>
      </c>
      <c r="K237" s="2">
        <v>0</v>
      </c>
      <c r="L237" s="2">
        <v>0</v>
      </c>
    </row>
    <row r="238" spans="1:12" x14ac:dyDescent="0.35">
      <c r="A238" s="3" t="s">
        <v>249</v>
      </c>
      <c r="B238" s="1" t="str">
        <f t="shared" si="6"/>
        <v>Lago Paranoa</v>
      </c>
      <c r="C238" s="1">
        <f t="shared" si="7"/>
        <v>-2426</v>
      </c>
      <c r="D238" s="2">
        <v>0</v>
      </c>
      <c r="E238" s="2">
        <v>2302.4499999999998</v>
      </c>
      <c r="F238" s="2">
        <v>0.1464</v>
      </c>
      <c r="G238" s="2">
        <v>4.5456000000000003</v>
      </c>
      <c r="H238" s="2">
        <v>11.4276</v>
      </c>
      <c r="I238" s="2">
        <v>0.95240000000000002</v>
      </c>
      <c r="J238" s="2">
        <v>14.8744</v>
      </c>
      <c r="K238" s="2">
        <v>2302.4499999999998</v>
      </c>
      <c r="L238" s="2">
        <v>0</v>
      </c>
    </row>
    <row r="239" spans="1:12" hidden="1" x14ac:dyDescent="0.35">
      <c r="A239" s="3" t="s">
        <v>250</v>
      </c>
      <c r="B239" s="1" t="str">
        <f t="shared" si="6"/>
        <v>Corumba IV</v>
      </c>
      <c r="C239" s="1">
        <f t="shared" si="7"/>
        <v>-2425</v>
      </c>
      <c r="D239" s="2">
        <v>0</v>
      </c>
      <c r="E239" s="2">
        <v>0</v>
      </c>
      <c r="F239" s="2">
        <v>0</v>
      </c>
      <c r="G239" s="2">
        <v>1.5686</v>
      </c>
      <c r="H239" s="2">
        <v>104.14400000000001</v>
      </c>
      <c r="I239" s="2">
        <v>4.4217000000000004</v>
      </c>
      <c r="J239" s="2">
        <v>101.29089999999999</v>
      </c>
      <c r="K239" s="2">
        <v>0</v>
      </c>
      <c r="L239" s="2">
        <v>0</v>
      </c>
    </row>
    <row r="240" spans="1:12" x14ac:dyDescent="0.35">
      <c r="A240" s="3" t="s">
        <v>251</v>
      </c>
      <c r="B240" s="1" t="str">
        <f t="shared" si="6"/>
        <v>Lago Paranoa</v>
      </c>
      <c r="C240" s="1">
        <f t="shared" si="7"/>
        <v>-2425</v>
      </c>
      <c r="D240" s="2">
        <v>0</v>
      </c>
      <c r="E240" s="2">
        <v>2302.4499999999998</v>
      </c>
      <c r="F240" s="2">
        <v>0.14649999999999999</v>
      </c>
      <c r="G240" s="2">
        <v>4.1962000000000002</v>
      </c>
      <c r="H240" s="2">
        <v>11.510199999999999</v>
      </c>
      <c r="I240" s="2">
        <v>0.95589999999999997</v>
      </c>
      <c r="J240" s="2">
        <v>14.603999999999999</v>
      </c>
      <c r="K240" s="2">
        <v>2302.4499999999998</v>
      </c>
      <c r="L240" s="2">
        <v>0</v>
      </c>
    </row>
    <row r="241" spans="1:12" hidden="1" x14ac:dyDescent="0.35">
      <c r="A241" s="3" t="s">
        <v>252</v>
      </c>
      <c r="B241" s="1" t="str">
        <f t="shared" si="6"/>
        <v>Corumba IV</v>
      </c>
      <c r="C241" s="1">
        <f t="shared" si="7"/>
        <v>-2424</v>
      </c>
      <c r="D241" s="2">
        <v>0</v>
      </c>
      <c r="E241" s="2">
        <v>0</v>
      </c>
      <c r="F241" s="2">
        <v>0</v>
      </c>
      <c r="G241" s="2">
        <v>1.0144</v>
      </c>
      <c r="H241" s="2">
        <v>89.803299999999993</v>
      </c>
      <c r="I241" s="2">
        <v>4.4217000000000004</v>
      </c>
      <c r="J241" s="2">
        <v>86.396000000000001</v>
      </c>
      <c r="K241" s="2">
        <v>0</v>
      </c>
      <c r="L241" s="2">
        <v>0</v>
      </c>
    </row>
    <row r="242" spans="1:12" x14ac:dyDescent="0.35">
      <c r="A242" s="3" t="s">
        <v>253</v>
      </c>
      <c r="B242" s="1" t="str">
        <f t="shared" si="6"/>
        <v>Lago Paranoa</v>
      </c>
      <c r="C242" s="1">
        <f t="shared" si="7"/>
        <v>-2424</v>
      </c>
      <c r="D242" s="2">
        <v>0</v>
      </c>
      <c r="E242" s="2">
        <v>2302.4499999999998</v>
      </c>
      <c r="F242" s="2">
        <v>0.1467</v>
      </c>
      <c r="G242" s="2">
        <v>3.9148999999999998</v>
      </c>
      <c r="H242" s="2">
        <v>9.8996999999999993</v>
      </c>
      <c r="I242" s="2">
        <v>0.95589999999999997</v>
      </c>
      <c r="J242" s="2">
        <v>12.712</v>
      </c>
      <c r="K242" s="2">
        <v>2302.4499999999998</v>
      </c>
      <c r="L242" s="2">
        <v>0</v>
      </c>
    </row>
    <row r="243" spans="1:12" hidden="1" x14ac:dyDescent="0.35">
      <c r="A243" s="3" t="s">
        <v>254</v>
      </c>
      <c r="B243" s="1" t="str">
        <f t="shared" si="6"/>
        <v>Corumba IV</v>
      </c>
      <c r="C243" s="1">
        <f t="shared" si="7"/>
        <v>-2423</v>
      </c>
      <c r="D243" s="2">
        <v>0</v>
      </c>
      <c r="E243" s="2">
        <v>0</v>
      </c>
      <c r="F243" s="2">
        <v>0</v>
      </c>
      <c r="G243" s="2">
        <v>0.67290000000000005</v>
      </c>
      <c r="H243" s="2">
        <v>78.701800000000006</v>
      </c>
      <c r="I243" s="2">
        <v>4.4249999999999998</v>
      </c>
      <c r="J243" s="2">
        <v>74.949799999999996</v>
      </c>
      <c r="K243" s="2">
        <v>0</v>
      </c>
      <c r="L243" s="2">
        <v>0</v>
      </c>
    </row>
    <row r="244" spans="1:12" x14ac:dyDescent="0.35">
      <c r="A244" s="3" t="s">
        <v>255</v>
      </c>
      <c r="B244" s="1" t="str">
        <f t="shared" si="6"/>
        <v>Lago Paranoa</v>
      </c>
      <c r="C244" s="1">
        <f t="shared" si="7"/>
        <v>-2423</v>
      </c>
      <c r="D244" s="2">
        <v>0</v>
      </c>
      <c r="E244" s="2">
        <v>2302.4499999999998</v>
      </c>
      <c r="F244" s="2">
        <v>0.1757</v>
      </c>
      <c r="G244" s="2">
        <v>3.8449</v>
      </c>
      <c r="H244" s="2">
        <v>8.8605</v>
      </c>
      <c r="I244" s="2">
        <v>1.0043</v>
      </c>
      <c r="J244" s="2">
        <v>11.525399999999999</v>
      </c>
      <c r="K244" s="2">
        <v>2302.4499999999998</v>
      </c>
      <c r="L244" s="2">
        <v>0</v>
      </c>
    </row>
    <row r="245" spans="1:12" hidden="1" x14ac:dyDescent="0.35">
      <c r="A245" s="3" t="s">
        <v>256</v>
      </c>
      <c r="B245" s="1" t="str">
        <f t="shared" si="6"/>
        <v>Corumba IV</v>
      </c>
      <c r="C245" s="1">
        <f t="shared" si="7"/>
        <v>-2422</v>
      </c>
      <c r="D245" s="2">
        <v>0</v>
      </c>
      <c r="E245" s="2">
        <v>0</v>
      </c>
      <c r="F245" s="2">
        <v>0</v>
      </c>
      <c r="G245" s="2">
        <v>0.49890000000000001</v>
      </c>
      <c r="H245" s="2">
        <v>75.911900000000003</v>
      </c>
      <c r="I245" s="2">
        <v>4.5488</v>
      </c>
      <c r="J245" s="2">
        <v>71.861999999999995</v>
      </c>
      <c r="K245" s="2">
        <v>0</v>
      </c>
      <c r="L245" s="2">
        <v>0</v>
      </c>
    </row>
    <row r="246" spans="1:12" x14ac:dyDescent="0.35">
      <c r="A246" s="3" t="s">
        <v>257</v>
      </c>
      <c r="B246" s="1" t="str">
        <f t="shared" si="6"/>
        <v>Lago Paranoa</v>
      </c>
      <c r="C246" s="1">
        <f t="shared" si="7"/>
        <v>-2422</v>
      </c>
      <c r="D246" s="2">
        <v>0</v>
      </c>
      <c r="E246" s="2">
        <v>2302.4499999999998</v>
      </c>
      <c r="F246" s="2">
        <v>0.1759</v>
      </c>
      <c r="G246" s="2">
        <v>3.5792000000000002</v>
      </c>
      <c r="H246" s="2">
        <v>8.5274000000000001</v>
      </c>
      <c r="I246" s="2">
        <v>0.99729999999999996</v>
      </c>
      <c r="J246" s="2">
        <v>10.933400000000001</v>
      </c>
      <c r="K246" s="2">
        <v>2302.4499999999998</v>
      </c>
      <c r="L246" s="2">
        <v>0</v>
      </c>
    </row>
    <row r="247" spans="1:12" hidden="1" x14ac:dyDescent="0.35">
      <c r="A247" s="3" t="s">
        <v>258</v>
      </c>
      <c r="B247" s="1" t="str">
        <f t="shared" si="6"/>
        <v>Corumba IV</v>
      </c>
      <c r="C247" s="1">
        <f t="shared" si="7"/>
        <v>-2421</v>
      </c>
      <c r="D247" s="2">
        <v>0</v>
      </c>
      <c r="E247" s="2">
        <v>0</v>
      </c>
      <c r="F247" s="2">
        <v>0</v>
      </c>
      <c r="G247" s="2">
        <v>0.3629</v>
      </c>
      <c r="H247" s="2">
        <v>71.130499999999998</v>
      </c>
      <c r="I247" s="2">
        <v>4.5690999999999997</v>
      </c>
      <c r="J247" s="2">
        <v>66.924300000000002</v>
      </c>
      <c r="K247" s="2">
        <v>0</v>
      </c>
      <c r="L247" s="2">
        <v>0</v>
      </c>
    </row>
    <row r="248" spans="1:12" x14ac:dyDescent="0.35">
      <c r="A248" s="3" t="s">
        <v>259</v>
      </c>
      <c r="B248" s="1" t="str">
        <f t="shared" si="6"/>
        <v>Lago Paranoa</v>
      </c>
      <c r="C248" s="1">
        <f t="shared" si="7"/>
        <v>-2421</v>
      </c>
      <c r="D248" s="2">
        <v>0</v>
      </c>
      <c r="E248" s="2">
        <v>2302.4499999999998</v>
      </c>
      <c r="F248" s="2">
        <v>0.17610000000000001</v>
      </c>
      <c r="G248" s="2">
        <v>3.4140000000000001</v>
      </c>
      <c r="H248" s="2">
        <v>7.8371000000000004</v>
      </c>
      <c r="I248" s="2">
        <v>0.99009999999999998</v>
      </c>
      <c r="J248" s="2">
        <v>10.0848</v>
      </c>
      <c r="K248" s="2">
        <v>2302.4499999999998</v>
      </c>
      <c r="L248" s="2">
        <v>0</v>
      </c>
    </row>
    <row r="249" spans="1:12" hidden="1" x14ac:dyDescent="0.35">
      <c r="A249" s="3" t="s">
        <v>260</v>
      </c>
      <c r="B249" s="1" t="str">
        <f t="shared" si="6"/>
        <v>Corumba IV</v>
      </c>
      <c r="C249" s="1">
        <f t="shared" si="7"/>
        <v>-2420</v>
      </c>
      <c r="D249" s="2">
        <v>0</v>
      </c>
      <c r="E249" s="2">
        <v>0</v>
      </c>
      <c r="F249" s="2">
        <v>0</v>
      </c>
      <c r="G249" s="2">
        <v>0.3629</v>
      </c>
      <c r="H249" s="2">
        <v>60.2087</v>
      </c>
      <c r="I249" s="2">
        <v>4.5690999999999997</v>
      </c>
      <c r="J249" s="2">
        <v>56.002499999999998</v>
      </c>
      <c r="K249" s="2">
        <v>0</v>
      </c>
      <c r="L249" s="2">
        <v>0</v>
      </c>
    </row>
    <row r="250" spans="1:12" x14ac:dyDescent="0.35">
      <c r="A250" s="3" t="s">
        <v>261</v>
      </c>
      <c r="B250" s="1" t="str">
        <f t="shared" si="6"/>
        <v>Lago Paranoa</v>
      </c>
      <c r="C250" s="1">
        <f t="shared" si="7"/>
        <v>-2420</v>
      </c>
      <c r="D250" s="2">
        <v>0</v>
      </c>
      <c r="E250" s="2">
        <v>2302.4499999999998</v>
      </c>
      <c r="F250" s="2">
        <v>0.17630000000000001</v>
      </c>
      <c r="G250" s="2">
        <v>3.7031999999999998</v>
      </c>
      <c r="H250" s="2">
        <v>7.2465000000000002</v>
      </c>
      <c r="I250" s="2">
        <v>0.99009999999999998</v>
      </c>
      <c r="J250" s="2">
        <v>9.7833000000000006</v>
      </c>
      <c r="K250" s="2">
        <v>2302.4499999999998</v>
      </c>
      <c r="L250" s="2">
        <v>0</v>
      </c>
    </row>
    <row r="251" spans="1:12" hidden="1" x14ac:dyDescent="0.35">
      <c r="A251" s="3" t="s">
        <v>262</v>
      </c>
      <c r="B251" s="1" t="str">
        <f t="shared" si="6"/>
        <v>Corumba IV</v>
      </c>
      <c r="C251" s="1">
        <f t="shared" si="7"/>
        <v>-2419</v>
      </c>
      <c r="D251" s="2">
        <v>0</v>
      </c>
      <c r="E251" s="2">
        <v>0</v>
      </c>
      <c r="F251" s="2">
        <v>0</v>
      </c>
      <c r="G251" s="2">
        <v>0.3629</v>
      </c>
      <c r="H251" s="2">
        <v>57.478499999999997</v>
      </c>
      <c r="I251" s="2">
        <v>4.5816999999999997</v>
      </c>
      <c r="J251" s="2">
        <v>53.259599999999999</v>
      </c>
      <c r="K251" s="2">
        <v>0</v>
      </c>
      <c r="L251" s="2">
        <v>0</v>
      </c>
    </row>
    <row r="252" spans="1:12" x14ac:dyDescent="0.35">
      <c r="A252" s="3" t="s">
        <v>263</v>
      </c>
      <c r="B252" s="1" t="str">
        <f t="shared" si="6"/>
        <v>Lago Paranoa</v>
      </c>
      <c r="C252" s="1">
        <f t="shared" si="7"/>
        <v>-2419</v>
      </c>
      <c r="D252" s="2">
        <v>0</v>
      </c>
      <c r="E252" s="2">
        <v>2302.4499999999998</v>
      </c>
      <c r="F252" s="2">
        <v>0.17649999999999999</v>
      </c>
      <c r="G252" s="2">
        <v>3.5377999999999998</v>
      </c>
      <c r="H252" s="2">
        <v>6.7689000000000004</v>
      </c>
      <c r="I252" s="2">
        <v>1.0291999999999999</v>
      </c>
      <c r="J252" s="2">
        <v>9.1010000000000009</v>
      </c>
      <c r="K252" s="2">
        <v>2302.4499999999998</v>
      </c>
      <c r="L252" s="2">
        <v>0</v>
      </c>
    </row>
    <row r="253" spans="1:12" hidden="1" x14ac:dyDescent="0.35">
      <c r="A253" s="3" t="s">
        <v>264</v>
      </c>
      <c r="B253" s="1" t="str">
        <f t="shared" si="6"/>
        <v>Corumba IV</v>
      </c>
      <c r="C253" s="1">
        <f t="shared" si="7"/>
        <v>-2418</v>
      </c>
      <c r="D253" s="2">
        <v>0</v>
      </c>
      <c r="E253" s="2">
        <v>0</v>
      </c>
      <c r="F253" s="2">
        <v>0</v>
      </c>
      <c r="G253" s="2">
        <v>0.3629</v>
      </c>
      <c r="H253" s="2">
        <v>54.480400000000003</v>
      </c>
      <c r="I253" s="2">
        <v>4.6134000000000004</v>
      </c>
      <c r="J253" s="2">
        <v>50.229900000000001</v>
      </c>
      <c r="K253" s="2">
        <v>0</v>
      </c>
      <c r="L253" s="2">
        <v>0</v>
      </c>
    </row>
    <row r="254" spans="1:12" x14ac:dyDescent="0.35">
      <c r="A254" s="3" t="s">
        <v>265</v>
      </c>
      <c r="B254" s="1" t="str">
        <f t="shared" si="6"/>
        <v>Lago Paranoa</v>
      </c>
      <c r="C254" s="1">
        <f t="shared" si="7"/>
        <v>-2418</v>
      </c>
      <c r="D254" s="2">
        <v>0</v>
      </c>
      <c r="E254" s="2">
        <v>2302.4499999999998</v>
      </c>
      <c r="F254" s="2">
        <v>0.19259999999999999</v>
      </c>
      <c r="G254" s="2">
        <v>3.4439000000000002</v>
      </c>
      <c r="H254" s="2">
        <v>6.7710999999999997</v>
      </c>
      <c r="I254" s="2">
        <v>1.1268</v>
      </c>
      <c r="J254" s="2">
        <v>8.8956</v>
      </c>
      <c r="K254" s="2">
        <v>2302.4499999999998</v>
      </c>
      <c r="L254" s="2">
        <v>0</v>
      </c>
    </row>
    <row r="255" spans="1:12" hidden="1" x14ac:dyDescent="0.35">
      <c r="A255" s="3" t="s">
        <v>266</v>
      </c>
      <c r="B255" s="1" t="str">
        <f t="shared" si="6"/>
        <v>Corumba IV</v>
      </c>
      <c r="C255" s="1">
        <f t="shared" si="7"/>
        <v>-2417</v>
      </c>
      <c r="D255" s="2">
        <v>0</v>
      </c>
      <c r="E255" s="2">
        <v>0</v>
      </c>
      <c r="F255" s="2">
        <v>0</v>
      </c>
      <c r="G255" s="2">
        <v>0.3629</v>
      </c>
      <c r="H255" s="2">
        <v>49.305</v>
      </c>
      <c r="I255" s="2">
        <v>4.6134000000000004</v>
      </c>
      <c r="J255" s="2">
        <v>45.054499999999997</v>
      </c>
      <c r="K255" s="2">
        <v>0</v>
      </c>
      <c r="L255" s="2">
        <v>0</v>
      </c>
    </row>
    <row r="256" spans="1:12" x14ac:dyDescent="0.35">
      <c r="A256" s="3" t="s">
        <v>267</v>
      </c>
      <c r="B256" s="1" t="str">
        <f t="shared" si="6"/>
        <v>Lago Paranoa</v>
      </c>
      <c r="C256" s="1">
        <f t="shared" si="7"/>
        <v>-2417</v>
      </c>
      <c r="D256" s="2">
        <v>0</v>
      </c>
      <c r="E256" s="2">
        <v>2302.4499999999998</v>
      </c>
      <c r="F256" s="2">
        <v>0.1928</v>
      </c>
      <c r="G256" s="2">
        <v>3.3698000000000001</v>
      </c>
      <c r="H256" s="2">
        <v>6.6264000000000003</v>
      </c>
      <c r="I256" s="2">
        <v>1.1268</v>
      </c>
      <c r="J256" s="2">
        <v>8.6766000000000005</v>
      </c>
      <c r="K256" s="2">
        <v>2302.4499999999998</v>
      </c>
      <c r="L256" s="2">
        <v>0</v>
      </c>
    </row>
    <row r="257" spans="1:12" hidden="1" x14ac:dyDescent="0.35">
      <c r="A257" s="3" t="s">
        <v>268</v>
      </c>
      <c r="B257" s="1" t="str">
        <f t="shared" si="6"/>
        <v>Corumba IV</v>
      </c>
      <c r="C257" s="1">
        <f t="shared" si="7"/>
        <v>-2416</v>
      </c>
      <c r="D257" s="2">
        <v>0</v>
      </c>
      <c r="E257" s="2">
        <v>0</v>
      </c>
      <c r="F257" s="2">
        <v>0</v>
      </c>
      <c r="G257" s="2">
        <v>0.3629</v>
      </c>
      <c r="H257" s="2">
        <v>46.934199999999997</v>
      </c>
      <c r="I257" s="2">
        <v>4.6134000000000004</v>
      </c>
      <c r="J257" s="2">
        <v>42.683700000000002</v>
      </c>
      <c r="K257" s="2">
        <v>0</v>
      </c>
      <c r="L257" s="2">
        <v>0</v>
      </c>
    </row>
    <row r="258" spans="1:12" x14ac:dyDescent="0.35">
      <c r="A258" s="3" t="s">
        <v>269</v>
      </c>
      <c r="B258" s="1" t="str">
        <f t="shared" si="6"/>
        <v>Lago Paranoa</v>
      </c>
      <c r="C258" s="1">
        <f t="shared" si="7"/>
        <v>-2416</v>
      </c>
      <c r="D258" s="2">
        <v>0</v>
      </c>
      <c r="E258" s="2">
        <v>2302.4499999999998</v>
      </c>
      <c r="F258" s="2">
        <v>0.193</v>
      </c>
      <c r="G258" s="2">
        <v>3.2288999999999999</v>
      </c>
      <c r="H258" s="2">
        <v>6.1132</v>
      </c>
      <c r="I258" s="2">
        <v>1.1268</v>
      </c>
      <c r="J258" s="2">
        <v>8.0221999999999998</v>
      </c>
      <c r="K258" s="2">
        <v>2302.4499999999998</v>
      </c>
      <c r="L258" s="2">
        <v>0</v>
      </c>
    </row>
    <row r="259" spans="1:12" hidden="1" x14ac:dyDescent="0.35">
      <c r="A259" s="3" t="s">
        <v>270</v>
      </c>
      <c r="B259" s="1" t="str">
        <f t="shared" ref="B259:B322" si="8">_xlfn.TEXTBEFORE(_xlfn.TEXTAFTER(A259,"["),"]")</f>
        <v>Corumba IV</v>
      </c>
      <c r="C259" s="1">
        <f t="shared" ref="C259:C322" si="9">--_xlfn.TEXTBEFORE(_xlfn.TEXTAFTER(A259,"Week "),":")</f>
        <v>-2415</v>
      </c>
      <c r="D259" s="2">
        <v>0</v>
      </c>
      <c r="E259" s="2">
        <v>0</v>
      </c>
      <c r="F259" s="2">
        <v>0</v>
      </c>
      <c r="G259" s="2">
        <v>0.3629</v>
      </c>
      <c r="H259" s="2">
        <v>43.555100000000003</v>
      </c>
      <c r="I259" s="2">
        <v>4.6134000000000004</v>
      </c>
      <c r="J259" s="2">
        <v>39.304600000000001</v>
      </c>
      <c r="K259" s="2">
        <v>0</v>
      </c>
      <c r="L259" s="2">
        <v>0</v>
      </c>
    </row>
    <row r="260" spans="1:12" x14ac:dyDescent="0.35">
      <c r="A260" s="3" t="s">
        <v>271</v>
      </c>
      <c r="B260" s="1" t="str">
        <f t="shared" si="8"/>
        <v>Lago Paranoa</v>
      </c>
      <c r="C260" s="1">
        <f t="shared" si="9"/>
        <v>-2415</v>
      </c>
      <c r="D260" s="2">
        <v>0</v>
      </c>
      <c r="E260" s="2">
        <v>2302.4499999999998</v>
      </c>
      <c r="F260" s="2">
        <v>0.19309999999999999</v>
      </c>
      <c r="G260" s="2">
        <v>2.9661</v>
      </c>
      <c r="H260" s="2">
        <v>5.8239999999999998</v>
      </c>
      <c r="I260" s="2">
        <v>1.1268</v>
      </c>
      <c r="J260" s="2">
        <v>7.4701000000000004</v>
      </c>
      <c r="K260" s="2">
        <v>2302.4499999999998</v>
      </c>
      <c r="L260" s="2">
        <v>0</v>
      </c>
    </row>
    <row r="261" spans="1:12" hidden="1" x14ac:dyDescent="0.35">
      <c r="A261" s="3" t="s">
        <v>272</v>
      </c>
      <c r="B261" s="1" t="str">
        <f t="shared" si="8"/>
        <v>Corumba IV</v>
      </c>
      <c r="C261" s="1">
        <f t="shared" si="9"/>
        <v>-2414</v>
      </c>
      <c r="D261" s="2">
        <v>0</v>
      </c>
      <c r="E261" s="2">
        <v>0</v>
      </c>
      <c r="F261" s="2">
        <v>0</v>
      </c>
      <c r="G261" s="2">
        <v>0.3629</v>
      </c>
      <c r="H261" s="2">
        <v>39.962600000000002</v>
      </c>
      <c r="I261" s="2">
        <v>5.8429000000000002</v>
      </c>
      <c r="J261" s="2">
        <v>34.482500000000002</v>
      </c>
      <c r="K261" s="2">
        <v>0</v>
      </c>
      <c r="L261" s="2">
        <v>0</v>
      </c>
    </row>
    <row r="262" spans="1:12" x14ac:dyDescent="0.35">
      <c r="A262" s="3" t="s">
        <v>273</v>
      </c>
      <c r="B262" s="1" t="str">
        <f t="shared" si="8"/>
        <v>Lago Paranoa</v>
      </c>
      <c r="C262" s="1">
        <f t="shared" si="9"/>
        <v>-2414</v>
      </c>
      <c r="D262" s="2">
        <v>0</v>
      </c>
      <c r="E262" s="2">
        <v>2302.4499999999998</v>
      </c>
      <c r="F262" s="2">
        <v>0.20749999999999999</v>
      </c>
      <c r="G262" s="2">
        <v>2.5291999999999999</v>
      </c>
      <c r="H262" s="2">
        <v>5.1116999999999999</v>
      </c>
      <c r="I262" s="2">
        <v>1.4825999999999999</v>
      </c>
      <c r="J262" s="2">
        <v>5.9508999999999999</v>
      </c>
      <c r="K262" s="2">
        <v>2302.4499999999998</v>
      </c>
      <c r="L262" s="2">
        <v>0</v>
      </c>
    </row>
    <row r="263" spans="1:12" hidden="1" x14ac:dyDescent="0.35">
      <c r="A263" s="3" t="s">
        <v>274</v>
      </c>
      <c r="B263" s="1" t="str">
        <f t="shared" si="8"/>
        <v>Corumba IV</v>
      </c>
      <c r="C263" s="1">
        <f t="shared" si="9"/>
        <v>-2413</v>
      </c>
      <c r="D263" s="2">
        <v>0</v>
      </c>
      <c r="E263" s="2">
        <v>0</v>
      </c>
      <c r="F263" s="2">
        <v>0</v>
      </c>
      <c r="G263" s="2">
        <v>0.3629</v>
      </c>
      <c r="H263" s="2">
        <v>38.133499999999998</v>
      </c>
      <c r="I263" s="2">
        <v>6.0064000000000002</v>
      </c>
      <c r="J263" s="2">
        <v>32.49</v>
      </c>
      <c r="K263" s="2">
        <v>0</v>
      </c>
      <c r="L263" s="2">
        <v>0</v>
      </c>
    </row>
    <row r="264" spans="1:12" x14ac:dyDescent="0.35">
      <c r="A264" s="3" t="s">
        <v>275</v>
      </c>
      <c r="B264" s="1" t="str">
        <f t="shared" si="8"/>
        <v>Lago Paranoa</v>
      </c>
      <c r="C264" s="1">
        <f t="shared" si="9"/>
        <v>-2413</v>
      </c>
      <c r="D264" s="2">
        <v>0</v>
      </c>
      <c r="E264" s="2">
        <v>2302.4499999999998</v>
      </c>
      <c r="F264" s="2">
        <v>0.2077</v>
      </c>
      <c r="G264" s="2">
        <v>2.9578000000000002</v>
      </c>
      <c r="H264" s="2">
        <v>4.4320000000000004</v>
      </c>
      <c r="I264" s="2">
        <v>1.5348999999999999</v>
      </c>
      <c r="J264" s="2">
        <v>5.6471999999999998</v>
      </c>
      <c r="K264" s="2">
        <v>2302.4499999999998</v>
      </c>
      <c r="L264" s="2">
        <v>0</v>
      </c>
    </row>
    <row r="265" spans="1:12" hidden="1" x14ac:dyDescent="0.35">
      <c r="A265" s="3" t="s">
        <v>276</v>
      </c>
      <c r="B265" s="1" t="str">
        <f t="shared" si="8"/>
        <v>Corumba IV</v>
      </c>
      <c r="C265" s="1">
        <f t="shared" si="9"/>
        <v>-2412</v>
      </c>
      <c r="D265" s="2">
        <v>0</v>
      </c>
      <c r="E265" s="2">
        <v>0</v>
      </c>
      <c r="F265" s="2">
        <v>0</v>
      </c>
      <c r="G265" s="2">
        <v>0.3629</v>
      </c>
      <c r="H265" s="2">
        <v>45.843800000000002</v>
      </c>
      <c r="I265" s="2">
        <v>6.0064000000000002</v>
      </c>
      <c r="J265" s="2">
        <v>40.200299999999999</v>
      </c>
      <c r="K265" s="2">
        <v>0</v>
      </c>
      <c r="L265" s="2">
        <v>0</v>
      </c>
    </row>
    <row r="266" spans="1:12" x14ac:dyDescent="0.35">
      <c r="A266" s="3" t="s">
        <v>277</v>
      </c>
      <c r="B266" s="1" t="str">
        <f t="shared" si="8"/>
        <v>Lago Paranoa</v>
      </c>
      <c r="C266" s="1">
        <f t="shared" si="9"/>
        <v>-2412</v>
      </c>
      <c r="D266" s="2">
        <v>0</v>
      </c>
      <c r="E266" s="2">
        <v>2302.4499999999998</v>
      </c>
      <c r="F266" s="2">
        <v>0.2079</v>
      </c>
      <c r="G266" s="2">
        <v>2.7631999999999999</v>
      </c>
      <c r="H266" s="2">
        <v>5.4295999999999998</v>
      </c>
      <c r="I266" s="2">
        <v>1.5348999999999999</v>
      </c>
      <c r="J266" s="2">
        <v>6.4499000000000004</v>
      </c>
      <c r="K266" s="2">
        <v>2302.4499999999998</v>
      </c>
      <c r="L266" s="2">
        <v>0</v>
      </c>
    </row>
    <row r="267" spans="1:12" hidden="1" x14ac:dyDescent="0.35">
      <c r="A267" s="3" t="s">
        <v>278</v>
      </c>
      <c r="B267" s="1" t="str">
        <f t="shared" si="8"/>
        <v>Corumba IV</v>
      </c>
      <c r="C267" s="1">
        <f t="shared" si="9"/>
        <v>-2411</v>
      </c>
      <c r="D267" s="2">
        <v>0</v>
      </c>
      <c r="E267" s="2">
        <v>0</v>
      </c>
      <c r="F267" s="2">
        <v>0</v>
      </c>
      <c r="G267" s="2">
        <v>0.3629</v>
      </c>
      <c r="H267" s="2">
        <v>40.909500000000001</v>
      </c>
      <c r="I267" s="2">
        <v>6.0064000000000002</v>
      </c>
      <c r="J267" s="2">
        <v>35.265999999999998</v>
      </c>
      <c r="K267" s="2">
        <v>0</v>
      </c>
      <c r="L267" s="2">
        <v>0</v>
      </c>
    </row>
    <row r="268" spans="1:12" x14ac:dyDescent="0.35">
      <c r="A268" s="3" t="s">
        <v>279</v>
      </c>
      <c r="B268" s="1" t="str">
        <f t="shared" si="8"/>
        <v>Lago Paranoa</v>
      </c>
      <c r="C268" s="1">
        <f t="shared" si="9"/>
        <v>-2411</v>
      </c>
      <c r="D268" s="2">
        <v>0</v>
      </c>
      <c r="E268" s="2">
        <v>2302.4499999999998</v>
      </c>
      <c r="F268" s="2">
        <v>0.20810000000000001</v>
      </c>
      <c r="G268" s="2">
        <v>2.6791</v>
      </c>
      <c r="H268" s="2">
        <v>4.7121000000000004</v>
      </c>
      <c r="I268" s="2">
        <v>1.5348999999999999</v>
      </c>
      <c r="J268" s="2">
        <v>5.6482000000000001</v>
      </c>
      <c r="K268" s="2">
        <v>2302.4499999999998</v>
      </c>
      <c r="L268" s="2">
        <v>0</v>
      </c>
    </row>
    <row r="269" spans="1:12" hidden="1" x14ac:dyDescent="0.35">
      <c r="A269" s="3" t="s">
        <v>280</v>
      </c>
      <c r="B269" s="1" t="str">
        <f t="shared" si="8"/>
        <v>Corumba IV</v>
      </c>
      <c r="C269" s="1">
        <f t="shared" si="9"/>
        <v>-2410</v>
      </c>
      <c r="D269" s="2">
        <v>0</v>
      </c>
      <c r="E269" s="2">
        <v>0</v>
      </c>
      <c r="F269" s="2">
        <v>0</v>
      </c>
      <c r="G269" s="2">
        <v>0.3629</v>
      </c>
      <c r="H269" s="2">
        <v>34.660200000000003</v>
      </c>
      <c r="I269" s="2">
        <v>5.9611999999999998</v>
      </c>
      <c r="J269" s="2">
        <v>29.061900000000001</v>
      </c>
      <c r="K269" s="2">
        <v>0</v>
      </c>
      <c r="L269" s="2">
        <v>0</v>
      </c>
    </row>
    <row r="270" spans="1:12" x14ac:dyDescent="0.35">
      <c r="A270" s="3" t="s">
        <v>281</v>
      </c>
      <c r="B270" s="1" t="str">
        <f t="shared" si="8"/>
        <v>Lago Paranoa</v>
      </c>
      <c r="C270" s="1">
        <f t="shared" si="9"/>
        <v>-2410</v>
      </c>
      <c r="D270" s="2">
        <v>0</v>
      </c>
      <c r="E270" s="2">
        <v>2302.4499999999998</v>
      </c>
      <c r="F270" s="2">
        <v>0.25950000000000001</v>
      </c>
      <c r="G270" s="2">
        <v>2.6785000000000001</v>
      </c>
      <c r="H270" s="2">
        <v>4.7477</v>
      </c>
      <c r="I270" s="2">
        <v>1.5398000000000001</v>
      </c>
      <c r="J270" s="2">
        <v>5.6269</v>
      </c>
      <c r="K270" s="2">
        <v>2302.4499999999998</v>
      </c>
      <c r="L270" s="2">
        <v>0</v>
      </c>
    </row>
    <row r="271" spans="1:12" hidden="1" x14ac:dyDescent="0.35">
      <c r="A271" s="3" t="s">
        <v>282</v>
      </c>
      <c r="B271" s="1" t="str">
        <f t="shared" si="8"/>
        <v>Corumba IV</v>
      </c>
      <c r="C271" s="1">
        <f t="shared" si="9"/>
        <v>-2409</v>
      </c>
      <c r="D271" s="2">
        <v>0</v>
      </c>
      <c r="E271" s="2">
        <v>0</v>
      </c>
      <c r="F271" s="2">
        <v>0</v>
      </c>
      <c r="G271" s="2">
        <v>0.3629</v>
      </c>
      <c r="H271" s="2">
        <v>32.676499999999997</v>
      </c>
      <c r="I271" s="2">
        <v>6.0753000000000004</v>
      </c>
      <c r="J271" s="2">
        <v>26.964099999999998</v>
      </c>
      <c r="K271" s="2">
        <v>0</v>
      </c>
      <c r="L271" s="2">
        <v>0</v>
      </c>
    </row>
    <row r="272" spans="1:12" x14ac:dyDescent="0.35">
      <c r="A272" s="3" t="s">
        <v>283</v>
      </c>
      <c r="B272" s="1" t="str">
        <f t="shared" si="8"/>
        <v>Lago Paranoa</v>
      </c>
      <c r="C272" s="1">
        <f t="shared" si="9"/>
        <v>-2409</v>
      </c>
      <c r="D272" s="2">
        <v>0</v>
      </c>
      <c r="E272" s="2">
        <v>2302.4499999999998</v>
      </c>
      <c r="F272" s="2">
        <v>0.25969999999999999</v>
      </c>
      <c r="G272" s="2">
        <v>3.8412000000000002</v>
      </c>
      <c r="H272" s="2">
        <v>5.1909000000000001</v>
      </c>
      <c r="I272" s="2">
        <v>1.5811999999999999</v>
      </c>
      <c r="J272" s="2">
        <v>7.1912000000000003</v>
      </c>
      <c r="K272" s="2">
        <v>2302.4499999999998</v>
      </c>
      <c r="L272" s="2">
        <v>0</v>
      </c>
    </row>
    <row r="273" spans="1:12" hidden="1" x14ac:dyDescent="0.35">
      <c r="A273" s="3" t="s">
        <v>284</v>
      </c>
      <c r="B273" s="1" t="str">
        <f t="shared" si="8"/>
        <v>Corumba IV</v>
      </c>
      <c r="C273" s="1">
        <f t="shared" si="9"/>
        <v>-2408</v>
      </c>
      <c r="D273" s="2">
        <v>0</v>
      </c>
      <c r="E273" s="2">
        <v>0</v>
      </c>
      <c r="F273" s="2">
        <v>0</v>
      </c>
      <c r="G273" s="2">
        <v>0.3629</v>
      </c>
      <c r="H273" s="2">
        <v>33.144799999999996</v>
      </c>
      <c r="I273" s="2">
        <v>6.0753000000000004</v>
      </c>
      <c r="J273" s="2">
        <v>27.432300000000001</v>
      </c>
      <c r="K273" s="2">
        <v>0</v>
      </c>
      <c r="L273" s="2">
        <v>0</v>
      </c>
    </row>
    <row r="274" spans="1:12" x14ac:dyDescent="0.35">
      <c r="A274" s="3" t="s">
        <v>285</v>
      </c>
      <c r="B274" s="1" t="str">
        <f t="shared" si="8"/>
        <v>Lago Paranoa</v>
      </c>
      <c r="C274" s="1">
        <f t="shared" si="9"/>
        <v>-2408</v>
      </c>
      <c r="D274" s="2">
        <v>0</v>
      </c>
      <c r="E274" s="2">
        <v>2302.4499999999998</v>
      </c>
      <c r="F274" s="2">
        <v>0.26</v>
      </c>
      <c r="G274" s="2">
        <v>4.0202999999999998</v>
      </c>
      <c r="H274" s="2">
        <v>4.8475999999999999</v>
      </c>
      <c r="I274" s="2">
        <v>1.5811999999999999</v>
      </c>
      <c r="J274" s="2">
        <v>7.0266999999999999</v>
      </c>
      <c r="K274" s="2">
        <v>2302.4499999999998</v>
      </c>
      <c r="L274" s="2">
        <v>0</v>
      </c>
    </row>
    <row r="275" spans="1:12" hidden="1" x14ac:dyDescent="0.35">
      <c r="A275" s="3" t="s">
        <v>286</v>
      </c>
      <c r="B275" s="1" t="str">
        <f t="shared" si="8"/>
        <v>Corumba IV</v>
      </c>
      <c r="C275" s="1">
        <f t="shared" si="9"/>
        <v>-2407</v>
      </c>
      <c r="D275" s="2">
        <v>0</v>
      </c>
      <c r="E275" s="2">
        <v>0</v>
      </c>
      <c r="F275" s="2">
        <v>0</v>
      </c>
      <c r="G275" s="2">
        <v>0.3629</v>
      </c>
      <c r="H275" s="2">
        <v>31.4297</v>
      </c>
      <c r="I275" s="2">
        <v>6.0753000000000004</v>
      </c>
      <c r="J275" s="2">
        <v>25.717300000000002</v>
      </c>
      <c r="K275" s="2">
        <v>0</v>
      </c>
      <c r="L275" s="2">
        <v>0</v>
      </c>
    </row>
    <row r="276" spans="1:12" x14ac:dyDescent="0.35">
      <c r="A276" s="3" t="s">
        <v>287</v>
      </c>
      <c r="B276" s="1" t="str">
        <f t="shared" si="8"/>
        <v>Lago Paranoa</v>
      </c>
      <c r="C276" s="1">
        <f t="shared" si="9"/>
        <v>-2407</v>
      </c>
      <c r="D276" s="2">
        <v>0</v>
      </c>
      <c r="E276" s="2">
        <v>2302.4499999999998</v>
      </c>
      <c r="F276" s="2">
        <v>0.26019999999999999</v>
      </c>
      <c r="G276" s="2">
        <v>3.9923000000000002</v>
      </c>
      <c r="H276" s="2">
        <v>4.8635999999999999</v>
      </c>
      <c r="I276" s="2">
        <v>1.5811999999999999</v>
      </c>
      <c r="J276" s="2">
        <v>7.0144000000000002</v>
      </c>
      <c r="K276" s="2">
        <v>2302.4499999999998</v>
      </c>
      <c r="L276" s="2">
        <v>0</v>
      </c>
    </row>
    <row r="277" spans="1:12" hidden="1" x14ac:dyDescent="0.35">
      <c r="A277" s="3" t="s">
        <v>288</v>
      </c>
      <c r="B277" s="1" t="str">
        <f t="shared" si="8"/>
        <v>Corumba IV</v>
      </c>
      <c r="C277" s="1">
        <f t="shared" si="9"/>
        <v>-2406</v>
      </c>
      <c r="D277" s="2">
        <v>0</v>
      </c>
      <c r="E277" s="2">
        <v>0</v>
      </c>
      <c r="F277" s="2">
        <v>0</v>
      </c>
      <c r="G277" s="2">
        <v>0.3629</v>
      </c>
      <c r="H277" s="2">
        <v>29.122800000000002</v>
      </c>
      <c r="I277" s="2">
        <v>5.7572999999999999</v>
      </c>
      <c r="J277" s="2">
        <v>23.7285</v>
      </c>
      <c r="K277" s="2">
        <v>0</v>
      </c>
      <c r="L277" s="2">
        <v>0</v>
      </c>
    </row>
    <row r="278" spans="1:12" x14ac:dyDescent="0.35">
      <c r="A278" s="3" t="s">
        <v>289</v>
      </c>
      <c r="B278" s="1" t="str">
        <f t="shared" si="8"/>
        <v>Lago Paranoa</v>
      </c>
      <c r="C278" s="1">
        <f t="shared" si="9"/>
        <v>-2406</v>
      </c>
      <c r="D278" s="2">
        <v>0</v>
      </c>
      <c r="E278" s="2">
        <v>2302.4499999999998</v>
      </c>
      <c r="F278" s="2">
        <v>0.26040000000000002</v>
      </c>
      <c r="G278" s="2">
        <v>3.8868999999999998</v>
      </c>
      <c r="H278" s="2">
        <v>4.8579999999999997</v>
      </c>
      <c r="I278" s="2">
        <v>1.5003</v>
      </c>
      <c r="J278" s="2">
        <v>6.9843000000000002</v>
      </c>
      <c r="K278" s="2">
        <v>2302.4499999999998</v>
      </c>
      <c r="L278" s="2">
        <v>0</v>
      </c>
    </row>
    <row r="279" spans="1:12" hidden="1" x14ac:dyDescent="0.35">
      <c r="A279" s="3" t="s">
        <v>290</v>
      </c>
      <c r="B279" s="1" t="str">
        <f t="shared" si="8"/>
        <v>Corumba IV</v>
      </c>
      <c r="C279" s="1">
        <f t="shared" si="9"/>
        <v>-2405</v>
      </c>
      <c r="D279" s="2">
        <v>0</v>
      </c>
      <c r="E279" s="2">
        <v>0</v>
      </c>
      <c r="F279" s="2">
        <v>0</v>
      </c>
      <c r="G279" s="2">
        <v>0.3629</v>
      </c>
      <c r="H279" s="2">
        <v>26.663</v>
      </c>
      <c r="I279" s="2">
        <v>3.8978999999999999</v>
      </c>
      <c r="J279" s="2">
        <v>23.128</v>
      </c>
      <c r="K279" s="2">
        <v>0</v>
      </c>
      <c r="L279" s="2">
        <v>0</v>
      </c>
    </row>
    <row r="280" spans="1:12" x14ac:dyDescent="0.35">
      <c r="A280" s="3" t="s">
        <v>291</v>
      </c>
      <c r="B280" s="1" t="str">
        <f t="shared" si="8"/>
        <v>Lago Paranoa</v>
      </c>
      <c r="C280" s="1">
        <f t="shared" si="9"/>
        <v>-2405</v>
      </c>
      <c r="D280" s="2">
        <v>0</v>
      </c>
      <c r="E280" s="2">
        <v>2302.4499999999998</v>
      </c>
      <c r="F280" s="2">
        <v>0.22950000000000001</v>
      </c>
      <c r="G280" s="2">
        <v>4.4077000000000002</v>
      </c>
      <c r="H280" s="2">
        <v>5.5427999999999997</v>
      </c>
      <c r="I280" s="2">
        <v>1.0424</v>
      </c>
      <c r="J280" s="2">
        <v>8.6786999999999992</v>
      </c>
      <c r="K280" s="2">
        <v>2302.4499999999998</v>
      </c>
      <c r="L280" s="2">
        <v>0</v>
      </c>
    </row>
    <row r="281" spans="1:12" hidden="1" x14ac:dyDescent="0.35">
      <c r="A281" s="3" t="s">
        <v>292</v>
      </c>
      <c r="B281" s="1" t="str">
        <f t="shared" si="8"/>
        <v>Corumba IV</v>
      </c>
      <c r="C281" s="1">
        <f t="shared" si="9"/>
        <v>-2404</v>
      </c>
      <c r="D281" s="2">
        <v>0</v>
      </c>
      <c r="E281" s="2">
        <v>0</v>
      </c>
      <c r="F281" s="2">
        <v>0</v>
      </c>
      <c r="G281" s="2">
        <v>0.3629</v>
      </c>
      <c r="H281" s="2">
        <v>29.256799999999998</v>
      </c>
      <c r="I281" s="2">
        <v>3.9630000000000001</v>
      </c>
      <c r="J281" s="2">
        <v>25.656600000000001</v>
      </c>
      <c r="K281" s="2">
        <v>0</v>
      </c>
      <c r="L281" s="2">
        <v>0</v>
      </c>
    </row>
    <row r="282" spans="1:12" x14ac:dyDescent="0.35">
      <c r="A282" s="3" t="s">
        <v>293</v>
      </c>
      <c r="B282" s="1" t="str">
        <f t="shared" si="8"/>
        <v>Lago Paranoa</v>
      </c>
      <c r="C282" s="1">
        <f t="shared" si="9"/>
        <v>-2404</v>
      </c>
      <c r="D282" s="2">
        <v>0</v>
      </c>
      <c r="E282" s="2">
        <v>2302.4499999999998</v>
      </c>
      <c r="F282" s="2">
        <v>0.22969999999999999</v>
      </c>
      <c r="G282" s="2">
        <v>4.4779999999999998</v>
      </c>
      <c r="H282" s="2">
        <v>6.3535000000000004</v>
      </c>
      <c r="I282" s="2">
        <v>1.0795999999999999</v>
      </c>
      <c r="J282" s="2">
        <v>9.5221999999999998</v>
      </c>
      <c r="K282" s="2">
        <v>2302.4499999999998</v>
      </c>
      <c r="L282" s="2">
        <v>0</v>
      </c>
    </row>
    <row r="283" spans="1:12" hidden="1" x14ac:dyDescent="0.35">
      <c r="A283" s="3" t="s">
        <v>294</v>
      </c>
      <c r="B283" s="1" t="str">
        <f t="shared" si="8"/>
        <v>Corumba IV</v>
      </c>
      <c r="C283" s="1">
        <f t="shared" si="9"/>
        <v>-2403</v>
      </c>
      <c r="D283" s="2">
        <v>0</v>
      </c>
      <c r="E283" s="2">
        <v>0</v>
      </c>
      <c r="F283" s="2">
        <v>0</v>
      </c>
      <c r="G283" s="2">
        <v>0.3629</v>
      </c>
      <c r="H283" s="2">
        <v>41.594700000000003</v>
      </c>
      <c r="I283" s="2">
        <v>3.9630000000000001</v>
      </c>
      <c r="J283" s="2">
        <v>37.994599999999998</v>
      </c>
      <c r="K283" s="2">
        <v>0</v>
      </c>
      <c r="L283" s="2">
        <v>0</v>
      </c>
    </row>
    <row r="284" spans="1:12" x14ac:dyDescent="0.35">
      <c r="A284" s="3" t="s">
        <v>295</v>
      </c>
      <c r="B284" s="1" t="str">
        <f t="shared" si="8"/>
        <v>Lago Paranoa</v>
      </c>
      <c r="C284" s="1">
        <f t="shared" si="9"/>
        <v>-2403</v>
      </c>
      <c r="D284" s="2">
        <v>0</v>
      </c>
      <c r="E284" s="2">
        <v>2302.4499999999998</v>
      </c>
      <c r="F284" s="2">
        <v>0.22989999999999999</v>
      </c>
      <c r="G284" s="2">
        <v>4.7325999999999997</v>
      </c>
      <c r="H284" s="2">
        <v>6.8433999999999999</v>
      </c>
      <c r="I284" s="2">
        <v>1.0795999999999999</v>
      </c>
      <c r="J284" s="2">
        <v>10.266500000000001</v>
      </c>
      <c r="K284" s="2">
        <v>2302.4499999999998</v>
      </c>
      <c r="L284" s="2">
        <v>0</v>
      </c>
    </row>
    <row r="285" spans="1:12" hidden="1" x14ac:dyDescent="0.35">
      <c r="A285" s="3" t="s">
        <v>296</v>
      </c>
      <c r="B285" s="1" t="str">
        <f t="shared" si="8"/>
        <v>Corumba IV</v>
      </c>
      <c r="C285" s="1">
        <f t="shared" si="9"/>
        <v>-2402</v>
      </c>
      <c r="D285" s="2">
        <v>0</v>
      </c>
      <c r="E285" s="2">
        <v>0</v>
      </c>
      <c r="F285" s="2">
        <v>0</v>
      </c>
      <c r="G285" s="2">
        <v>0.3629</v>
      </c>
      <c r="H285" s="2">
        <v>98.737899999999996</v>
      </c>
      <c r="I285" s="2">
        <v>3.9630000000000001</v>
      </c>
      <c r="J285" s="2">
        <v>95.137799999999999</v>
      </c>
      <c r="K285" s="2">
        <v>0</v>
      </c>
      <c r="L285" s="2">
        <v>0</v>
      </c>
    </row>
    <row r="286" spans="1:12" x14ac:dyDescent="0.35">
      <c r="A286" s="3" t="s">
        <v>297</v>
      </c>
      <c r="B286" s="1" t="str">
        <f t="shared" si="8"/>
        <v>Lago Paranoa</v>
      </c>
      <c r="C286" s="1">
        <f t="shared" si="9"/>
        <v>-2402</v>
      </c>
      <c r="D286" s="2">
        <v>0</v>
      </c>
      <c r="E286" s="2">
        <v>2302.4499999999998</v>
      </c>
      <c r="F286" s="2">
        <v>0.2301</v>
      </c>
      <c r="G286" s="2">
        <v>5.6454000000000004</v>
      </c>
      <c r="H286" s="2">
        <v>9.6193000000000008</v>
      </c>
      <c r="I286" s="2">
        <v>1.0795999999999999</v>
      </c>
      <c r="J286" s="2">
        <v>13.9549</v>
      </c>
      <c r="K286" s="2">
        <v>2302.4499999999998</v>
      </c>
      <c r="L286" s="2">
        <v>0</v>
      </c>
    </row>
    <row r="287" spans="1:12" hidden="1" x14ac:dyDescent="0.35">
      <c r="A287" s="3" t="s">
        <v>298</v>
      </c>
      <c r="B287" s="1" t="str">
        <f t="shared" si="8"/>
        <v>Corumba IV</v>
      </c>
      <c r="C287" s="1">
        <f t="shared" si="9"/>
        <v>-2401</v>
      </c>
      <c r="D287" s="2">
        <v>0</v>
      </c>
      <c r="E287" s="2">
        <v>0</v>
      </c>
      <c r="F287" s="2">
        <v>0</v>
      </c>
      <c r="G287" s="2">
        <v>0.3629</v>
      </c>
      <c r="H287" s="2">
        <v>97.630300000000005</v>
      </c>
      <c r="I287" s="2">
        <v>4.7667999999999999</v>
      </c>
      <c r="J287" s="2">
        <v>93.226399999999998</v>
      </c>
      <c r="K287" s="2">
        <v>0</v>
      </c>
      <c r="L287" s="2">
        <v>0</v>
      </c>
    </row>
    <row r="288" spans="1:12" x14ac:dyDescent="0.35">
      <c r="A288" s="3" t="s">
        <v>299</v>
      </c>
      <c r="B288" s="1" t="str">
        <f t="shared" si="8"/>
        <v>Lago Paranoa</v>
      </c>
      <c r="C288" s="1">
        <f t="shared" si="9"/>
        <v>-2401</v>
      </c>
      <c r="D288" s="2">
        <v>0</v>
      </c>
      <c r="E288" s="2">
        <v>2302.4499999999998</v>
      </c>
      <c r="F288" s="2">
        <v>0.2019</v>
      </c>
      <c r="G288" s="2">
        <v>3.6890999999999998</v>
      </c>
      <c r="H288" s="2">
        <v>8.3696999999999999</v>
      </c>
      <c r="I288" s="2">
        <v>1.234</v>
      </c>
      <c r="J288" s="2">
        <v>10.6228</v>
      </c>
      <c r="K288" s="2">
        <v>2302.4499999999998</v>
      </c>
      <c r="L288" s="2">
        <v>0</v>
      </c>
    </row>
    <row r="289" spans="1:12" hidden="1" x14ac:dyDescent="0.35">
      <c r="A289" s="3" t="s">
        <v>300</v>
      </c>
      <c r="B289" s="1" t="str">
        <f t="shared" si="8"/>
        <v>Corumba IV</v>
      </c>
      <c r="C289" s="1">
        <f t="shared" si="9"/>
        <v>-2400</v>
      </c>
      <c r="D289" s="2">
        <v>0</v>
      </c>
      <c r="E289" s="2">
        <v>0</v>
      </c>
      <c r="F289" s="2">
        <v>0</v>
      </c>
      <c r="G289" s="2">
        <v>0.3629</v>
      </c>
      <c r="H289" s="2">
        <v>32.457000000000001</v>
      </c>
      <c r="I289" s="2">
        <v>5.0883000000000003</v>
      </c>
      <c r="J289" s="2">
        <v>27.7316</v>
      </c>
      <c r="K289" s="2">
        <v>0</v>
      </c>
      <c r="L289" s="2">
        <v>0</v>
      </c>
    </row>
    <row r="290" spans="1:12" x14ac:dyDescent="0.35">
      <c r="A290" s="3" t="s">
        <v>301</v>
      </c>
      <c r="B290" s="1" t="str">
        <f t="shared" si="8"/>
        <v>Lago Paranoa</v>
      </c>
      <c r="C290" s="1">
        <f t="shared" si="9"/>
        <v>-2400</v>
      </c>
      <c r="D290" s="2">
        <v>0</v>
      </c>
      <c r="E290" s="2">
        <v>2302.4499999999998</v>
      </c>
      <c r="F290" s="2">
        <v>0.2021</v>
      </c>
      <c r="G290" s="2">
        <v>2.7206999999999999</v>
      </c>
      <c r="H290" s="2">
        <v>5.6398999999999999</v>
      </c>
      <c r="I290" s="2">
        <v>1.2958000000000001</v>
      </c>
      <c r="J290" s="2">
        <v>6.8628</v>
      </c>
      <c r="K290" s="2">
        <v>2302.4499999999998</v>
      </c>
      <c r="L290" s="2">
        <v>0</v>
      </c>
    </row>
    <row r="291" spans="1:12" hidden="1" x14ac:dyDescent="0.35">
      <c r="A291" s="3" t="s">
        <v>302</v>
      </c>
      <c r="B291" s="1" t="str">
        <f t="shared" si="8"/>
        <v>Corumba IV</v>
      </c>
      <c r="C291" s="1">
        <f t="shared" si="9"/>
        <v>-2399</v>
      </c>
      <c r="D291" s="2">
        <v>0</v>
      </c>
      <c r="E291" s="2">
        <v>0</v>
      </c>
      <c r="F291" s="2">
        <v>0</v>
      </c>
      <c r="G291" s="2">
        <v>0.3629</v>
      </c>
      <c r="H291" s="2">
        <v>31.155000000000001</v>
      </c>
      <c r="I291" s="2">
        <v>5.0883000000000003</v>
      </c>
      <c r="J291" s="2">
        <v>26.429600000000001</v>
      </c>
      <c r="K291" s="2">
        <v>0</v>
      </c>
      <c r="L291" s="2">
        <v>0</v>
      </c>
    </row>
    <row r="292" spans="1:12" x14ac:dyDescent="0.35">
      <c r="A292" s="3" t="s">
        <v>303</v>
      </c>
      <c r="B292" s="1" t="str">
        <f t="shared" si="8"/>
        <v>Lago Paranoa</v>
      </c>
      <c r="C292" s="1">
        <f t="shared" si="9"/>
        <v>-2399</v>
      </c>
      <c r="D292" s="2">
        <v>0</v>
      </c>
      <c r="E292" s="2">
        <v>2302.4499999999998</v>
      </c>
      <c r="F292" s="2">
        <v>0.20230000000000001</v>
      </c>
      <c r="G292" s="2">
        <v>3.8658999999999999</v>
      </c>
      <c r="H292" s="2">
        <v>6.3587999999999996</v>
      </c>
      <c r="I292" s="2">
        <v>1.2958000000000001</v>
      </c>
      <c r="J292" s="2">
        <v>8.7265999999999995</v>
      </c>
      <c r="K292" s="2">
        <v>2302.4499999999998</v>
      </c>
      <c r="L292" s="2">
        <v>0</v>
      </c>
    </row>
    <row r="293" spans="1:12" hidden="1" x14ac:dyDescent="0.35">
      <c r="A293" s="3" t="s">
        <v>304</v>
      </c>
      <c r="B293" s="1" t="str">
        <f t="shared" si="8"/>
        <v>Corumba IV</v>
      </c>
      <c r="C293" s="1">
        <f t="shared" si="9"/>
        <v>-2398</v>
      </c>
      <c r="D293" s="2">
        <v>0</v>
      </c>
      <c r="E293" s="2">
        <v>0</v>
      </c>
      <c r="F293" s="2">
        <v>0</v>
      </c>
      <c r="G293" s="2">
        <v>0.3629</v>
      </c>
      <c r="H293" s="2">
        <v>38.283799999999999</v>
      </c>
      <c r="I293" s="2">
        <v>5.0883000000000003</v>
      </c>
      <c r="J293" s="2">
        <v>33.558399999999999</v>
      </c>
      <c r="K293" s="2">
        <v>0</v>
      </c>
      <c r="L293" s="2">
        <v>0</v>
      </c>
    </row>
    <row r="294" spans="1:12" x14ac:dyDescent="0.35">
      <c r="A294" s="3" t="s">
        <v>305</v>
      </c>
      <c r="B294" s="1" t="str">
        <f t="shared" si="8"/>
        <v>Lago Paranoa</v>
      </c>
      <c r="C294" s="1">
        <f t="shared" si="9"/>
        <v>-2398</v>
      </c>
      <c r="D294" s="2">
        <v>0</v>
      </c>
      <c r="E294" s="2">
        <v>2302.4499999999998</v>
      </c>
      <c r="F294" s="2">
        <v>0.20250000000000001</v>
      </c>
      <c r="G294" s="2">
        <v>3.0564</v>
      </c>
      <c r="H294" s="2">
        <v>6.6725000000000003</v>
      </c>
      <c r="I294" s="2">
        <v>1.2958000000000001</v>
      </c>
      <c r="J294" s="2">
        <v>8.2307000000000006</v>
      </c>
      <c r="K294" s="2">
        <v>2302.4499999999998</v>
      </c>
      <c r="L294" s="2">
        <v>0</v>
      </c>
    </row>
    <row r="295" spans="1:12" hidden="1" x14ac:dyDescent="0.35">
      <c r="A295" s="3" t="s">
        <v>306</v>
      </c>
      <c r="B295" s="1" t="str">
        <f t="shared" si="8"/>
        <v>Corumba IV</v>
      </c>
      <c r="C295" s="1">
        <f t="shared" si="9"/>
        <v>-2397</v>
      </c>
      <c r="D295" s="2">
        <v>0</v>
      </c>
      <c r="E295" s="2">
        <v>0</v>
      </c>
      <c r="F295" s="2">
        <v>0</v>
      </c>
      <c r="G295" s="2">
        <v>0.3629</v>
      </c>
      <c r="H295" s="2">
        <v>36.543700000000001</v>
      </c>
      <c r="I295" s="2">
        <v>4.6901999999999999</v>
      </c>
      <c r="J295" s="2">
        <v>32.2164</v>
      </c>
      <c r="K295" s="2">
        <v>0</v>
      </c>
      <c r="L295" s="2">
        <v>0</v>
      </c>
    </row>
    <row r="296" spans="1:12" x14ac:dyDescent="0.35">
      <c r="A296" s="3" t="s">
        <v>307</v>
      </c>
      <c r="B296" s="1" t="str">
        <f t="shared" si="8"/>
        <v>Lago Paranoa</v>
      </c>
      <c r="C296" s="1">
        <f t="shared" si="9"/>
        <v>-2397</v>
      </c>
      <c r="D296" s="2">
        <v>0</v>
      </c>
      <c r="E296" s="2">
        <v>2302.4499999999998</v>
      </c>
      <c r="F296" s="2">
        <v>0.14349999999999999</v>
      </c>
      <c r="G296" s="2">
        <v>2.6454</v>
      </c>
      <c r="H296" s="2">
        <v>5.8464999999999998</v>
      </c>
      <c r="I296" s="2">
        <v>1.1123000000000001</v>
      </c>
      <c r="J296" s="2">
        <v>7.2362000000000002</v>
      </c>
      <c r="K296" s="2">
        <v>2302.4499999999998</v>
      </c>
      <c r="L296" s="2">
        <v>0</v>
      </c>
    </row>
    <row r="297" spans="1:12" hidden="1" x14ac:dyDescent="0.35">
      <c r="A297" s="3" t="s">
        <v>308</v>
      </c>
      <c r="B297" s="1" t="str">
        <f t="shared" si="8"/>
        <v>Corumba IV</v>
      </c>
      <c r="C297" s="1">
        <f t="shared" si="9"/>
        <v>-2396</v>
      </c>
      <c r="D297" s="2">
        <v>0</v>
      </c>
      <c r="E297" s="2">
        <v>0</v>
      </c>
      <c r="F297" s="2">
        <v>0</v>
      </c>
      <c r="G297" s="2">
        <v>0.3629</v>
      </c>
      <c r="H297" s="2">
        <v>42.657400000000003</v>
      </c>
      <c r="I297" s="2">
        <v>4.0095999999999998</v>
      </c>
      <c r="J297" s="2">
        <v>39.0107</v>
      </c>
      <c r="K297" s="2">
        <v>0</v>
      </c>
      <c r="L297" s="2">
        <v>0</v>
      </c>
    </row>
    <row r="298" spans="1:12" x14ac:dyDescent="0.35">
      <c r="A298" s="3" t="s">
        <v>309</v>
      </c>
      <c r="B298" s="1" t="str">
        <f t="shared" si="8"/>
        <v>Lago Paranoa</v>
      </c>
      <c r="C298" s="1">
        <f t="shared" si="9"/>
        <v>-2396</v>
      </c>
      <c r="D298" s="2">
        <v>0</v>
      </c>
      <c r="E298" s="2">
        <v>2302.4499999999998</v>
      </c>
      <c r="F298" s="2">
        <v>0.14360000000000001</v>
      </c>
      <c r="G298" s="2">
        <v>2.8877999999999999</v>
      </c>
      <c r="H298" s="2">
        <v>7.6574999999999998</v>
      </c>
      <c r="I298" s="2">
        <v>1.0535000000000001</v>
      </c>
      <c r="J298" s="2">
        <v>9.3482000000000003</v>
      </c>
      <c r="K298" s="2">
        <v>2302.4499999999998</v>
      </c>
      <c r="L298" s="2">
        <v>0</v>
      </c>
    </row>
    <row r="299" spans="1:12" hidden="1" x14ac:dyDescent="0.35">
      <c r="A299" s="3" t="s">
        <v>310</v>
      </c>
      <c r="B299" s="1" t="str">
        <f t="shared" si="8"/>
        <v>Corumba IV</v>
      </c>
      <c r="C299" s="1">
        <f t="shared" si="9"/>
        <v>-2499</v>
      </c>
      <c r="D299" s="2">
        <v>0</v>
      </c>
      <c r="E299" s="2">
        <v>0</v>
      </c>
      <c r="F299" s="2">
        <v>0</v>
      </c>
      <c r="G299" s="2">
        <v>0.3629</v>
      </c>
      <c r="H299" s="2">
        <v>72.424499999999995</v>
      </c>
      <c r="I299" s="2">
        <v>4.5795000000000003</v>
      </c>
      <c r="J299" s="2">
        <v>68.207899999999995</v>
      </c>
      <c r="K299" s="2">
        <v>0</v>
      </c>
      <c r="L299" s="2">
        <v>0</v>
      </c>
    </row>
    <row r="300" spans="1:12" x14ac:dyDescent="0.35">
      <c r="A300" s="3" t="s">
        <v>311</v>
      </c>
      <c r="B300" s="1" t="str">
        <f t="shared" si="8"/>
        <v>Lago Paranoa</v>
      </c>
      <c r="C300" s="1">
        <f t="shared" si="9"/>
        <v>-2499</v>
      </c>
      <c r="D300" s="2">
        <v>0</v>
      </c>
      <c r="E300" s="2">
        <v>2302.4499999999998</v>
      </c>
      <c r="F300" s="2">
        <v>0.14380000000000001</v>
      </c>
      <c r="G300" s="2">
        <v>5.5605000000000002</v>
      </c>
      <c r="H300" s="2">
        <v>11.3575</v>
      </c>
      <c r="I300" s="2">
        <v>1.1447000000000001</v>
      </c>
      <c r="J300" s="2">
        <v>15.6295</v>
      </c>
      <c r="K300" s="2">
        <v>2302.4499999999998</v>
      </c>
      <c r="L300" s="2">
        <v>0</v>
      </c>
    </row>
    <row r="301" spans="1:12" hidden="1" x14ac:dyDescent="0.35">
      <c r="A301" s="3" t="s">
        <v>312</v>
      </c>
      <c r="B301" s="1" t="str">
        <f t="shared" si="8"/>
        <v>Corumba IV</v>
      </c>
      <c r="C301" s="1">
        <f t="shared" si="9"/>
        <v>-2498</v>
      </c>
      <c r="D301" s="2">
        <v>0</v>
      </c>
      <c r="E301" s="2">
        <v>0</v>
      </c>
      <c r="F301" s="2">
        <v>0</v>
      </c>
      <c r="G301" s="2">
        <v>0.3629</v>
      </c>
      <c r="H301" s="2">
        <v>190.82480000000001</v>
      </c>
      <c r="I301" s="2">
        <v>4.5795000000000003</v>
      </c>
      <c r="J301" s="2">
        <v>186.60820000000001</v>
      </c>
      <c r="K301" s="2">
        <v>0</v>
      </c>
      <c r="L301" s="2">
        <v>0</v>
      </c>
    </row>
    <row r="302" spans="1:12" x14ac:dyDescent="0.35">
      <c r="A302" s="3" t="s">
        <v>313</v>
      </c>
      <c r="B302" s="1" t="str">
        <f t="shared" si="8"/>
        <v>Lago Paranoa</v>
      </c>
      <c r="C302" s="1">
        <f t="shared" si="9"/>
        <v>-2498</v>
      </c>
      <c r="D302" s="2">
        <v>0</v>
      </c>
      <c r="E302" s="2">
        <v>2302.4499999999998</v>
      </c>
      <c r="F302" s="2">
        <v>0.14399999999999999</v>
      </c>
      <c r="G302" s="2">
        <v>4.7552000000000003</v>
      </c>
      <c r="H302" s="2">
        <v>22.7364</v>
      </c>
      <c r="I302" s="2">
        <v>1.1447000000000001</v>
      </c>
      <c r="J302" s="2">
        <v>26.202999999999999</v>
      </c>
      <c r="K302" s="2">
        <v>2302.4499999999998</v>
      </c>
      <c r="L302" s="2">
        <v>0</v>
      </c>
    </row>
    <row r="303" spans="1:12" hidden="1" x14ac:dyDescent="0.35">
      <c r="A303" s="3" t="s">
        <v>314</v>
      </c>
      <c r="B303" s="1" t="str">
        <f t="shared" si="8"/>
        <v>Corumba IV</v>
      </c>
      <c r="C303" s="1">
        <f t="shared" si="9"/>
        <v>-2497</v>
      </c>
      <c r="D303" s="2">
        <v>0</v>
      </c>
      <c r="E303" s="2">
        <v>0</v>
      </c>
      <c r="F303" s="2">
        <v>0</v>
      </c>
      <c r="G303" s="2">
        <v>0.3629</v>
      </c>
      <c r="H303" s="2">
        <v>327.94420000000002</v>
      </c>
      <c r="I303" s="2">
        <v>4.1506999999999996</v>
      </c>
      <c r="J303" s="2">
        <v>324.15629999999999</v>
      </c>
      <c r="K303" s="2">
        <v>0</v>
      </c>
      <c r="L303" s="2">
        <v>0</v>
      </c>
    </row>
    <row r="304" spans="1:12" x14ac:dyDescent="0.35">
      <c r="A304" s="3" t="s">
        <v>315</v>
      </c>
      <c r="B304" s="1" t="str">
        <f t="shared" si="8"/>
        <v>Lago Paranoa</v>
      </c>
      <c r="C304" s="1">
        <f t="shared" si="9"/>
        <v>-2497</v>
      </c>
      <c r="D304" s="2">
        <v>0</v>
      </c>
      <c r="E304" s="2">
        <v>2302.4499999999998</v>
      </c>
      <c r="F304" s="2">
        <v>0.14419999999999999</v>
      </c>
      <c r="G304" s="2">
        <v>5.1863000000000001</v>
      </c>
      <c r="H304" s="2">
        <v>25.4693</v>
      </c>
      <c r="I304" s="2">
        <v>1.0911</v>
      </c>
      <c r="J304" s="2">
        <v>29.420400000000001</v>
      </c>
      <c r="K304" s="2">
        <v>2302.4499999999998</v>
      </c>
      <c r="L304" s="2">
        <v>0</v>
      </c>
    </row>
    <row r="305" spans="1:12" hidden="1" x14ac:dyDescent="0.35">
      <c r="A305" s="3" t="s">
        <v>316</v>
      </c>
      <c r="B305" s="1" t="str">
        <f t="shared" si="8"/>
        <v>Corumba IV</v>
      </c>
      <c r="C305" s="1">
        <f t="shared" si="9"/>
        <v>-2496</v>
      </c>
      <c r="D305" s="2">
        <v>0</v>
      </c>
      <c r="E305" s="2">
        <v>0</v>
      </c>
      <c r="F305" s="2">
        <v>0</v>
      </c>
      <c r="G305" s="2">
        <v>0.3629</v>
      </c>
      <c r="H305" s="2">
        <v>116.6236</v>
      </c>
      <c r="I305" s="2">
        <v>3.7875999999999999</v>
      </c>
      <c r="J305" s="2">
        <v>113.19889999999999</v>
      </c>
      <c r="K305" s="2">
        <v>0</v>
      </c>
      <c r="L305" s="2">
        <v>0</v>
      </c>
    </row>
    <row r="306" spans="1:12" x14ac:dyDescent="0.35">
      <c r="A306" s="3" t="s">
        <v>317</v>
      </c>
      <c r="B306" s="1" t="str">
        <f t="shared" si="8"/>
        <v>Lago Paranoa</v>
      </c>
      <c r="C306" s="1">
        <f t="shared" si="9"/>
        <v>-2496</v>
      </c>
      <c r="D306" s="2">
        <v>0</v>
      </c>
      <c r="E306" s="2">
        <v>2302.4499999999998</v>
      </c>
      <c r="F306" s="2">
        <v>0.1615</v>
      </c>
      <c r="G306" s="2">
        <v>5.4473000000000003</v>
      </c>
      <c r="H306" s="2">
        <v>11.711499999999999</v>
      </c>
      <c r="I306" s="2">
        <v>0.8952</v>
      </c>
      <c r="J306" s="2">
        <v>16.1021</v>
      </c>
      <c r="K306" s="2">
        <v>2302.4499999999998</v>
      </c>
      <c r="L306" s="2">
        <v>0</v>
      </c>
    </row>
    <row r="307" spans="1:12" hidden="1" x14ac:dyDescent="0.35">
      <c r="A307" s="3" t="s">
        <v>318</v>
      </c>
      <c r="B307" s="1" t="str">
        <f t="shared" si="8"/>
        <v>Corumba IV</v>
      </c>
      <c r="C307" s="1">
        <f t="shared" si="9"/>
        <v>-2495</v>
      </c>
      <c r="D307" s="2">
        <v>0</v>
      </c>
      <c r="E307" s="2">
        <v>0</v>
      </c>
      <c r="F307" s="2">
        <v>0</v>
      </c>
      <c r="G307" s="2">
        <v>2.1107</v>
      </c>
      <c r="H307" s="2">
        <v>108.68</v>
      </c>
      <c r="I307" s="2">
        <v>4.4733000000000001</v>
      </c>
      <c r="J307" s="2">
        <v>106.3173</v>
      </c>
      <c r="K307" s="2">
        <v>0</v>
      </c>
      <c r="L307" s="2">
        <v>0</v>
      </c>
    </row>
    <row r="308" spans="1:12" x14ac:dyDescent="0.35">
      <c r="A308" s="3" t="s">
        <v>319</v>
      </c>
      <c r="B308" s="1" t="str">
        <f t="shared" si="8"/>
        <v>Lago Paranoa</v>
      </c>
      <c r="C308" s="1">
        <f t="shared" si="9"/>
        <v>-2495</v>
      </c>
      <c r="D308" s="2">
        <v>0</v>
      </c>
      <c r="E308" s="2">
        <v>2302.4499999999998</v>
      </c>
      <c r="F308" s="2">
        <v>0.15229999999999999</v>
      </c>
      <c r="G308" s="2">
        <v>5.0031999999999996</v>
      </c>
      <c r="H308" s="2">
        <v>10.471299999999999</v>
      </c>
      <c r="I308" s="2">
        <v>1.1091</v>
      </c>
      <c r="J308" s="2">
        <v>14.212999999999999</v>
      </c>
      <c r="K308" s="2">
        <v>2302.4499999999998</v>
      </c>
      <c r="L308" s="2">
        <v>0</v>
      </c>
    </row>
    <row r="309" spans="1:12" hidden="1" x14ac:dyDescent="0.35">
      <c r="A309" s="3" t="s">
        <v>320</v>
      </c>
      <c r="B309" s="1" t="str">
        <f t="shared" si="8"/>
        <v>Corumba IV</v>
      </c>
      <c r="C309" s="1">
        <f t="shared" si="9"/>
        <v>-2494</v>
      </c>
      <c r="D309" s="2">
        <v>0</v>
      </c>
      <c r="E309" s="2">
        <v>0</v>
      </c>
      <c r="F309" s="2">
        <v>0</v>
      </c>
      <c r="G309" s="2">
        <v>2.1282000000000001</v>
      </c>
      <c r="H309" s="2">
        <v>109.06270000000001</v>
      </c>
      <c r="I309" s="2">
        <v>4.4733000000000001</v>
      </c>
      <c r="J309" s="2">
        <v>106.7176</v>
      </c>
      <c r="K309" s="2">
        <v>0</v>
      </c>
      <c r="L309" s="2">
        <v>0</v>
      </c>
    </row>
    <row r="310" spans="1:12" x14ac:dyDescent="0.35">
      <c r="A310" s="3" t="s">
        <v>321</v>
      </c>
      <c r="B310" s="1" t="str">
        <f t="shared" si="8"/>
        <v>Lago Paranoa</v>
      </c>
      <c r="C310" s="1">
        <f t="shared" si="9"/>
        <v>-2494</v>
      </c>
      <c r="D310" s="2">
        <v>0</v>
      </c>
      <c r="E310" s="2">
        <v>2302.4499999999998</v>
      </c>
      <c r="F310" s="2">
        <v>0.1525</v>
      </c>
      <c r="G310" s="2">
        <v>5.2587999999999999</v>
      </c>
      <c r="H310" s="2">
        <v>11.5618</v>
      </c>
      <c r="I310" s="2">
        <v>1.1091</v>
      </c>
      <c r="J310" s="2">
        <v>15.558999999999999</v>
      </c>
      <c r="K310" s="2">
        <v>2302.4499999999998</v>
      </c>
      <c r="L310" s="2">
        <v>0</v>
      </c>
    </row>
    <row r="311" spans="1:12" hidden="1" x14ac:dyDescent="0.35">
      <c r="A311" s="3" t="s">
        <v>322</v>
      </c>
      <c r="B311" s="1" t="str">
        <f t="shared" si="8"/>
        <v>Corumba IV</v>
      </c>
      <c r="C311" s="1">
        <f t="shared" si="9"/>
        <v>-2493</v>
      </c>
      <c r="D311" s="2">
        <v>0</v>
      </c>
      <c r="E311" s="2">
        <v>0</v>
      </c>
      <c r="F311" s="2">
        <v>0</v>
      </c>
      <c r="G311" s="2">
        <v>1.8134999999999999</v>
      </c>
      <c r="H311" s="2">
        <v>98.767300000000006</v>
      </c>
      <c r="I311" s="2">
        <v>4.4733000000000001</v>
      </c>
      <c r="J311" s="2">
        <v>96.107500000000002</v>
      </c>
      <c r="K311" s="2">
        <v>0</v>
      </c>
      <c r="L311" s="2">
        <v>0</v>
      </c>
    </row>
    <row r="312" spans="1:12" x14ac:dyDescent="0.35">
      <c r="A312" s="3" t="s">
        <v>323</v>
      </c>
      <c r="B312" s="1" t="str">
        <f t="shared" si="8"/>
        <v>Lago Paranoa</v>
      </c>
      <c r="C312" s="1">
        <f t="shared" si="9"/>
        <v>-2493</v>
      </c>
      <c r="D312" s="2">
        <v>0</v>
      </c>
      <c r="E312" s="2">
        <v>2302.4499999999998</v>
      </c>
      <c r="F312" s="2">
        <v>0.1527</v>
      </c>
      <c r="G312" s="2">
        <v>5.6779000000000002</v>
      </c>
      <c r="H312" s="2">
        <v>11.6694</v>
      </c>
      <c r="I312" s="2">
        <v>1.1091</v>
      </c>
      <c r="J312" s="2">
        <v>16.0855</v>
      </c>
      <c r="K312" s="2">
        <v>2302.4499999999998</v>
      </c>
      <c r="L312" s="2">
        <v>0</v>
      </c>
    </row>
    <row r="313" spans="1:12" hidden="1" x14ac:dyDescent="0.35">
      <c r="A313" s="3" t="s">
        <v>324</v>
      </c>
      <c r="B313" s="1" t="str">
        <f t="shared" si="8"/>
        <v>Corumba IV</v>
      </c>
      <c r="C313" s="1">
        <f t="shared" si="9"/>
        <v>-2492</v>
      </c>
      <c r="D313" s="2">
        <v>0</v>
      </c>
      <c r="E313" s="2">
        <v>0</v>
      </c>
      <c r="F313" s="2">
        <v>0</v>
      </c>
      <c r="G313" s="2">
        <v>3.246</v>
      </c>
      <c r="H313" s="2">
        <v>131.56909999999999</v>
      </c>
      <c r="I313" s="2">
        <v>4.5563000000000002</v>
      </c>
      <c r="J313" s="2">
        <v>130.25880000000001</v>
      </c>
      <c r="K313" s="2">
        <v>0</v>
      </c>
      <c r="L313" s="2">
        <v>0</v>
      </c>
    </row>
    <row r="314" spans="1:12" x14ac:dyDescent="0.35">
      <c r="A314" s="3" t="s">
        <v>325</v>
      </c>
      <c r="B314" s="1" t="str">
        <f t="shared" si="8"/>
        <v>Lago Paranoa</v>
      </c>
      <c r="C314" s="1">
        <f t="shared" si="9"/>
        <v>-2492</v>
      </c>
      <c r="D314" s="2">
        <v>0</v>
      </c>
      <c r="E314" s="2">
        <v>2302.4499999999998</v>
      </c>
      <c r="F314" s="2">
        <v>0.21629999999999999</v>
      </c>
      <c r="G314" s="2">
        <v>5.0214999999999996</v>
      </c>
      <c r="H314" s="2">
        <v>13.9856</v>
      </c>
      <c r="I314" s="2">
        <v>1.272</v>
      </c>
      <c r="J314" s="2">
        <v>17.518899999999999</v>
      </c>
      <c r="K314" s="2">
        <v>2302.4499999999998</v>
      </c>
      <c r="L314" s="2">
        <v>0</v>
      </c>
    </row>
    <row r="315" spans="1:12" hidden="1" x14ac:dyDescent="0.35">
      <c r="A315" s="3" t="s">
        <v>326</v>
      </c>
      <c r="B315" s="1" t="str">
        <f t="shared" si="8"/>
        <v>Corumba IV</v>
      </c>
      <c r="C315" s="1">
        <f t="shared" si="9"/>
        <v>-2491</v>
      </c>
      <c r="D315" s="2">
        <v>0</v>
      </c>
      <c r="E315" s="2">
        <v>0</v>
      </c>
      <c r="F315" s="2">
        <v>0</v>
      </c>
      <c r="G315" s="2">
        <v>2.4457</v>
      </c>
      <c r="H315" s="2">
        <v>121.99160000000001</v>
      </c>
      <c r="I315" s="2">
        <v>4.2152000000000003</v>
      </c>
      <c r="J315" s="2">
        <v>120.2221</v>
      </c>
      <c r="K315" s="2">
        <v>0</v>
      </c>
      <c r="L315" s="2">
        <v>0</v>
      </c>
    </row>
    <row r="316" spans="1:12" x14ac:dyDescent="0.35">
      <c r="A316" s="3" t="s">
        <v>327</v>
      </c>
      <c r="B316" s="1" t="str">
        <f t="shared" si="8"/>
        <v>Lago Paranoa</v>
      </c>
      <c r="C316" s="1">
        <f t="shared" si="9"/>
        <v>-2491</v>
      </c>
      <c r="D316" s="2">
        <v>0</v>
      </c>
      <c r="E316" s="2">
        <v>2302.4499999999998</v>
      </c>
      <c r="F316" s="2">
        <v>0.2165</v>
      </c>
      <c r="G316" s="2">
        <v>5.8216999999999999</v>
      </c>
      <c r="H316" s="2">
        <v>12.0213</v>
      </c>
      <c r="I316" s="2">
        <v>1.1927000000000001</v>
      </c>
      <c r="J316" s="2">
        <v>16.433700000000002</v>
      </c>
      <c r="K316" s="2">
        <v>2302.4499999999998</v>
      </c>
      <c r="L316" s="2">
        <v>0</v>
      </c>
    </row>
    <row r="317" spans="1:12" hidden="1" x14ac:dyDescent="0.35">
      <c r="A317" s="3" t="s">
        <v>328</v>
      </c>
      <c r="B317" s="1" t="str">
        <f t="shared" si="8"/>
        <v>Corumba IV</v>
      </c>
      <c r="C317" s="1">
        <f t="shared" si="9"/>
        <v>-2490</v>
      </c>
      <c r="D317" s="2">
        <v>0</v>
      </c>
      <c r="E317" s="2">
        <v>0</v>
      </c>
      <c r="F317" s="2">
        <v>0</v>
      </c>
      <c r="G317" s="2">
        <v>4.6731999999999996</v>
      </c>
      <c r="H317" s="2">
        <v>175.64779999999999</v>
      </c>
      <c r="I317" s="2">
        <v>4.2152000000000003</v>
      </c>
      <c r="J317" s="2">
        <v>176.10579999999999</v>
      </c>
      <c r="K317" s="2">
        <v>0</v>
      </c>
      <c r="L317" s="2">
        <v>0</v>
      </c>
    </row>
    <row r="318" spans="1:12" x14ac:dyDescent="0.35">
      <c r="A318" s="3" t="s">
        <v>329</v>
      </c>
      <c r="B318" s="1" t="str">
        <f t="shared" si="8"/>
        <v>Lago Paranoa</v>
      </c>
      <c r="C318" s="1">
        <f t="shared" si="9"/>
        <v>-2490</v>
      </c>
      <c r="D318" s="2">
        <v>0</v>
      </c>
      <c r="E318" s="2">
        <v>2302.4499999999998</v>
      </c>
      <c r="F318" s="2">
        <v>0.2167</v>
      </c>
      <c r="G318" s="2">
        <v>5.9013</v>
      </c>
      <c r="H318" s="2">
        <v>13.257999999999999</v>
      </c>
      <c r="I318" s="2">
        <v>1.1927000000000001</v>
      </c>
      <c r="J318" s="2">
        <v>17.7499</v>
      </c>
      <c r="K318" s="2">
        <v>2302.4499999999998</v>
      </c>
      <c r="L318" s="2">
        <v>0</v>
      </c>
    </row>
    <row r="319" spans="1:12" hidden="1" x14ac:dyDescent="0.35">
      <c r="A319" s="3" t="s">
        <v>330</v>
      </c>
      <c r="B319" s="1" t="str">
        <f t="shared" si="8"/>
        <v>Corumba IV</v>
      </c>
      <c r="C319" s="1">
        <f t="shared" si="9"/>
        <v>-2489</v>
      </c>
      <c r="D319" s="2">
        <v>0</v>
      </c>
      <c r="E319" s="2">
        <v>0</v>
      </c>
      <c r="F319" s="2">
        <v>0</v>
      </c>
      <c r="G319" s="2">
        <v>3.0922999999999998</v>
      </c>
      <c r="H319" s="2">
        <v>136.57769999999999</v>
      </c>
      <c r="I319" s="2">
        <v>4.2152000000000003</v>
      </c>
      <c r="J319" s="2">
        <v>135.4547</v>
      </c>
      <c r="K319" s="2">
        <v>0</v>
      </c>
      <c r="L319" s="2">
        <v>0</v>
      </c>
    </row>
    <row r="320" spans="1:12" x14ac:dyDescent="0.35">
      <c r="A320" s="3" t="s">
        <v>331</v>
      </c>
      <c r="B320" s="1" t="str">
        <f t="shared" si="8"/>
        <v>Lago Paranoa</v>
      </c>
      <c r="C320" s="1">
        <f t="shared" si="9"/>
        <v>-2489</v>
      </c>
      <c r="D320" s="2">
        <v>0</v>
      </c>
      <c r="E320" s="2">
        <v>2302.4499999999998</v>
      </c>
      <c r="F320" s="2">
        <v>0.21690000000000001</v>
      </c>
      <c r="G320" s="2">
        <v>6.9442000000000004</v>
      </c>
      <c r="H320" s="2">
        <v>13.4787</v>
      </c>
      <c r="I320" s="2">
        <v>1.1927000000000001</v>
      </c>
      <c r="J320" s="2">
        <v>19.013300000000001</v>
      </c>
      <c r="K320" s="2">
        <v>2302.4499999999998</v>
      </c>
      <c r="L320" s="2">
        <v>0</v>
      </c>
    </row>
    <row r="321" spans="1:12" hidden="1" x14ac:dyDescent="0.35">
      <c r="A321" s="3" t="s">
        <v>332</v>
      </c>
      <c r="B321" s="1" t="str">
        <f t="shared" si="8"/>
        <v>Corumba IV</v>
      </c>
      <c r="C321" s="1">
        <f t="shared" si="9"/>
        <v>-2488</v>
      </c>
      <c r="D321" s="2">
        <v>0</v>
      </c>
      <c r="E321" s="2">
        <v>0</v>
      </c>
      <c r="F321" s="2">
        <v>0</v>
      </c>
      <c r="G321" s="2">
        <v>3.4150999999999998</v>
      </c>
      <c r="H321" s="2">
        <v>137.7311</v>
      </c>
      <c r="I321" s="2">
        <v>4.1147999999999998</v>
      </c>
      <c r="J321" s="2">
        <v>137.03139999999999</v>
      </c>
      <c r="K321" s="2">
        <v>0</v>
      </c>
      <c r="L321" s="2">
        <v>0</v>
      </c>
    </row>
    <row r="322" spans="1:12" x14ac:dyDescent="0.35">
      <c r="A322" s="3" t="s">
        <v>333</v>
      </c>
      <c r="B322" s="1" t="str">
        <f t="shared" si="8"/>
        <v>Lago Paranoa</v>
      </c>
      <c r="C322" s="1">
        <f t="shared" si="9"/>
        <v>-2488</v>
      </c>
      <c r="D322" s="2">
        <v>0</v>
      </c>
      <c r="E322" s="2">
        <v>2302.4499999999998</v>
      </c>
      <c r="F322" s="2">
        <v>0.1318</v>
      </c>
      <c r="G322" s="2">
        <v>5.7630999999999997</v>
      </c>
      <c r="H322" s="2">
        <v>12.539099999999999</v>
      </c>
      <c r="I322" s="2">
        <v>1.1631</v>
      </c>
      <c r="J322" s="2">
        <v>17.007300000000001</v>
      </c>
      <c r="K322" s="2">
        <v>2302.4499999999998</v>
      </c>
      <c r="L322" s="2">
        <v>0</v>
      </c>
    </row>
    <row r="323" spans="1:12" hidden="1" x14ac:dyDescent="0.35">
      <c r="A323" s="3" t="s">
        <v>334</v>
      </c>
      <c r="B323" s="1" t="str">
        <f t="shared" ref="B323:B386" si="10">_xlfn.TEXTBEFORE(_xlfn.TEXTAFTER(A323,"["),"]")</f>
        <v>Corumba IV</v>
      </c>
      <c r="C323" s="1">
        <f t="shared" ref="C323:C386" si="11">--_xlfn.TEXTBEFORE(_xlfn.TEXTAFTER(A323,"Week "),":")</f>
        <v>-2487</v>
      </c>
      <c r="D323" s="2">
        <v>0</v>
      </c>
      <c r="E323" s="2">
        <v>0</v>
      </c>
      <c r="F323" s="2">
        <v>0</v>
      </c>
      <c r="G323" s="2">
        <v>4.2704000000000004</v>
      </c>
      <c r="H323" s="2">
        <v>157.91069999999999</v>
      </c>
      <c r="I323" s="2">
        <v>3.7570999999999999</v>
      </c>
      <c r="J323" s="2">
        <v>158.42400000000001</v>
      </c>
      <c r="K323" s="2">
        <v>0</v>
      </c>
      <c r="L323" s="2">
        <v>0</v>
      </c>
    </row>
    <row r="324" spans="1:12" x14ac:dyDescent="0.35">
      <c r="A324" s="3" t="s">
        <v>335</v>
      </c>
      <c r="B324" s="1" t="str">
        <f t="shared" si="10"/>
        <v>Lago Paranoa</v>
      </c>
      <c r="C324" s="1">
        <f t="shared" si="11"/>
        <v>-2487</v>
      </c>
      <c r="D324" s="2">
        <v>0</v>
      </c>
      <c r="E324" s="2">
        <v>2302.4499999999998</v>
      </c>
      <c r="F324" s="2">
        <v>0.13200000000000001</v>
      </c>
      <c r="G324" s="2">
        <v>5.8190999999999997</v>
      </c>
      <c r="H324" s="2">
        <v>15.465299999999999</v>
      </c>
      <c r="I324" s="2">
        <v>1.0602</v>
      </c>
      <c r="J324" s="2">
        <v>20.092199999999998</v>
      </c>
      <c r="K324" s="2">
        <v>2302.4499999999998</v>
      </c>
      <c r="L324" s="2">
        <v>0</v>
      </c>
    </row>
    <row r="325" spans="1:12" hidden="1" x14ac:dyDescent="0.35">
      <c r="A325" s="3" t="s">
        <v>336</v>
      </c>
      <c r="B325" s="1" t="str">
        <f t="shared" si="10"/>
        <v>Corumba IV</v>
      </c>
      <c r="C325" s="1">
        <f t="shared" si="11"/>
        <v>-2486</v>
      </c>
      <c r="D325" s="2">
        <v>0</v>
      </c>
      <c r="E325" s="2">
        <v>0</v>
      </c>
      <c r="F325" s="2">
        <v>0</v>
      </c>
      <c r="G325" s="2">
        <v>5.2596999999999996</v>
      </c>
      <c r="H325" s="2">
        <v>182.26859999999999</v>
      </c>
      <c r="I325" s="2">
        <v>3.7570999999999999</v>
      </c>
      <c r="J325" s="2">
        <v>183.77119999999999</v>
      </c>
      <c r="K325" s="2">
        <v>0</v>
      </c>
      <c r="L325" s="2">
        <v>0</v>
      </c>
    </row>
    <row r="326" spans="1:12" x14ac:dyDescent="0.35">
      <c r="A326" s="3" t="s">
        <v>337</v>
      </c>
      <c r="B326" s="1" t="str">
        <f t="shared" si="10"/>
        <v>Lago Paranoa</v>
      </c>
      <c r="C326" s="1">
        <f t="shared" si="11"/>
        <v>-2486</v>
      </c>
      <c r="D326" s="2">
        <v>0</v>
      </c>
      <c r="E326" s="2">
        <v>2302.4499999999998</v>
      </c>
      <c r="F326" s="2">
        <v>0.13220000000000001</v>
      </c>
      <c r="G326" s="2">
        <v>5.7641</v>
      </c>
      <c r="H326" s="2">
        <v>14.0998</v>
      </c>
      <c r="I326" s="2">
        <v>1.0602</v>
      </c>
      <c r="J326" s="2">
        <v>18.671500000000002</v>
      </c>
      <c r="K326" s="2">
        <v>2302.4499999999998</v>
      </c>
      <c r="L326" s="2">
        <v>0</v>
      </c>
    </row>
    <row r="327" spans="1:12" hidden="1" x14ac:dyDescent="0.35">
      <c r="A327" s="3" t="s">
        <v>338</v>
      </c>
      <c r="B327" s="1" t="str">
        <f t="shared" si="10"/>
        <v>Corumba IV</v>
      </c>
      <c r="C327" s="1">
        <f t="shared" si="11"/>
        <v>-2485</v>
      </c>
      <c r="D327" s="2">
        <v>0</v>
      </c>
      <c r="E327" s="2">
        <v>0</v>
      </c>
      <c r="F327" s="2">
        <v>0</v>
      </c>
      <c r="G327" s="2">
        <v>3.9451000000000001</v>
      </c>
      <c r="H327" s="2">
        <v>151.0514</v>
      </c>
      <c r="I327" s="2">
        <v>3.7570999999999999</v>
      </c>
      <c r="J327" s="2">
        <v>151.23939999999999</v>
      </c>
      <c r="K327" s="2">
        <v>0</v>
      </c>
      <c r="L327" s="2">
        <v>0</v>
      </c>
    </row>
    <row r="328" spans="1:12" x14ac:dyDescent="0.35">
      <c r="A328" s="3" t="s">
        <v>339</v>
      </c>
      <c r="B328" s="1" t="str">
        <f t="shared" si="10"/>
        <v>Lago Paranoa</v>
      </c>
      <c r="C328" s="1">
        <f t="shared" si="11"/>
        <v>-2485</v>
      </c>
      <c r="D328" s="2">
        <v>0</v>
      </c>
      <c r="E328" s="2">
        <v>2302.4499999999998</v>
      </c>
      <c r="F328" s="2">
        <v>0.13239999999999999</v>
      </c>
      <c r="G328" s="2">
        <v>6.6776999999999997</v>
      </c>
      <c r="H328" s="2">
        <v>13.821099999999999</v>
      </c>
      <c r="I328" s="2">
        <v>1.0602</v>
      </c>
      <c r="J328" s="2">
        <v>19.3062</v>
      </c>
      <c r="K328" s="2">
        <v>2302.4499999999998</v>
      </c>
      <c r="L328" s="2">
        <v>0</v>
      </c>
    </row>
    <row r="329" spans="1:12" hidden="1" x14ac:dyDescent="0.35">
      <c r="A329" s="3" t="s">
        <v>340</v>
      </c>
      <c r="B329" s="1" t="str">
        <f t="shared" si="10"/>
        <v>Corumba IV</v>
      </c>
      <c r="C329" s="1">
        <f t="shared" si="11"/>
        <v>-2484</v>
      </c>
      <c r="D329" s="2">
        <v>0</v>
      </c>
      <c r="E329" s="2">
        <v>0</v>
      </c>
      <c r="F329" s="2">
        <v>0</v>
      </c>
      <c r="G329" s="2">
        <v>5.4401000000000002</v>
      </c>
      <c r="H329" s="2">
        <v>186.89789999999999</v>
      </c>
      <c r="I329" s="2">
        <v>3.5295999999999998</v>
      </c>
      <c r="J329" s="2">
        <v>188.80840000000001</v>
      </c>
      <c r="K329" s="2">
        <v>0</v>
      </c>
      <c r="L329" s="2">
        <v>0</v>
      </c>
    </row>
    <row r="330" spans="1:12" x14ac:dyDescent="0.35">
      <c r="A330" s="3" t="s">
        <v>341</v>
      </c>
      <c r="B330" s="1" t="str">
        <f t="shared" si="10"/>
        <v>Lago Paranoa</v>
      </c>
      <c r="C330" s="1">
        <f t="shared" si="11"/>
        <v>-2484</v>
      </c>
      <c r="D330" s="2">
        <v>0</v>
      </c>
      <c r="E330" s="2">
        <v>2302.4499999999998</v>
      </c>
      <c r="F330" s="2">
        <v>0.13250000000000001</v>
      </c>
      <c r="G330" s="2">
        <v>7.1887999999999996</v>
      </c>
      <c r="H330" s="2">
        <v>21.6676</v>
      </c>
      <c r="I330" s="2">
        <v>0.97699999999999998</v>
      </c>
      <c r="J330" s="2">
        <v>27.7468</v>
      </c>
      <c r="K330" s="2">
        <v>2302.4499999999998</v>
      </c>
      <c r="L330" s="2">
        <v>0</v>
      </c>
    </row>
    <row r="331" spans="1:12" hidden="1" x14ac:dyDescent="0.35">
      <c r="A331" s="3" t="s">
        <v>342</v>
      </c>
      <c r="B331" s="1" t="str">
        <f t="shared" si="10"/>
        <v>Corumba IV</v>
      </c>
      <c r="C331" s="1">
        <f t="shared" si="11"/>
        <v>-2483</v>
      </c>
      <c r="D331" s="2">
        <v>0</v>
      </c>
      <c r="E331" s="2">
        <v>0</v>
      </c>
      <c r="F331" s="2">
        <v>0</v>
      </c>
      <c r="G331" s="2">
        <v>5.0553999999999997</v>
      </c>
      <c r="H331" s="2">
        <v>179.7362</v>
      </c>
      <c r="I331" s="2">
        <v>2.9609999999999999</v>
      </c>
      <c r="J331" s="2">
        <v>181.8306</v>
      </c>
      <c r="K331" s="2">
        <v>0</v>
      </c>
      <c r="L331" s="2">
        <v>0</v>
      </c>
    </row>
    <row r="332" spans="1:12" x14ac:dyDescent="0.35">
      <c r="A332" s="3" t="s">
        <v>343</v>
      </c>
      <c r="B332" s="1" t="str">
        <f t="shared" si="10"/>
        <v>Lago Paranoa</v>
      </c>
      <c r="C332" s="1">
        <f t="shared" si="11"/>
        <v>-2483</v>
      </c>
      <c r="D332" s="2">
        <v>0</v>
      </c>
      <c r="E332" s="2">
        <v>2302.4499999999998</v>
      </c>
      <c r="F332" s="2">
        <v>0.15359999999999999</v>
      </c>
      <c r="G332" s="2">
        <v>5.0057999999999998</v>
      </c>
      <c r="H332" s="2">
        <v>13.870900000000001</v>
      </c>
      <c r="I332" s="2">
        <v>0.76880000000000004</v>
      </c>
      <c r="J332" s="2">
        <v>17.9543</v>
      </c>
      <c r="K332" s="2">
        <v>2302.4499999999998</v>
      </c>
      <c r="L332" s="2">
        <v>0</v>
      </c>
    </row>
    <row r="333" spans="1:12" hidden="1" x14ac:dyDescent="0.35">
      <c r="A333" s="3" t="s">
        <v>344</v>
      </c>
      <c r="B333" s="1" t="str">
        <f t="shared" si="10"/>
        <v>Corumba IV</v>
      </c>
      <c r="C333" s="1">
        <f t="shared" si="11"/>
        <v>-2482</v>
      </c>
      <c r="D333" s="2">
        <v>0</v>
      </c>
      <c r="E333" s="2">
        <v>0</v>
      </c>
      <c r="F333" s="2">
        <v>0</v>
      </c>
      <c r="G333" s="2">
        <v>3.7505000000000002</v>
      </c>
      <c r="H333" s="2">
        <v>149.01410000000001</v>
      </c>
      <c r="I333" s="2">
        <v>2.9609999999999999</v>
      </c>
      <c r="J333" s="2">
        <v>149.80359999999999</v>
      </c>
      <c r="K333" s="2">
        <v>0</v>
      </c>
      <c r="L333" s="2">
        <v>0</v>
      </c>
    </row>
    <row r="334" spans="1:12" x14ac:dyDescent="0.35">
      <c r="A334" s="3" t="s">
        <v>345</v>
      </c>
      <c r="B334" s="1" t="str">
        <f t="shared" si="10"/>
        <v>Lago Paranoa</v>
      </c>
      <c r="C334" s="1">
        <f t="shared" si="11"/>
        <v>-2482</v>
      </c>
      <c r="D334" s="2">
        <v>0</v>
      </c>
      <c r="E334" s="2">
        <v>2302.4499999999998</v>
      </c>
      <c r="F334" s="2">
        <v>0.15379999999999999</v>
      </c>
      <c r="G334" s="2">
        <v>4.6153000000000004</v>
      </c>
      <c r="H334" s="2">
        <v>12.527900000000001</v>
      </c>
      <c r="I334" s="2">
        <v>0.76880000000000004</v>
      </c>
      <c r="J334" s="2">
        <v>16.220600000000001</v>
      </c>
      <c r="K334" s="2">
        <v>2302.4499999999998</v>
      </c>
      <c r="L334" s="2">
        <v>0</v>
      </c>
    </row>
    <row r="335" spans="1:12" hidden="1" x14ac:dyDescent="0.35">
      <c r="A335" s="3" t="s">
        <v>346</v>
      </c>
      <c r="B335" s="1" t="str">
        <f t="shared" si="10"/>
        <v>Corumba IV</v>
      </c>
      <c r="C335" s="1">
        <f t="shared" si="11"/>
        <v>-2481</v>
      </c>
      <c r="D335" s="2">
        <v>0</v>
      </c>
      <c r="E335" s="2">
        <v>0</v>
      </c>
      <c r="F335" s="2">
        <v>0</v>
      </c>
      <c r="G335" s="2">
        <v>2.9426000000000001</v>
      </c>
      <c r="H335" s="2">
        <v>129.65700000000001</v>
      </c>
      <c r="I335" s="2">
        <v>2.9609999999999999</v>
      </c>
      <c r="J335" s="2">
        <v>129.6386</v>
      </c>
      <c r="K335" s="2">
        <v>0</v>
      </c>
      <c r="L335" s="2">
        <v>0</v>
      </c>
    </row>
    <row r="336" spans="1:12" x14ac:dyDescent="0.35">
      <c r="A336" s="3" t="s">
        <v>347</v>
      </c>
      <c r="B336" s="1" t="str">
        <f t="shared" si="10"/>
        <v>Lago Paranoa</v>
      </c>
      <c r="C336" s="1">
        <f t="shared" si="11"/>
        <v>-2481</v>
      </c>
      <c r="D336" s="2">
        <v>0</v>
      </c>
      <c r="E336" s="2">
        <v>2302.4499999999998</v>
      </c>
      <c r="F336" s="2">
        <v>0.154</v>
      </c>
      <c r="G336" s="2">
        <v>4.6151999999999997</v>
      </c>
      <c r="H336" s="2">
        <v>10.6829</v>
      </c>
      <c r="I336" s="2">
        <v>0.76880000000000004</v>
      </c>
      <c r="J336" s="2">
        <v>14.375299999999999</v>
      </c>
      <c r="K336" s="2">
        <v>2302.4499999999998</v>
      </c>
      <c r="L336" s="2">
        <v>0</v>
      </c>
    </row>
    <row r="337" spans="1:12" hidden="1" x14ac:dyDescent="0.35">
      <c r="A337" s="3" t="s">
        <v>348</v>
      </c>
      <c r="B337" s="1" t="str">
        <f t="shared" si="10"/>
        <v>Corumba IV</v>
      </c>
      <c r="C337" s="1">
        <f t="shared" si="11"/>
        <v>-2480</v>
      </c>
      <c r="D337" s="2">
        <v>0</v>
      </c>
      <c r="E337" s="2">
        <v>0</v>
      </c>
      <c r="F337" s="2">
        <v>0</v>
      </c>
      <c r="G337" s="2">
        <v>1.4770000000000001</v>
      </c>
      <c r="H337" s="2">
        <v>98.159000000000006</v>
      </c>
      <c r="I337" s="2">
        <v>3.31</v>
      </c>
      <c r="J337" s="2">
        <v>96.326099999999997</v>
      </c>
      <c r="K337" s="2">
        <v>0</v>
      </c>
      <c r="L337" s="2">
        <v>0</v>
      </c>
    </row>
    <row r="338" spans="1:12" x14ac:dyDescent="0.35">
      <c r="A338" s="3" t="s">
        <v>349</v>
      </c>
      <c r="B338" s="1" t="str">
        <f t="shared" si="10"/>
        <v>Lago Paranoa</v>
      </c>
      <c r="C338" s="1">
        <f t="shared" si="11"/>
        <v>-2480</v>
      </c>
      <c r="D338" s="2">
        <v>0</v>
      </c>
      <c r="E338" s="2">
        <v>2302.4499999999998</v>
      </c>
      <c r="F338" s="2">
        <v>0.15409999999999999</v>
      </c>
      <c r="G338" s="2">
        <v>4.2508999999999997</v>
      </c>
      <c r="H338" s="2">
        <v>9.6306999999999992</v>
      </c>
      <c r="I338" s="2">
        <v>0.83750000000000002</v>
      </c>
      <c r="J338" s="2">
        <v>12.889900000000001</v>
      </c>
      <c r="K338" s="2">
        <v>2302.4499999999998</v>
      </c>
      <c r="L338" s="2">
        <v>0</v>
      </c>
    </row>
    <row r="339" spans="1:12" hidden="1" x14ac:dyDescent="0.35">
      <c r="A339" s="3" t="s">
        <v>350</v>
      </c>
      <c r="B339" s="1" t="str">
        <f t="shared" si="10"/>
        <v>Corumba IV</v>
      </c>
      <c r="C339" s="1">
        <f t="shared" si="11"/>
        <v>-2479</v>
      </c>
      <c r="D339" s="2">
        <v>0</v>
      </c>
      <c r="E339" s="2">
        <v>0</v>
      </c>
      <c r="F339" s="2">
        <v>0</v>
      </c>
      <c r="G339" s="2">
        <v>0.69210000000000005</v>
      </c>
      <c r="H339" s="2">
        <v>85.418499999999995</v>
      </c>
      <c r="I339" s="2">
        <v>3.5207999999999999</v>
      </c>
      <c r="J339" s="2">
        <v>82.5899</v>
      </c>
      <c r="K339" s="2">
        <v>0</v>
      </c>
      <c r="L339" s="2">
        <v>0</v>
      </c>
    </row>
    <row r="340" spans="1:12" x14ac:dyDescent="0.35">
      <c r="A340" s="3" t="s">
        <v>351</v>
      </c>
      <c r="B340" s="1" t="str">
        <f t="shared" si="10"/>
        <v>Lago Paranoa</v>
      </c>
      <c r="C340" s="1">
        <f t="shared" si="11"/>
        <v>-2479</v>
      </c>
      <c r="D340" s="2">
        <v>0</v>
      </c>
      <c r="E340" s="2">
        <v>2302.4499999999998</v>
      </c>
      <c r="F340" s="2">
        <v>0.1462</v>
      </c>
      <c r="G340" s="2">
        <v>3.4184000000000001</v>
      </c>
      <c r="H340" s="2">
        <v>9.2803000000000004</v>
      </c>
      <c r="I340" s="2">
        <v>0.97460000000000002</v>
      </c>
      <c r="J340" s="2">
        <v>11.5779</v>
      </c>
      <c r="K340" s="2">
        <v>2302.4499999999998</v>
      </c>
      <c r="L340" s="2">
        <v>0</v>
      </c>
    </row>
    <row r="341" spans="1:12" hidden="1" x14ac:dyDescent="0.35">
      <c r="A341" s="3" t="s">
        <v>352</v>
      </c>
      <c r="B341" s="1" t="str">
        <f t="shared" si="10"/>
        <v>Corumba IV</v>
      </c>
      <c r="C341" s="1">
        <f t="shared" si="11"/>
        <v>-2478</v>
      </c>
      <c r="D341" s="2">
        <v>0</v>
      </c>
      <c r="E341" s="2">
        <v>0</v>
      </c>
      <c r="F341" s="2">
        <v>0</v>
      </c>
      <c r="G341" s="2">
        <v>0.62290000000000001</v>
      </c>
      <c r="H341" s="2">
        <v>76.2834</v>
      </c>
      <c r="I341" s="2">
        <v>3.9243999999999999</v>
      </c>
      <c r="J341" s="2">
        <v>72.981899999999996</v>
      </c>
      <c r="K341" s="2">
        <v>0</v>
      </c>
      <c r="L341" s="2">
        <v>0</v>
      </c>
    </row>
    <row r="342" spans="1:12" x14ac:dyDescent="0.35">
      <c r="A342" s="3" t="s">
        <v>353</v>
      </c>
      <c r="B342" s="1" t="str">
        <f t="shared" si="10"/>
        <v>Lago Paranoa</v>
      </c>
      <c r="C342" s="1">
        <f t="shared" si="11"/>
        <v>-2478</v>
      </c>
      <c r="D342" s="2">
        <v>0</v>
      </c>
      <c r="E342" s="2">
        <v>2302.4499999999998</v>
      </c>
      <c r="F342" s="2">
        <v>0.1464</v>
      </c>
      <c r="G342" s="2">
        <v>3.5674999999999999</v>
      </c>
      <c r="H342" s="2">
        <v>8.9808000000000003</v>
      </c>
      <c r="I342" s="2">
        <v>0.99870000000000003</v>
      </c>
      <c r="J342" s="2">
        <v>11.4033</v>
      </c>
      <c r="K342" s="2">
        <v>2302.4499999999998</v>
      </c>
      <c r="L342" s="2">
        <v>0</v>
      </c>
    </row>
    <row r="343" spans="1:12" hidden="1" x14ac:dyDescent="0.35">
      <c r="A343" s="3" t="s">
        <v>354</v>
      </c>
      <c r="B343" s="1" t="str">
        <f t="shared" si="10"/>
        <v>Corumba IV</v>
      </c>
      <c r="C343" s="1">
        <f t="shared" si="11"/>
        <v>-2477</v>
      </c>
      <c r="D343" s="2">
        <v>0</v>
      </c>
      <c r="E343" s="2">
        <v>0</v>
      </c>
      <c r="F343" s="2">
        <v>0</v>
      </c>
      <c r="G343" s="2">
        <v>0.37909999999999999</v>
      </c>
      <c r="H343" s="2">
        <v>70.828999999999994</v>
      </c>
      <c r="I343" s="2">
        <v>3.9243999999999999</v>
      </c>
      <c r="J343" s="2">
        <v>67.283699999999996</v>
      </c>
      <c r="K343" s="2">
        <v>0</v>
      </c>
      <c r="L343" s="2">
        <v>0</v>
      </c>
    </row>
    <row r="344" spans="1:12" x14ac:dyDescent="0.35">
      <c r="A344" s="3" t="s">
        <v>355</v>
      </c>
      <c r="B344" s="1" t="str">
        <f t="shared" si="10"/>
        <v>Lago Paranoa</v>
      </c>
      <c r="C344" s="1">
        <f t="shared" si="11"/>
        <v>-2477</v>
      </c>
      <c r="D344" s="2">
        <v>0</v>
      </c>
      <c r="E344" s="2">
        <v>2302.4499999999998</v>
      </c>
      <c r="F344" s="2">
        <v>0.14649999999999999</v>
      </c>
      <c r="G344" s="2">
        <v>3.464</v>
      </c>
      <c r="H344" s="2">
        <v>7.5006000000000004</v>
      </c>
      <c r="I344" s="2">
        <v>0.99870000000000003</v>
      </c>
      <c r="J344" s="2">
        <v>9.8193000000000001</v>
      </c>
      <c r="K344" s="2">
        <v>2302.4499999999998</v>
      </c>
      <c r="L344" s="2">
        <v>0</v>
      </c>
    </row>
    <row r="345" spans="1:12" hidden="1" x14ac:dyDescent="0.35">
      <c r="A345" s="3" t="s">
        <v>356</v>
      </c>
      <c r="B345" s="1" t="str">
        <f t="shared" si="10"/>
        <v>Corumba IV</v>
      </c>
      <c r="C345" s="1">
        <f t="shared" si="11"/>
        <v>-2476</v>
      </c>
      <c r="D345" s="2">
        <v>0</v>
      </c>
      <c r="E345" s="2">
        <v>0</v>
      </c>
      <c r="F345" s="2">
        <v>0</v>
      </c>
      <c r="G345" s="2">
        <v>0.50029999999999997</v>
      </c>
      <c r="H345" s="2">
        <v>69.939899999999994</v>
      </c>
      <c r="I345" s="2">
        <v>3.9243999999999999</v>
      </c>
      <c r="J345" s="2">
        <v>66.515799999999999</v>
      </c>
      <c r="K345" s="2">
        <v>0</v>
      </c>
      <c r="L345" s="2">
        <v>0</v>
      </c>
    </row>
    <row r="346" spans="1:12" x14ac:dyDescent="0.35">
      <c r="A346" s="3" t="s">
        <v>357</v>
      </c>
      <c r="B346" s="1" t="str">
        <f t="shared" si="10"/>
        <v>Lago Paranoa</v>
      </c>
      <c r="C346" s="1">
        <f t="shared" si="11"/>
        <v>-2476</v>
      </c>
      <c r="D346" s="2">
        <v>0</v>
      </c>
      <c r="E346" s="2">
        <v>2302.4499999999998</v>
      </c>
      <c r="F346" s="2">
        <v>0.1467</v>
      </c>
      <c r="G346" s="2">
        <v>3.3043999999999998</v>
      </c>
      <c r="H346" s="2">
        <v>7.0541999999999998</v>
      </c>
      <c r="I346" s="2">
        <v>0.99870000000000003</v>
      </c>
      <c r="J346" s="2">
        <v>9.2132000000000005</v>
      </c>
      <c r="K346" s="2">
        <v>2302.4499999999998</v>
      </c>
      <c r="L346" s="2">
        <v>0</v>
      </c>
    </row>
    <row r="347" spans="1:12" hidden="1" x14ac:dyDescent="0.35">
      <c r="A347" s="3" t="s">
        <v>358</v>
      </c>
      <c r="B347" s="1" t="str">
        <f t="shared" si="10"/>
        <v>Corumba IV</v>
      </c>
      <c r="C347" s="1">
        <f t="shared" si="11"/>
        <v>-2475</v>
      </c>
      <c r="D347" s="2">
        <v>0</v>
      </c>
      <c r="E347" s="2">
        <v>0</v>
      </c>
      <c r="F347" s="2">
        <v>0</v>
      </c>
      <c r="G347" s="2">
        <v>0.3629</v>
      </c>
      <c r="H347" s="2">
        <v>66.988500000000002</v>
      </c>
      <c r="I347" s="2">
        <v>4.2992999999999997</v>
      </c>
      <c r="J347" s="2">
        <v>63.052100000000003</v>
      </c>
      <c r="K347" s="2">
        <v>0</v>
      </c>
      <c r="L347" s="2">
        <v>0</v>
      </c>
    </row>
    <row r="348" spans="1:12" x14ac:dyDescent="0.35">
      <c r="A348" s="3" t="s">
        <v>359</v>
      </c>
      <c r="B348" s="1" t="str">
        <f t="shared" si="10"/>
        <v>Lago Paranoa</v>
      </c>
      <c r="C348" s="1">
        <f t="shared" si="11"/>
        <v>-2475</v>
      </c>
      <c r="D348" s="2">
        <v>0</v>
      </c>
      <c r="E348" s="2">
        <v>2302.4499999999998</v>
      </c>
      <c r="F348" s="2">
        <v>0.1757</v>
      </c>
      <c r="G348" s="2">
        <v>2.9342999999999999</v>
      </c>
      <c r="H348" s="2">
        <v>6.5252999999999997</v>
      </c>
      <c r="I348" s="2">
        <v>1.0036</v>
      </c>
      <c r="J348" s="2">
        <v>8.2802000000000007</v>
      </c>
      <c r="K348" s="2">
        <v>2302.4499999999998</v>
      </c>
      <c r="L348" s="2">
        <v>0</v>
      </c>
    </row>
    <row r="349" spans="1:12" hidden="1" x14ac:dyDescent="0.35">
      <c r="A349" s="3" t="s">
        <v>360</v>
      </c>
      <c r="B349" s="1" t="str">
        <f t="shared" si="10"/>
        <v>Corumba IV</v>
      </c>
      <c r="C349" s="1">
        <f t="shared" si="11"/>
        <v>-2474</v>
      </c>
      <c r="D349" s="2">
        <v>0</v>
      </c>
      <c r="E349" s="2">
        <v>0</v>
      </c>
      <c r="F349" s="2">
        <v>0</v>
      </c>
      <c r="G349" s="2">
        <v>0.3629</v>
      </c>
      <c r="H349" s="2">
        <v>62.530200000000001</v>
      </c>
      <c r="I349" s="2">
        <v>4.4827000000000004</v>
      </c>
      <c r="J349" s="2">
        <v>58.410299999999999</v>
      </c>
      <c r="K349" s="2">
        <v>0</v>
      </c>
      <c r="L349" s="2">
        <v>0</v>
      </c>
    </row>
    <row r="350" spans="1:12" x14ac:dyDescent="0.35">
      <c r="A350" s="3" t="s">
        <v>361</v>
      </c>
      <c r="B350" s="1" t="str">
        <f t="shared" si="10"/>
        <v>Lago Paranoa</v>
      </c>
      <c r="C350" s="1">
        <f t="shared" si="11"/>
        <v>-2474</v>
      </c>
      <c r="D350" s="2">
        <v>0</v>
      </c>
      <c r="E350" s="2">
        <v>2302.4499999999998</v>
      </c>
      <c r="F350" s="2">
        <v>0.1759</v>
      </c>
      <c r="G350" s="2">
        <v>2.8407</v>
      </c>
      <c r="H350" s="2">
        <v>6.3174999999999999</v>
      </c>
      <c r="I350" s="2">
        <v>0.92759999999999998</v>
      </c>
      <c r="J350" s="2">
        <v>8.0546000000000006</v>
      </c>
      <c r="K350" s="2">
        <v>2302.4499999999998</v>
      </c>
      <c r="L350" s="2">
        <v>0</v>
      </c>
    </row>
    <row r="351" spans="1:12" hidden="1" x14ac:dyDescent="0.35">
      <c r="A351" s="3" t="s">
        <v>362</v>
      </c>
      <c r="B351" s="1" t="str">
        <f t="shared" si="10"/>
        <v>Corumba IV</v>
      </c>
      <c r="C351" s="1">
        <f t="shared" si="11"/>
        <v>-2473</v>
      </c>
      <c r="D351" s="2">
        <v>0</v>
      </c>
      <c r="E351" s="2">
        <v>0</v>
      </c>
      <c r="F351" s="2">
        <v>0</v>
      </c>
      <c r="G351" s="2">
        <v>0.3629</v>
      </c>
      <c r="H351" s="2">
        <v>56.719099999999997</v>
      </c>
      <c r="I351" s="2">
        <v>4.4095000000000004</v>
      </c>
      <c r="J351" s="2">
        <v>52.672499999999999</v>
      </c>
      <c r="K351" s="2">
        <v>0</v>
      </c>
      <c r="L351" s="2">
        <v>0</v>
      </c>
    </row>
    <row r="352" spans="1:12" x14ac:dyDescent="0.35">
      <c r="A352" s="3" t="s">
        <v>363</v>
      </c>
      <c r="B352" s="1" t="str">
        <f t="shared" si="10"/>
        <v>Lago Paranoa</v>
      </c>
      <c r="C352" s="1">
        <f t="shared" si="11"/>
        <v>-2473</v>
      </c>
      <c r="D352" s="2">
        <v>0</v>
      </c>
      <c r="E352" s="2">
        <v>2302.4499999999998</v>
      </c>
      <c r="F352" s="2">
        <v>0.17610000000000001</v>
      </c>
      <c r="G352" s="2">
        <v>2.8027000000000002</v>
      </c>
      <c r="H352" s="2">
        <v>6.1311</v>
      </c>
      <c r="I352" s="2">
        <v>0.86799999999999999</v>
      </c>
      <c r="J352" s="2">
        <v>7.8897000000000004</v>
      </c>
      <c r="K352" s="2">
        <v>2302.4499999999998</v>
      </c>
      <c r="L352" s="2">
        <v>0</v>
      </c>
    </row>
    <row r="353" spans="1:12" hidden="1" x14ac:dyDescent="0.35">
      <c r="A353" s="3" t="s">
        <v>364</v>
      </c>
      <c r="B353" s="1" t="str">
        <f t="shared" si="10"/>
        <v>Corumba IV</v>
      </c>
      <c r="C353" s="1">
        <f t="shared" si="11"/>
        <v>-2472</v>
      </c>
      <c r="D353" s="2">
        <v>0</v>
      </c>
      <c r="E353" s="2">
        <v>0</v>
      </c>
      <c r="F353" s="2">
        <v>0</v>
      </c>
      <c r="G353" s="2">
        <v>0.3629</v>
      </c>
      <c r="H353" s="2">
        <v>53.790999999999997</v>
      </c>
      <c r="I353" s="2">
        <v>4.4095000000000004</v>
      </c>
      <c r="J353" s="2">
        <v>49.744399999999999</v>
      </c>
      <c r="K353" s="2">
        <v>0</v>
      </c>
      <c r="L353" s="2">
        <v>0</v>
      </c>
    </row>
    <row r="354" spans="1:12" x14ac:dyDescent="0.35">
      <c r="A354" s="3" t="s">
        <v>365</v>
      </c>
      <c r="B354" s="1" t="str">
        <f t="shared" si="10"/>
        <v>Lago Paranoa</v>
      </c>
      <c r="C354" s="1">
        <f t="shared" si="11"/>
        <v>-2472</v>
      </c>
      <c r="D354" s="2">
        <v>0</v>
      </c>
      <c r="E354" s="2">
        <v>2302.4499999999998</v>
      </c>
      <c r="F354" s="2">
        <v>0.17630000000000001</v>
      </c>
      <c r="G354" s="2">
        <v>2.7328999999999999</v>
      </c>
      <c r="H354" s="2">
        <v>5.9333</v>
      </c>
      <c r="I354" s="2">
        <v>0.86799999999999999</v>
      </c>
      <c r="J354" s="2">
        <v>7.6219000000000001</v>
      </c>
      <c r="K354" s="2">
        <v>2302.4499999999998</v>
      </c>
      <c r="L354" s="2">
        <v>0</v>
      </c>
    </row>
    <row r="355" spans="1:12" hidden="1" x14ac:dyDescent="0.35">
      <c r="A355" s="3" t="s">
        <v>366</v>
      </c>
      <c r="B355" s="1" t="str">
        <f t="shared" si="10"/>
        <v>Corumba IV</v>
      </c>
      <c r="C355" s="1">
        <f t="shared" si="11"/>
        <v>-2471</v>
      </c>
      <c r="D355" s="2">
        <v>0</v>
      </c>
      <c r="E355" s="2">
        <v>0</v>
      </c>
      <c r="F355" s="2">
        <v>0</v>
      </c>
      <c r="G355" s="2">
        <v>0.3629</v>
      </c>
      <c r="H355" s="2">
        <v>56.298200000000001</v>
      </c>
      <c r="I355" s="2">
        <v>4.0750000000000002</v>
      </c>
      <c r="J355" s="2">
        <v>52.586100000000002</v>
      </c>
      <c r="K355" s="2">
        <v>0</v>
      </c>
      <c r="L355" s="2">
        <v>0</v>
      </c>
    </row>
    <row r="356" spans="1:12" x14ac:dyDescent="0.35">
      <c r="A356" s="3" t="s">
        <v>367</v>
      </c>
      <c r="B356" s="1" t="str">
        <f t="shared" si="10"/>
        <v>Lago Paranoa</v>
      </c>
      <c r="C356" s="1">
        <f t="shared" si="11"/>
        <v>-2471</v>
      </c>
      <c r="D356" s="2">
        <v>0</v>
      </c>
      <c r="E356" s="2">
        <v>2302.4499999999998</v>
      </c>
      <c r="F356" s="2">
        <v>0.17649999999999999</v>
      </c>
      <c r="G356" s="2">
        <v>2.9318</v>
      </c>
      <c r="H356" s="2">
        <v>6.9198000000000004</v>
      </c>
      <c r="I356" s="2">
        <v>0.84130000000000005</v>
      </c>
      <c r="J356" s="2">
        <v>8.8338000000000001</v>
      </c>
      <c r="K356" s="2">
        <v>2302.4499999999998</v>
      </c>
      <c r="L356" s="2">
        <v>0</v>
      </c>
    </row>
    <row r="357" spans="1:12" hidden="1" x14ac:dyDescent="0.35">
      <c r="A357" s="3" t="s">
        <v>368</v>
      </c>
      <c r="B357" s="1" t="str">
        <f t="shared" si="10"/>
        <v>Corumba IV</v>
      </c>
      <c r="C357" s="1">
        <f t="shared" si="11"/>
        <v>-2470</v>
      </c>
      <c r="D357" s="2">
        <v>0</v>
      </c>
      <c r="E357" s="2">
        <v>0</v>
      </c>
      <c r="F357" s="2">
        <v>0</v>
      </c>
      <c r="G357" s="2">
        <v>0.3629</v>
      </c>
      <c r="H357" s="2">
        <v>50.552199999999999</v>
      </c>
      <c r="I357" s="2">
        <v>3.4424999999999999</v>
      </c>
      <c r="J357" s="2">
        <v>47.4726</v>
      </c>
      <c r="K357" s="2">
        <v>0</v>
      </c>
      <c r="L357" s="2">
        <v>0</v>
      </c>
    </row>
    <row r="358" spans="1:12" x14ac:dyDescent="0.35">
      <c r="A358" s="3" t="s">
        <v>369</v>
      </c>
      <c r="B358" s="1" t="str">
        <f t="shared" si="10"/>
        <v>Lago Paranoa</v>
      </c>
      <c r="C358" s="1">
        <f t="shared" si="11"/>
        <v>-2470</v>
      </c>
      <c r="D358" s="2">
        <v>0</v>
      </c>
      <c r="E358" s="2">
        <v>2302.4499999999998</v>
      </c>
      <c r="F358" s="2">
        <v>0.19259999999999999</v>
      </c>
      <c r="G358" s="2">
        <v>2.9546999999999999</v>
      </c>
      <c r="H358" s="2">
        <v>6.4268000000000001</v>
      </c>
      <c r="I358" s="2">
        <v>0.82899999999999996</v>
      </c>
      <c r="J358" s="2">
        <v>8.3598999999999997</v>
      </c>
      <c r="K358" s="2">
        <v>2302.4499999999998</v>
      </c>
      <c r="L358" s="2">
        <v>0</v>
      </c>
    </row>
    <row r="359" spans="1:12" hidden="1" x14ac:dyDescent="0.35">
      <c r="A359" s="3" t="s">
        <v>370</v>
      </c>
      <c r="B359" s="1" t="str">
        <f t="shared" si="10"/>
        <v>Corumba IV</v>
      </c>
      <c r="C359" s="1">
        <f t="shared" si="11"/>
        <v>-2469</v>
      </c>
      <c r="D359" s="2">
        <v>0</v>
      </c>
      <c r="E359" s="2">
        <v>0</v>
      </c>
      <c r="F359" s="2">
        <v>0</v>
      </c>
      <c r="G359" s="2">
        <v>0.3629</v>
      </c>
      <c r="H359" s="2">
        <v>46.207599999999999</v>
      </c>
      <c r="I359" s="2">
        <v>4.6647999999999996</v>
      </c>
      <c r="J359" s="2">
        <v>41.9056</v>
      </c>
      <c r="K359" s="2">
        <v>0</v>
      </c>
      <c r="L359" s="2">
        <v>0</v>
      </c>
    </row>
    <row r="360" spans="1:12" x14ac:dyDescent="0.35">
      <c r="A360" s="3" t="s">
        <v>371</v>
      </c>
      <c r="B360" s="1" t="str">
        <f t="shared" si="10"/>
        <v>Lago Paranoa</v>
      </c>
      <c r="C360" s="1">
        <f t="shared" si="11"/>
        <v>-2469</v>
      </c>
      <c r="D360" s="2">
        <v>0</v>
      </c>
      <c r="E360" s="2">
        <v>2302.4499999999998</v>
      </c>
      <c r="F360" s="2">
        <v>0.1928</v>
      </c>
      <c r="G360" s="2">
        <v>2.9056999999999999</v>
      </c>
      <c r="H360" s="2">
        <v>6.2332000000000001</v>
      </c>
      <c r="I360" s="2">
        <v>1.1564000000000001</v>
      </c>
      <c r="J360" s="2">
        <v>7.7897999999999996</v>
      </c>
      <c r="K360" s="2">
        <v>2302.4499999999998</v>
      </c>
      <c r="L360" s="2">
        <v>0</v>
      </c>
    </row>
    <row r="361" spans="1:12" hidden="1" x14ac:dyDescent="0.35">
      <c r="A361" s="3" t="s">
        <v>372</v>
      </c>
      <c r="B361" s="1" t="str">
        <f t="shared" si="10"/>
        <v>Corumba IV</v>
      </c>
      <c r="C361" s="1">
        <f t="shared" si="11"/>
        <v>-2468</v>
      </c>
      <c r="D361" s="2">
        <v>0</v>
      </c>
      <c r="E361" s="2">
        <v>0</v>
      </c>
      <c r="F361" s="2">
        <v>0</v>
      </c>
      <c r="G361" s="2">
        <v>0.3629</v>
      </c>
      <c r="H361" s="2">
        <v>43.167700000000004</v>
      </c>
      <c r="I361" s="2">
        <v>4.6647999999999996</v>
      </c>
      <c r="J361" s="2">
        <v>38.865699999999997</v>
      </c>
      <c r="K361" s="2">
        <v>0</v>
      </c>
      <c r="L361" s="2">
        <v>0</v>
      </c>
    </row>
    <row r="362" spans="1:12" x14ac:dyDescent="0.35">
      <c r="A362" s="3" t="s">
        <v>373</v>
      </c>
      <c r="B362" s="1" t="str">
        <f t="shared" si="10"/>
        <v>Lago Paranoa</v>
      </c>
      <c r="C362" s="1">
        <f t="shared" si="11"/>
        <v>-2468</v>
      </c>
      <c r="D362" s="2">
        <v>0</v>
      </c>
      <c r="E362" s="2">
        <v>2302.4499999999998</v>
      </c>
      <c r="F362" s="2">
        <v>0.193</v>
      </c>
      <c r="G362" s="2">
        <v>2.6772</v>
      </c>
      <c r="H362" s="2">
        <v>5.6604999999999999</v>
      </c>
      <c r="I362" s="2">
        <v>1.1564000000000001</v>
      </c>
      <c r="J362" s="2">
        <v>6.9884000000000004</v>
      </c>
      <c r="K362" s="2">
        <v>2302.4499999999998</v>
      </c>
      <c r="L362" s="2">
        <v>0</v>
      </c>
    </row>
    <row r="363" spans="1:12" hidden="1" x14ac:dyDescent="0.35">
      <c r="A363" s="3" t="s">
        <v>374</v>
      </c>
      <c r="B363" s="1" t="str">
        <f t="shared" si="10"/>
        <v>Corumba IV</v>
      </c>
      <c r="C363" s="1">
        <f t="shared" si="11"/>
        <v>-2467</v>
      </c>
      <c r="D363" s="2">
        <v>0</v>
      </c>
      <c r="E363" s="2">
        <v>0</v>
      </c>
      <c r="F363" s="2">
        <v>0</v>
      </c>
      <c r="G363" s="2">
        <v>0.3629</v>
      </c>
      <c r="H363" s="2">
        <v>41.049300000000002</v>
      </c>
      <c r="I363" s="2">
        <v>4.6647999999999996</v>
      </c>
      <c r="J363" s="2">
        <v>36.747399999999999</v>
      </c>
      <c r="K363" s="2">
        <v>0</v>
      </c>
      <c r="L363" s="2">
        <v>0</v>
      </c>
    </row>
    <row r="364" spans="1:12" x14ac:dyDescent="0.35">
      <c r="A364" s="3" t="s">
        <v>375</v>
      </c>
      <c r="B364" s="1" t="str">
        <f t="shared" si="10"/>
        <v>Lago Paranoa</v>
      </c>
      <c r="C364" s="1">
        <f t="shared" si="11"/>
        <v>-2467</v>
      </c>
      <c r="D364" s="2">
        <v>0</v>
      </c>
      <c r="E364" s="2">
        <v>2302.4499999999998</v>
      </c>
      <c r="F364" s="2">
        <v>0.19309999999999999</v>
      </c>
      <c r="G364" s="2">
        <v>2.3523000000000001</v>
      </c>
      <c r="H364" s="2">
        <v>5.5815000000000001</v>
      </c>
      <c r="I364" s="2">
        <v>1.1564000000000001</v>
      </c>
      <c r="J364" s="2">
        <v>6.5842999999999998</v>
      </c>
      <c r="K364" s="2">
        <v>2302.4499999999998</v>
      </c>
      <c r="L364" s="2">
        <v>0</v>
      </c>
    </row>
    <row r="365" spans="1:12" hidden="1" x14ac:dyDescent="0.35">
      <c r="A365" s="3" t="s">
        <v>376</v>
      </c>
      <c r="B365" s="1" t="str">
        <f t="shared" si="10"/>
        <v>Corumba IV</v>
      </c>
      <c r="C365" s="1">
        <f t="shared" si="11"/>
        <v>-2466</v>
      </c>
      <c r="D365" s="2">
        <v>0</v>
      </c>
      <c r="E365" s="2">
        <v>0</v>
      </c>
      <c r="F365" s="2">
        <v>0</v>
      </c>
      <c r="G365" s="2">
        <v>0.3629</v>
      </c>
      <c r="H365" s="2">
        <v>38.033999999999999</v>
      </c>
      <c r="I365" s="2">
        <v>5.8029000000000002</v>
      </c>
      <c r="J365" s="2">
        <v>32.594000000000001</v>
      </c>
      <c r="K365" s="2">
        <v>0</v>
      </c>
      <c r="L365" s="2">
        <v>0</v>
      </c>
    </row>
    <row r="366" spans="1:12" x14ac:dyDescent="0.35">
      <c r="A366" s="3" t="s">
        <v>377</v>
      </c>
      <c r="B366" s="1" t="str">
        <f t="shared" si="10"/>
        <v>Lago Paranoa</v>
      </c>
      <c r="C366" s="1">
        <f t="shared" si="11"/>
        <v>-2466</v>
      </c>
      <c r="D366" s="2">
        <v>0</v>
      </c>
      <c r="E366" s="2">
        <v>2302.4499999999998</v>
      </c>
      <c r="F366" s="2">
        <v>0.20749999999999999</v>
      </c>
      <c r="G366" s="2">
        <v>2.2423999999999999</v>
      </c>
      <c r="H366" s="2">
        <v>5.5239000000000003</v>
      </c>
      <c r="I366" s="2">
        <v>1.4234</v>
      </c>
      <c r="J366" s="2">
        <v>6.1353999999999997</v>
      </c>
      <c r="K366" s="2">
        <v>2302.4499999999998</v>
      </c>
      <c r="L366" s="2">
        <v>0</v>
      </c>
    </row>
    <row r="367" spans="1:12" hidden="1" x14ac:dyDescent="0.35">
      <c r="A367" s="3" t="s">
        <v>378</v>
      </c>
      <c r="B367" s="1" t="str">
        <f t="shared" si="10"/>
        <v>Corumba IV</v>
      </c>
      <c r="C367" s="1">
        <f t="shared" si="11"/>
        <v>-2465</v>
      </c>
      <c r="D367" s="2">
        <v>0</v>
      </c>
      <c r="E367" s="2">
        <v>0</v>
      </c>
      <c r="F367" s="2">
        <v>0</v>
      </c>
      <c r="G367" s="2">
        <v>0.3629</v>
      </c>
      <c r="H367" s="2">
        <v>35.522500000000001</v>
      </c>
      <c r="I367" s="2">
        <v>5.9926000000000004</v>
      </c>
      <c r="J367" s="2">
        <v>29.892800000000001</v>
      </c>
      <c r="K367" s="2">
        <v>0</v>
      </c>
      <c r="L367" s="2">
        <v>0</v>
      </c>
    </row>
    <row r="368" spans="1:12" x14ac:dyDescent="0.35">
      <c r="A368" s="3" t="s">
        <v>379</v>
      </c>
      <c r="B368" s="1" t="str">
        <f t="shared" si="10"/>
        <v>Lago Paranoa</v>
      </c>
      <c r="C368" s="1">
        <f t="shared" si="11"/>
        <v>-2465</v>
      </c>
      <c r="D368" s="2">
        <v>0</v>
      </c>
      <c r="E368" s="2">
        <v>2302.4499999999998</v>
      </c>
      <c r="F368" s="2">
        <v>0.2077</v>
      </c>
      <c r="G368" s="2">
        <v>2.4163000000000001</v>
      </c>
      <c r="H368" s="2">
        <v>5.3757000000000001</v>
      </c>
      <c r="I368" s="2">
        <v>1.4679</v>
      </c>
      <c r="J368" s="2">
        <v>6.1163999999999996</v>
      </c>
      <c r="K368" s="2">
        <v>2302.4499999999998</v>
      </c>
      <c r="L368" s="2">
        <v>0</v>
      </c>
    </row>
    <row r="369" spans="1:12" hidden="1" x14ac:dyDescent="0.35">
      <c r="A369" s="3" t="s">
        <v>380</v>
      </c>
      <c r="B369" s="1" t="str">
        <f t="shared" si="10"/>
        <v>Corumba IV</v>
      </c>
      <c r="C369" s="1">
        <f t="shared" si="11"/>
        <v>-2464</v>
      </c>
      <c r="D369" s="2">
        <v>0</v>
      </c>
      <c r="E369" s="2">
        <v>0</v>
      </c>
      <c r="F369" s="2">
        <v>0</v>
      </c>
      <c r="G369" s="2">
        <v>0.3629</v>
      </c>
      <c r="H369" s="2">
        <v>33.424700000000001</v>
      </c>
      <c r="I369" s="2">
        <v>5.9926000000000004</v>
      </c>
      <c r="J369" s="2">
        <v>27.795000000000002</v>
      </c>
      <c r="K369" s="2">
        <v>0</v>
      </c>
      <c r="L369" s="2">
        <v>0</v>
      </c>
    </row>
    <row r="370" spans="1:12" x14ac:dyDescent="0.35">
      <c r="A370" s="3" t="s">
        <v>381</v>
      </c>
      <c r="B370" s="1" t="str">
        <f t="shared" si="10"/>
        <v>Lago Paranoa</v>
      </c>
      <c r="C370" s="1">
        <f t="shared" si="11"/>
        <v>-2464</v>
      </c>
      <c r="D370" s="2">
        <v>0</v>
      </c>
      <c r="E370" s="2">
        <v>2302.4499999999998</v>
      </c>
      <c r="F370" s="2">
        <v>0.2079</v>
      </c>
      <c r="G370" s="2">
        <v>2.4603999999999999</v>
      </c>
      <c r="H370" s="2">
        <v>5.2343000000000002</v>
      </c>
      <c r="I370" s="2">
        <v>1.4679</v>
      </c>
      <c r="J370" s="2">
        <v>6.0189000000000004</v>
      </c>
      <c r="K370" s="2">
        <v>2302.4499999999998</v>
      </c>
      <c r="L370" s="2">
        <v>0</v>
      </c>
    </row>
    <row r="371" spans="1:12" hidden="1" x14ac:dyDescent="0.35">
      <c r="A371" s="3" t="s">
        <v>382</v>
      </c>
      <c r="B371" s="1" t="str">
        <f t="shared" si="10"/>
        <v>Corumba IV</v>
      </c>
      <c r="C371" s="1">
        <f t="shared" si="11"/>
        <v>-2463</v>
      </c>
      <c r="D371" s="2">
        <v>0</v>
      </c>
      <c r="E371" s="2">
        <v>0</v>
      </c>
      <c r="F371" s="2">
        <v>0</v>
      </c>
      <c r="G371" s="2">
        <v>0.3629</v>
      </c>
      <c r="H371" s="2">
        <v>31.653500000000001</v>
      </c>
      <c r="I371" s="2">
        <v>5.9926000000000004</v>
      </c>
      <c r="J371" s="2">
        <v>26.023800000000001</v>
      </c>
      <c r="K371" s="2">
        <v>0</v>
      </c>
      <c r="L371" s="2">
        <v>0</v>
      </c>
    </row>
    <row r="372" spans="1:12" x14ac:dyDescent="0.35">
      <c r="A372" s="3" t="s">
        <v>383</v>
      </c>
      <c r="B372" s="1" t="str">
        <f t="shared" si="10"/>
        <v>Lago Paranoa</v>
      </c>
      <c r="C372" s="1">
        <f t="shared" si="11"/>
        <v>-2463</v>
      </c>
      <c r="D372" s="2">
        <v>0</v>
      </c>
      <c r="E372" s="2">
        <v>2302.4499999999998</v>
      </c>
      <c r="F372" s="2">
        <v>0.20810000000000001</v>
      </c>
      <c r="G372" s="2">
        <v>2.4371999999999998</v>
      </c>
      <c r="H372" s="2">
        <v>5.1520000000000001</v>
      </c>
      <c r="I372" s="2">
        <v>1.4679</v>
      </c>
      <c r="J372" s="2">
        <v>5.9131999999999998</v>
      </c>
      <c r="K372" s="2">
        <v>2302.4499999999998</v>
      </c>
      <c r="L372" s="2">
        <v>0</v>
      </c>
    </row>
    <row r="373" spans="1:12" hidden="1" x14ac:dyDescent="0.35">
      <c r="A373" s="3" t="s">
        <v>384</v>
      </c>
      <c r="B373" s="1" t="str">
        <f t="shared" si="10"/>
        <v>Corumba IV</v>
      </c>
      <c r="C373" s="1">
        <f t="shared" si="11"/>
        <v>-2462</v>
      </c>
      <c r="D373" s="2">
        <v>0</v>
      </c>
      <c r="E373" s="2">
        <v>0</v>
      </c>
      <c r="F373" s="2">
        <v>0</v>
      </c>
      <c r="G373" s="2">
        <v>0.3629</v>
      </c>
      <c r="H373" s="2">
        <v>30.264199999999999</v>
      </c>
      <c r="I373" s="2">
        <v>6.1775000000000002</v>
      </c>
      <c r="J373" s="2">
        <v>24.4496</v>
      </c>
      <c r="K373" s="2">
        <v>0</v>
      </c>
      <c r="L373" s="2">
        <v>0</v>
      </c>
    </row>
    <row r="374" spans="1:12" x14ac:dyDescent="0.35">
      <c r="A374" s="3" t="s">
        <v>385</v>
      </c>
      <c r="B374" s="1" t="str">
        <f t="shared" si="10"/>
        <v>Lago Paranoa</v>
      </c>
      <c r="C374" s="1">
        <f t="shared" si="11"/>
        <v>-2462</v>
      </c>
      <c r="D374" s="2">
        <v>0</v>
      </c>
      <c r="E374" s="2">
        <v>2302.4499999999998</v>
      </c>
      <c r="F374" s="2">
        <v>0.25950000000000001</v>
      </c>
      <c r="G374" s="2">
        <v>2.4735</v>
      </c>
      <c r="H374" s="2">
        <v>5.2054999999999998</v>
      </c>
      <c r="I374" s="2">
        <v>1.4944</v>
      </c>
      <c r="J374" s="2">
        <v>5.9250999999999996</v>
      </c>
      <c r="K374" s="2">
        <v>2302.4499999999998</v>
      </c>
      <c r="L374" s="2">
        <v>0</v>
      </c>
    </row>
    <row r="375" spans="1:12" hidden="1" x14ac:dyDescent="0.35">
      <c r="A375" s="3" t="s">
        <v>386</v>
      </c>
      <c r="B375" s="1" t="str">
        <f t="shared" si="10"/>
        <v>Corumba IV</v>
      </c>
      <c r="C375" s="1">
        <f t="shared" si="11"/>
        <v>-2461</v>
      </c>
      <c r="D375" s="2">
        <v>0</v>
      </c>
      <c r="E375" s="2">
        <v>0</v>
      </c>
      <c r="F375" s="2">
        <v>0</v>
      </c>
      <c r="G375" s="2">
        <v>0.3629</v>
      </c>
      <c r="H375" s="2">
        <v>32.764600000000002</v>
      </c>
      <c r="I375" s="2">
        <v>6.5984999999999996</v>
      </c>
      <c r="J375" s="2">
        <v>26.529</v>
      </c>
      <c r="K375" s="2">
        <v>0</v>
      </c>
      <c r="L375" s="2">
        <v>0</v>
      </c>
    </row>
    <row r="376" spans="1:12" x14ac:dyDescent="0.35">
      <c r="A376" s="3" t="s">
        <v>387</v>
      </c>
      <c r="B376" s="1" t="str">
        <f t="shared" si="10"/>
        <v>Lago Paranoa</v>
      </c>
      <c r="C376" s="1">
        <f t="shared" si="11"/>
        <v>-2461</v>
      </c>
      <c r="D376" s="2">
        <v>0</v>
      </c>
      <c r="E376" s="2">
        <v>2302.4499999999998</v>
      </c>
      <c r="F376" s="2">
        <v>0.25969999999999999</v>
      </c>
      <c r="G376" s="2">
        <v>2.407</v>
      </c>
      <c r="H376" s="2">
        <v>5.3224</v>
      </c>
      <c r="I376" s="2">
        <v>1.5647</v>
      </c>
      <c r="J376" s="2">
        <v>5.9048999999999996</v>
      </c>
      <c r="K376" s="2">
        <v>2302.4499999999998</v>
      </c>
      <c r="L376" s="2">
        <v>0</v>
      </c>
    </row>
    <row r="377" spans="1:12" hidden="1" x14ac:dyDescent="0.35">
      <c r="A377" s="3" t="s">
        <v>388</v>
      </c>
      <c r="B377" s="1" t="str">
        <f t="shared" si="10"/>
        <v>Corumba IV</v>
      </c>
      <c r="C377" s="1">
        <f t="shared" si="11"/>
        <v>-2460</v>
      </c>
      <c r="D377" s="2">
        <v>0</v>
      </c>
      <c r="E377" s="2">
        <v>0</v>
      </c>
      <c r="F377" s="2">
        <v>0</v>
      </c>
      <c r="G377" s="2">
        <v>0.3629</v>
      </c>
      <c r="H377" s="2">
        <v>29.026900000000001</v>
      </c>
      <c r="I377" s="2">
        <v>6.5984999999999996</v>
      </c>
      <c r="J377" s="2">
        <v>22.7913</v>
      </c>
      <c r="K377" s="2">
        <v>0</v>
      </c>
      <c r="L377" s="2">
        <v>0</v>
      </c>
    </row>
    <row r="378" spans="1:12" x14ac:dyDescent="0.35">
      <c r="A378" s="3" t="s">
        <v>389</v>
      </c>
      <c r="B378" s="1" t="str">
        <f t="shared" si="10"/>
        <v>Lago Paranoa</v>
      </c>
      <c r="C378" s="1">
        <f t="shared" si="11"/>
        <v>-2460</v>
      </c>
      <c r="D378" s="2">
        <v>0</v>
      </c>
      <c r="E378" s="2">
        <v>2302.4499999999998</v>
      </c>
      <c r="F378" s="2">
        <v>0.26</v>
      </c>
      <c r="G378" s="2">
        <v>2.1993</v>
      </c>
      <c r="H378" s="2">
        <v>4.8056000000000001</v>
      </c>
      <c r="I378" s="2">
        <v>1.5647</v>
      </c>
      <c r="J378" s="2">
        <v>5.1802000000000001</v>
      </c>
      <c r="K378" s="2">
        <v>2302.4499999999998</v>
      </c>
      <c r="L378" s="2">
        <v>0</v>
      </c>
    </row>
    <row r="379" spans="1:12" hidden="1" x14ac:dyDescent="0.35">
      <c r="A379" s="3" t="s">
        <v>390</v>
      </c>
      <c r="B379" s="1" t="str">
        <f t="shared" si="10"/>
        <v>Corumba IV</v>
      </c>
      <c r="C379" s="1">
        <f t="shared" si="11"/>
        <v>-2459</v>
      </c>
      <c r="D379" s="2">
        <v>0</v>
      </c>
      <c r="E379" s="2">
        <v>0</v>
      </c>
      <c r="F379" s="2">
        <v>0</v>
      </c>
      <c r="G379" s="2">
        <v>0.3629</v>
      </c>
      <c r="H379" s="2">
        <v>26.802099999999999</v>
      </c>
      <c r="I379" s="2">
        <v>6.5984999999999996</v>
      </c>
      <c r="J379" s="2">
        <v>20.566500000000001</v>
      </c>
      <c r="K379" s="2">
        <v>0</v>
      </c>
      <c r="L379" s="2">
        <v>0</v>
      </c>
    </row>
    <row r="380" spans="1:12" x14ac:dyDescent="0.35">
      <c r="A380" s="3" t="s">
        <v>391</v>
      </c>
      <c r="B380" s="1" t="str">
        <f t="shared" si="10"/>
        <v>Lago Paranoa</v>
      </c>
      <c r="C380" s="1">
        <f t="shared" si="11"/>
        <v>-2459</v>
      </c>
      <c r="D380" s="2">
        <v>0</v>
      </c>
      <c r="E380" s="2">
        <v>2302.4499999999998</v>
      </c>
      <c r="F380" s="2">
        <v>0.26019999999999999</v>
      </c>
      <c r="G380" s="2">
        <v>2.2065000000000001</v>
      </c>
      <c r="H380" s="2">
        <v>4.4212999999999996</v>
      </c>
      <c r="I380" s="2">
        <v>1.5647</v>
      </c>
      <c r="J380" s="2">
        <v>4.8029000000000002</v>
      </c>
      <c r="K380" s="2">
        <v>2302.4499999999998</v>
      </c>
      <c r="L380" s="2">
        <v>0</v>
      </c>
    </row>
    <row r="381" spans="1:12" hidden="1" x14ac:dyDescent="0.35">
      <c r="A381" s="3" t="s">
        <v>392</v>
      </c>
      <c r="B381" s="1" t="str">
        <f t="shared" si="10"/>
        <v>Corumba IV</v>
      </c>
      <c r="C381" s="1">
        <f t="shared" si="11"/>
        <v>-2458</v>
      </c>
      <c r="D381" s="2">
        <v>0</v>
      </c>
      <c r="E381" s="2">
        <v>0</v>
      </c>
      <c r="F381" s="2">
        <v>0</v>
      </c>
      <c r="G381" s="2">
        <v>0.3629</v>
      </c>
      <c r="H381" s="2">
        <v>31.7866</v>
      </c>
      <c r="I381" s="2">
        <v>6.5670000000000002</v>
      </c>
      <c r="J381" s="2">
        <v>25.5825</v>
      </c>
      <c r="K381" s="2">
        <v>0</v>
      </c>
      <c r="L381" s="2">
        <v>0</v>
      </c>
    </row>
    <row r="382" spans="1:12" x14ac:dyDescent="0.35">
      <c r="A382" s="3" t="s">
        <v>393</v>
      </c>
      <c r="B382" s="1" t="str">
        <f t="shared" si="10"/>
        <v>Lago Paranoa</v>
      </c>
      <c r="C382" s="1">
        <f t="shared" si="11"/>
        <v>-2458</v>
      </c>
      <c r="D382" s="2">
        <v>0</v>
      </c>
      <c r="E382" s="2">
        <v>2302.4499999999998</v>
      </c>
      <c r="F382" s="2">
        <v>0.26050000000000001</v>
      </c>
      <c r="G382" s="2">
        <v>3.7885</v>
      </c>
      <c r="H382" s="2">
        <v>6.6471999999999998</v>
      </c>
      <c r="I382" s="2">
        <v>1.5672999999999999</v>
      </c>
      <c r="J382" s="2">
        <v>8.6079000000000008</v>
      </c>
      <c r="K382" s="2">
        <v>2302.4499999999998</v>
      </c>
      <c r="L382" s="2">
        <v>0</v>
      </c>
    </row>
    <row r="383" spans="1:12" hidden="1" x14ac:dyDescent="0.35">
      <c r="A383" s="3" t="s">
        <v>394</v>
      </c>
      <c r="B383" s="1" t="str">
        <f t="shared" si="10"/>
        <v>Corumba IV</v>
      </c>
      <c r="C383" s="1">
        <f t="shared" si="11"/>
        <v>-2457</v>
      </c>
      <c r="D383" s="2">
        <v>0</v>
      </c>
      <c r="E383" s="2">
        <v>0</v>
      </c>
      <c r="F383" s="2">
        <v>0</v>
      </c>
      <c r="G383" s="2">
        <v>0.3629</v>
      </c>
      <c r="H383" s="2">
        <v>44.6342</v>
      </c>
      <c r="I383" s="2">
        <v>6.3776999999999999</v>
      </c>
      <c r="J383" s="2">
        <v>38.619399999999999</v>
      </c>
      <c r="K383" s="2">
        <v>0</v>
      </c>
      <c r="L383" s="2">
        <v>0</v>
      </c>
    </row>
    <row r="384" spans="1:12" x14ac:dyDescent="0.35">
      <c r="A384" s="3" t="s">
        <v>395</v>
      </c>
      <c r="B384" s="1" t="str">
        <f t="shared" si="10"/>
        <v>Lago Paranoa</v>
      </c>
      <c r="C384" s="1">
        <f t="shared" si="11"/>
        <v>-2457</v>
      </c>
      <c r="D384" s="2">
        <v>0</v>
      </c>
      <c r="E384" s="2">
        <v>2302.4499999999998</v>
      </c>
      <c r="F384" s="2">
        <v>0.22950000000000001</v>
      </c>
      <c r="G384" s="2">
        <v>4.0460000000000003</v>
      </c>
      <c r="H384" s="2">
        <v>6.9542000000000002</v>
      </c>
      <c r="I384" s="2">
        <v>1.583</v>
      </c>
      <c r="J384" s="2">
        <v>9.1877999999999993</v>
      </c>
      <c r="K384" s="2">
        <v>2302.4499999999998</v>
      </c>
      <c r="L384" s="2">
        <v>0</v>
      </c>
    </row>
    <row r="385" spans="1:12" hidden="1" x14ac:dyDescent="0.35">
      <c r="A385" s="3" t="s">
        <v>396</v>
      </c>
      <c r="B385" s="1" t="str">
        <f t="shared" si="10"/>
        <v>Corumba IV</v>
      </c>
      <c r="C385" s="1">
        <f t="shared" si="11"/>
        <v>-2456</v>
      </c>
      <c r="D385" s="2">
        <v>0</v>
      </c>
      <c r="E385" s="2">
        <v>0</v>
      </c>
      <c r="F385" s="2">
        <v>0</v>
      </c>
      <c r="G385" s="2">
        <v>0.3629</v>
      </c>
      <c r="H385" s="2">
        <v>45.118099999999998</v>
      </c>
      <c r="I385" s="2">
        <v>6.3776999999999999</v>
      </c>
      <c r="J385" s="2">
        <v>39.103299999999997</v>
      </c>
      <c r="K385" s="2">
        <v>0</v>
      </c>
      <c r="L385" s="2">
        <v>0</v>
      </c>
    </row>
    <row r="386" spans="1:12" x14ac:dyDescent="0.35">
      <c r="A386" s="3" t="s">
        <v>397</v>
      </c>
      <c r="B386" s="1" t="str">
        <f t="shared" si="10"/>
        <v>Lago Paranoa</v>
      </c>
      <c r="C386" s="1">
        <f t="shared" si="11"/>
        <v>-2456</v>
      </c>
      <c r="D386" s="2">
        <v>0</v>
      </c>
      <c r="E386" s="2">
        <v>2302.4499999999998</v>
      </c>
      <c r="F386" s="2">
        <v>0.22969999999999999</v>
      </c>
      <c r="G386" s="2">
        <v>4.3769</v>
      </c>
      <c r="H386" s="2">
        <v>7.7925000000000004</v>
      </c>
      <c r="I386" s="2">
        <v>1.583</v>
      </c>
      <c r="J386" s="2">
        <v>10.3568</v>
      </c>
      <c r="K386" s="2">
        <v>2302.4499999999998</v>
      </c>
      <c r="L386" s="2">
        <v>0</v>
      </c>
    </row>
    <row r="387" spans="1:12" hidden="1" x14ac:dyDescent="0.35">
      <c r="A387" s="3" t="s">
        <v>398</v>
      </c>
      <c r="B387" s="1" t="str">
        <f t="shared" ref="B387:B450" si="12">_xlfn.TEXTBEFORE(_xlfn.TEXTAFTER(A387,"["),"]")</f>
        <v>Corumba IV</v>
      </c>
      <c r="C387" s="1">
        <f t="shared" ref="C387:C450" si="13">--_xlfn.TEXTBEFORE(_xlfn.TEXTAFTER(A387,"Week "),":")</f>
        <v>-2455</v>
      </c>
      <c r="D387" s="2">
        <v>0</v>
      </c>
      <c r="E387" s="2">
        <v>0</v>
      </c>
      <c r="F387" s="2">
        <v>0</v>
      </c>
      <c r="G387" s="2">
        <v>0.3629</v>
      </c>
      <c r="H387" s="2">
        <v>93.260199999999998</v>
      </c>
      <c r="I387" s="2">
        <v>6.3776999999999999</v>
      </c>
      <c r="J387" s="2">
        <v>87.2453</v>
      </c>
      <c r="K387" s="2">
        <v>0</v>
      </c>
      <c r="L387" s="2">
        <v>0</v>
      </c>
    </row>
    <row r="388" spans="1:12" x14ac:dyDescent="0.35">
      <c r="A388" s="3" t="s">
        <v>399</v>
      </c>
      <c r="B388" s="1" t="str">
        <f t="shared" si="12"/>
        <v>Lago Paranoa</v>
      </c>
      <c r="C388" s="1">
        <f t="shared" si="13"/>
        <v>-2455</v>
      </c>
      <c r="D388" s="2">
        <v>0</v>
      </c>
      <c r="E388" s="2">
        <v>2302.4499999999998</v>
      </c>
      <c r="F388" s="2">
        <v>0.22989999999999999</v>
      </c>
      <c r="G388" s="2">
        <v>5.4805999999999999</v>
      </c>
      <c r="H388" s="2">
        <v>13.4543</v>
      </c>
      <c r="I388" s="2">
        <v>1.583</v>
      </c>
      <c r="J388" s="2">
        <v>17.1221</v>
      </c>
      <c r="K388" s="2">
        <v>2302.4499999999998</v>
      </c>
      <c r="L388" s="2">
        <v>0</v>
      </c>
    </row>
    <row r="389" spans="1:12" hidden="1" x14ac:dyDescent="0.35">
      <c r="A389" s="3" t="s">
        <v>400</v>
      </c>
      <c r="B389" s="1" t="str">
        <f t="shared" si="12"/>
        <v>Corumba IV</v>
      </c>
      <c r="C389" s="1">
        <f t="shared" si="13"/>
        <v>-2454</v>
      </c>
      <c r="D389" s="2">
        <v>0</v>
      </c>
      <c r="E389" s="2">
        <v>0</v>
      </c>
      <c r="F389" s="2">
        <v>0</v>
      </c>
      <c r="G389" s="2">
        <v>0.3629</v>
      </c>
      <c r="H389" s="2">
        <v>95.869399999999999</v>
      </c>
      <c r="I389" s="2">
        <v>6.3776999999999999</v>
      </c>
      <c r="J389" s="2">
        <v>89.854600000000005</v>
      </c>
      <c r="K389" s="2">
        <v>0</v>
      </c>
      <c r="L389" s="2">
        <v>0</v>
      </c>
    </row>
    <row r="390" spans="1:12" x14ac:dyDescent="0.35">
      <c r="A390" s="3" t="s">
        <v>401</v>
      </c>
      <c r="B390" s="1" t="str">
        <f t="shared" si="12"/>
        <v>Lago Paranoa</v>
      </c>
      <c r="C390" s="1">
        <f t="shared" si="13"/>
        <v>-2454</v>
      </c>
      <c r="D390" s="2">
        <v>0</v>
      </c>
      <c r="E390" s="2">
        <v>2302.4499999999998</v>
      </c>
      <c r="F390" s="2">
        <v>0.2301</v>
      </c>
      <c r="G390" s="2">
        <v>7.7161999999999997</v>
      </c>
      <c r="H390" s="2">
        <v>10.7395</v>
      </c>
      <c r="I390" s="2">
        <v>1.583</v>
      </c>
      <c r="J390" s="2">
        <v>16.642700000000001</v>
      </c>
      <c r="K390" s="2">
        <v>2302.4499999999998</v>
      </c>
      <c r="L390" s="2">
        <v>0</v>
      </c>
    </row>
    <row r="391" spans="1:12" hidden="1" x14ac:dyDescent="0.35">
      <c r="A391" s="3" t="s">
        <v>402</v>
      </c>
      <c r="B391" s="1" t="str">
        <f t="shared" si="12"/>
        <v>Corumba IV</v>
      </c>
      <c r="C391" s="1">
        <f t="shared" si="13"/>
        <v>-2453</v>
      </c>
      <c r="D391" s="2">
        <v>0</v>
      </c>
      <c r="E391" s="2">
        <v>0</v>
      </c>
      <c r="F391" s="2">
        <v>0</v>
      </c>
      <c r="G391" s="2">
        <v>0.3629</v>
      </c>
      <c r="H391" s="2">
        <v>103.1054</v>
      </c>
      <c r="I391" s="2">
        <v>5.0914000000000001</v>
      </c>
      <c r="J391" s="2">
        <v>98.376999999999995</v>
      </c>
      <c r="K391" s="2">
        <v>0</v>
      </c>
      <c r="L391" s="2">
        <v>0</v>
      </c>
    </row>
    <row r="392" spans="1:12" x14ac:dyDescent="0.35">
      <c r="A392" s="3" t="s">
        <v>403</v>
      </c>
      <c r="B392" s="1" t="str">
        <f t="shared" si="12"/>
        <v>Lago Paranoa</v>
      </c>
      <c r="C392" s="1">
        <f t="shared" si="13"/>
        <v>-2453</v>
      </c>
      <c r="D392" s="2">
        <v>0</v>
      </c>
      <c r="E392" s="2">
        <v>2302.4499999999998</v>
      </c>
      <c r="F392" s="2">
        <v>0.2019</v>
      </c>
      <c r="G392" s="2">
        <v>4.4051</v>
      </c>
      <c r="H392" s="2">
        <v>11.201499999999999</v>
      </c>
      <c r="I392" s="2">
        <v>1.4177999999999999</v>
      </c>
      <c r="J392" s="2">
        <v>13.986800000000001</v>
      </c>
      <c r="K392" s="2">
        <v>2302.4499999999998</v>
      </c>
      <c r="L392" s="2">
        <v>0</v>
      </c>
    </row>
    <row r="393" spans="1:12" hidden="1" x14ac:dyDescent="0.35">
      <c r="A393" s="3" t="s">
        <v>404</v>
      </c>
      <c r="B393" s="1" t="str">
        <f t="shared" si="12"/>
        <v>Corumba IV</v>
      </c>
      <c r="C393" s="1">
        <f t="shared" si="13"/>
        <v>-2452</v>
      </c>
      <c r="D393" s="2">
        <v>0</v>
      </c>
      <c r="E393" s="2">
        <v>0</v>
      </c>
      <c r="F393" s="2">
        <v>0</v>
      </c>
      <c r="G393" s="2">
        <v>0.3629</v>
      </c>
      <c r="H393" s="2">
        <v>93.685199999999995</v>
      </c>
      <c r="I393" s="2">
        <v>3.7183999999999999</v>
      </c>
      <c r="J393" s="2">
        <v>90.329800000000006</v>
      </c>
      <c r="K393" s="2">
        <v>0</v>
      </c>
      <c r="L393" s="2">
        <v>0</v>
      </c>
    </row>
    <row r="394" spans="1:12" x14ac:dyDescent="0.35">
      <c r="A394" s="3" t="s">
        <v>405</v>
      </c>
      <c r="B394" s="1" t="str">
        <f t="shared" si="12"/>
        <v>Lago Paranoa</v>
      </c>
      <c r="C394" s="1">
        <f t="shared" si="13"/>
        <v>-2452</v>
      </c>
      <c r="D394" s="2">
        <v>0</v>
      </c>
      <c r="E394" s="2">
        <v>2302.4499999999998</v>
      </c>
      <c r="F394" s="2">
        <v>0.2021</v>
      </c>
      <c r="G394" s="2">
        <v>4.9090999999999996</v>
      </c>
      <c r="H394" s="2">
        <v>11.351599999999999</v>
      </c>
      <c r="I394" s="2">
        <v>1.0725</v>
      </c>
      <c r="J394" s="2">
        <v>14.9861</v>
      </c>
      <c r="K394" s="2">
        <v>2302.4499999999998</v>
      </c>
      <c r="L394" s="2">
        <v>0</v>
      </c>
    </row>
    <row r="395" spans="1:12" hidden="1" x14ac:dyDescent="0.35">
      <c r="A395" s="3" t="s">
        <v>406</v>
      </c>
      <c r="B395" s="1" t="str">
        <f t="shared" si="12"/>
        <v>Corumba IV</v>
      </c>
      <c r="C395" s="1">
        <f t="shared" si="13"/>
        <v>-2451</v>
      </c>
      <c r="D395" s="2">
        <v>0</v>
      </c>
      <c r="E395" s="2">
        <v>0</v>
      </c>
      <c r="F395" s="2">
        <v>0</v>
      </c>
      <c r="G395" s="2">
        <v>0.3629</v>
      </c>
      <c r="H395" s="2">
        <v>76.384500000000003</v>
      </c>
      <c r="I395" s="2">
        <v>3.5360999999999998</v>
      </c>
      <c r="J395" s="2">
        <v>73.211299999999994</v>
      </c>
      <c r="K395" s="2">
        <v>0</v>
      </c>
      <c r="L395" s="2">
        <v>0</v>
      </c>
    </row>
    <row r="396" spans="1:12" x14ac:dyDescent="0.35">
      <c r="A396" s="3" t="s">
        <v>407</v>
      </c>
      <c r="B396" s="1" t="str">
        <f t="shared" si="12"/>
        <v>Lago Paranoa</v>
      </c>
      <c r="C396" s="1">
        <f t="shared" si="13"/>
        <v>-2451</v>
      </c>
      <c r="D396" s="2">
        <v>0</v>
      </c>
      <c r="E396" s="2">
        <v>2302.4499999999998</v>
      </c>
      <c r="F396" s="2">
        <v>0.20230000000000001</v>
      </c>
      <c r="G396" s="2">
        <v>6.867</v>
      </c>
      <c r="H396" s="2">
        <v>13.285500000000001</v>
      </c>
      <c r="I396" s="2">
        <v>1.0158</v>
      </c>
      <c r="J396" s="2">
        <v>18.9345</v>
      </c>
      <c r="K396" s="2">
        <v>2302.4499999999998</v>
      </c>
      <c r="L396" s="2">
        <v>0</v>
      </c>
    </row>
    <row r="397" spans="1:12" hidden="1" x14ac:dyDescent="0.35">
      <c r="A397" s="3" t="s">
        <v>408</v>
      </c>
      <c r="B397" s="1" t="str">
        <f t="shared" si="12"/>
        <v>Corumba IV</v>
      </c>
      <c r="C397" s="1">
        <f t="shared" si="13"/>
        <v>-2450</v>
      </c>
      <c r="D397" s="2">
        <v>0</v>
      </c>
      <c r="E397" s="2">
        <v>0</v>
      </c>
      <c r="F397" s="2">
        <v>0</v>
      </c>
      <c r="G397" s="2">
        <v>0.3629</v>
      </c>
      <c r="H397" s="2">
        <v>107.479</v>
      </c>
      <c r="I397" s="2">
        <v>3.5360999999999998</v>
      </c>
      <c r="J397" s="2">
        <v>104.3058</v>
      </c>
      <c r="K397" s="2">
        <v>0</v>
      </c>
      <c r="L397" s="2">
        <v>0</v>
      </c>
    </row>
    <row r="398" spans="1:12" x14ac:dyDescent="0.35">
      <c r="A398" s="3" t="s">
        <v>409</v>
      </c>
      <c r="B398" s="1" t="str">
        <f t="shared" si="12"/>
        <v>Lago Paranoa</v>
      </c>
      <c r="C398" s="1">
        <f t="shared" si="13"/>
        <v>-2450</v>
      </c>
      <c r="D398" s="2">
        <v>0</v>
      </c>
      <c r="E398" s="2">
        <v>2302.4499999999998</v>
      </c>
      <c r="F398" s="2">
        <v>0.20250000000000001</v>
      </c>
      <c r="G398" s="2">
        <v>5.9695</v>
      </c>
      <c r="H398" s="2">
        <v>17.95</v>
      </c>
      <c r="I398" s="2">
        <v>1.0158</v>
      </c>
      <c r="J398" s="2">
        <v>22.7013</v>
      </c>
      <c r="K398" s="2">
        <v>2302.4499999999998</v>
      </c>
      <c r="L398" s="2">
        <v>0</v>
      </c>
    </row>
    <row r="399" spans="1:12" hidden="1" x14ac:dyDescent="0.35">
      <c r="A399" s="3" t="s">
        <v>410</v>
      </c>
      <c r="B399" s="1" t="str">
        <f t="shared" si="12"/>
        <v>Corumba IV</v>
      </c>
      <c r="C399" s="1">
        <f t="shared" si="13"/>
        <v>-2449</v>
      </c>
      <c r="D399" s="2">
        <v>0</v>
      </c>
      <c r="E399" s="2">
        <v>0</v>
      </c>
      <c r="F399" s="2">
        <v>0</v>
      </c>
      <c r="G399" s="2">
        <v>0.3629</v>
      </c>
      <c r="H399" s="2">
        <v>127.9731</v>
      </c>
      <c r="I399" s="2">
        <v>3.9268000000000001</v>
      </c>
      <c r="J399" s="2">
        <v>124.4092</v>
      </c>
      <c r="K399" s="2">
        <v>0</v>
      </c>
      <c r="L399" s="2">
        <v>0</v>
      </c>
    </row>
    <row r="400" spans="1:12" x14ac:dyDescent="0.35">
      <c r="A400" s="3" t="s">
        <v>411</v>
      </c>
      <c r="B400" s="1" t="str">
        <f t="shared" si="12"/>
        <v>Lago Paranoa</v>
      </c>
      <c r="C400" s="1">
        <f t="shared" si="13"/>
        <v>-2449</v>
      </c>
      <c r="D400" s="2">
        <v>0</v>
      </c>
      <c r="E400" s="2">
        <v>2302.4499999999998</v>
      </c>
      <c r="F400" s="2">
        <v>0.14349999999999999</v>
      </c>
      <c r="G400" s="2">
        <v>3.5863</v>
      </c>
      <c r="H400" s="2">
        <v>17.818000000000001</v>
      </c>
      <c r="I400" s="2">
        <v>1.0381</v>
      </c>
      <c r="J400" s="2">
        <v>20.2227</v>
      </c>
      <c r="K400" s="2">
        <v>2302.4499999999998</v>
      </c>
      <c r="L400" s="2">
        <v>0</v>
      </c>
    </row>
    <row r="401" spans="1:12" hidden="1" x14ac:dyDescent="0.35">
      <c r="A401" s="3" t="s">
        <v>412</v>
      </c>
      <c r="B401" s="1" t="str">
        <f t="shared" si="12"/>
        <v>Corumba IV</v>
      </c>
      <c r="C401" s="1">
        <f t="shared" si="13"/>
        <v>-2448</v>
      </c>
      <c r="D401" s="2">
        <v>0</v>
      </c>
      <c r="E401" s="2">
        <v>0</v>
      </c>
      <c r="F401" s="2">
        <v>0</v>
      </c>
      <c r="G401" s="2">
        <v>0.3629</v>
      </c>
      <c r="H401" s="2">
        <v>117.5403</v>
      </c>
      <c r="I401" s="2">
        <v>4.4478</v>
      </c>
      <c r="J401" s="2">
        <v>113.4554</v>
      </c>
      <c r="K401" s="2">
        <v>0</v>
      </c>
      <c r="L401" s="2">
        <v>0</v>
      </c>
    </row>
    <row r="402" spans="1:12" x14ac:dyDescent="0.35">
      <c r="A402" s="3" t="s">
        <v>413</v>
      </c>
      <c r="B402" s="1" t="str">
        <f t="shared" si="12"/>
        <v>Lago Paranoa</v>
      </c>
      <c r="C402" s="1">
        <f t="shared" si="13"/>
        <v>-2448</v>
      </c>
      <c r="D402" s="2">
        <v>0</v>
      </c>
      <c r="E402" s="2">
        <v>2302.4499999999998</v>
      </c>
      <c r="F402" s="2">
        <v>0.14360000000000001</v>
      </c>
      <c r="G402" s="2">
        <v>4.8356000000000003</v>
      </c>
      <c r="H402" s="2">
        <v>13.423299999999999</v>
      </c>
      <c r="I402" s="2">
        <v>1.0680000000000001</v>
      </c>
      <c r="J402" s="2">
        <v>17.0472</v>
      </c>
      <c r="K402" s="2">
        <v>2302.4499999999998</v>
      </c>
      <c r="L402" s="2">
        <v>0</v>
      </c>
    </row>
    <row r="403" spans="1:12" hidden="1" x14ac:dyDescent="0.35">
      <c r="A403" s="3" t="s">
        <v>414</v>
      </c>
      <c r="B403" s="1" t="str">
        <f t="shared" si="12"/>
        <v>Corumba IV</v>
      </c>
      <c r="C403" s="1">
        <f t="shared" si="13"/>
        <v>-2551</v>
      </c>
      <c r="D403" s="2">
        <v>0</v>
      </c>
      <c r="E403" s="2">
        <v>0</v>
      </c>
      <c r="F403" s="2">
        <v>0</v>
      </c>
      <c r="G403" s="2">
        <v>0.3629</v>
      </c>
      <c r="H403" s="2">
        <v>144.59129999999999</v>
      </c>
      <c r="I403" s="2">
        <v>4.3529</v>
      </c>
      <c r="J403" s="2">
        <v>140.60130000000001</v>
      </c>
      <c r="K403" s="2">
        <v>0</v>
      </c>
      <c r="L403" s="2">
        <v>0</v>
      </c>
    </row>
    <row r="404" spans="1:12" x14ac:dyDescent="0.35">
      <c r="A404" s="3" t="s">
        <v>415</v>
      </c>
      <c r="B404" s="1" t="str">
        <f t="shared" si="12"/>
        <v>Lago Paranoa</v>
      </c>
      <c r="C404" s="1">
        <f t="shared" si="13"/>
        <v>-2551</v>
      </c>
      <c r="D404" s="2">
        <v>0</v>
      </c>
      <c r="E404" s="2">
        <v>2302.4499999999998</v>
      </c>
      <c r="F404" s="2">
        <v>0.14380000000000001</v>
      </c>
      <c r="G404" s="2">
        <v>4.8971999999999998</v>
      </c>
      <c r="H404" s="2">
        <v>13.8253</v>
      </c>
      <c r="I404" s="2">
        <v>1.0916999999999999</v>
      </c>
      <c r="J404" s="2">
        <v>17.486999999999998</v>
      </c>
      <c r="K404" s="2">
        <v>2302.4499999999998</v>
      </c>
      <c r="L404" s="2">
        <v>0</v>
      </c>
    </row>
    <row r="405" spans="1:12" hidden="1" x14ac:dyDescent="0.35">
      <c r="A405" s="3" t="s">
        <v>416</v>
      </c>
      <c r="B405" s="1" t="str">
        <f t="shared" si="12"/>
        <v>Corumba IV</v>
      </c>
      <c r="C405" s="1">
        <f t="shared" si="13"/>
        <v>-2550</v>
      </c>
      <c r="D405" s="2">
        <v>0</v>
      </c>
      <c r="E405" s="2">
        <v>0</v>
      </c>
      <c r="F405" s="2">
        <v>0</v>
      </c>
      <c r="G405" s="2">
        <v>0.3629</v>
      </c>
      <c r="H405" s="2">
        <v>180.74529999999999</v>
      </c>
      <c r="I405" s="2">
        <v>4.3529</v>
      </c>
      <c r="J405" s="2">
        <v>176.75530000000001</v>
      </c>
      <c r="K405" s="2">
        <v>0</v>
      </c>
      <c r="L405" s="2">
        <v>0</v>
      </c>
    </row>
    <row r="406" spans="1:12" x14ac:dyDescent="0.35">
      <c r="A406" s="3" t="s">
        <v>417</v>
      </c>
      <c r="B406" s="1" t="str">
        <f t="shared" si="12"/>
        <v>Lago Paranoa</v>
      </c>
      <c r="C406" s="1">
        <f t="shared" si="13"/>
        <v>-2550</v>
      </c>
      <c r="D406" s="2">
        <v>0</v>
      </c>
      <c r="E406" s="2">
        <v>2302.4499999999998</v>
      </c>
      <c r="F406" s="2">
        <v>0.14399999999999999</v>
      </c>
      <c r="G406" s="2">
        <v>4.7034000000000002</v>
      </c>
      <c r="H406" s="2">
        <v>14.159700000000001</v>
      </c>
      <c r="I406" s="2">
        <v>1.0916999999999999</v>
      </c>
      <c r="J406" s="2">
        <v>17.627400000000002</v>
      </c>
      <c r="K406" s="2">
        <v>2302.4499999999998</v>
      </c>
      <c r="L406" s="2">
        <v>0</v>
      </c>
    </row>
    <row r="407" spans="1:12" hidden="1" x14ac:dyDescent="0.35">
      <c r="A407" s="3" t="s">
        <v>418</v>
      </c>
      <c r="B407" s="1" t="str">
        <f t="shared" si="12"/>
        <v>Corumba IV</v>
      </c>
      <c r="C407" s="1">
        <f t="shared" si="13"/>
        <v>-2549</v>
      </c>
      <c r="D407" s="2">
        <v>0</v>
      </c>
      <c r="E407" s="2">
        <v>0</v>
      </c>
      <c r="F407" s="2">
        <v>0</v>
      </c>
      <c r="G407" s="2">
        <v>0.3629</v>
      </c>
      <c r="H407" s="2">
        <v>161.11529999999999</v>
      </c>
      <c r="I407" s="2">
        <v>4.3529</v>
      </c>
      <c r="J407" s="2">
        <v>157.12530000000001</v>
      </c>
      <c r="K407" s="2">
        <v>0</v>
      </c>
      <c r="L407" s="2">
        <v>0</v>
      </c>
    </row>
    <row r="408" spans="1:12" x14ac:dyDescent="0.35">
      <c r="A408" s="3" t="s">
        <v>419</v>
      </c>
      <c r="B408" s="1" t="str">
        <f t="shared" si="12"/>
        <v>Lago Paranoa</v>
      </c>
      <c r="C408" s="1">
        <f t="shared" si="13"/>
        <v>-2549</v>
      </c>
      <c r="D408" s="2">
        <v>0</v>
      </c>
      <c r="E408" s="2">
        <v>2302.4499999999998</v>
      </c>
      <c r="F408" s="2">
        <v>0.14419999999999999</v>
      </c>
      <c r="G408" s="2">
        <v>6.2095000000000002</v>
      </c>
      <c r="H408" s="2">
        <v>17.078800000000001</v>
      </c>
      <c r="I408" s="2">
        <v>1.0916999999999999</v>
      </c>
      <c r="J408" s="2">
        <v>22.052399999999999</v>
      </c>
      <c r="K408" s="2">
        <v>2302.4499999999998</v>
      </c>
      <c r="L408" s="2">
        <v>0</v>
      </c>
    </row>
    <row r="409" spans="1:12" hidden="1" x14ac:dyDescent="0.35">
      <c r="A409" s="3" t="s">
        <v>420</v>
      </c>
      <c r="B409" s="1" t="str">
        <f t="shared" si="12"/>
        <v>Corumba IV</v>
      </c>
      <c r="C409" s="1">
        <f t="shared" si="13"/>
        <v>-2548</v>
      </c>
      <c r="D409" s="2">
        <v>0</v>
      </c>
      <c r="E409" s="2">
        <v>0</v>
      </c>
      <c r="F409" s="2">
        <v>0</v>
      </c>
      <c r="G409" s="2">
        <v>0.3629</v>
      </c>
      <c r="H409" s="2">
        <v>104.82389999999999</v>
      </c>
      <c r="I409" s="2">
        <v>3.9243000000000001</v>
      </c>
      <c r="J409" s="2">
        <v>101.2625</v>
      </c>
      <c r="K409" s="2">
        <v>0</v>
      </c>
      <c r="L409" s="2">
        <v>0</v>
      </c>
    </row>
    <row r="410" spans="1:12" x14ac:dyDescent="0.35">
      <c r="A410" s="3" t="s">
        <v>421</v>
      </c>
      <c r="B410" s="1" t="str">
        <f t="shared" si="12"/>
        <v>Lago Paranoa</v>
      </c>
      <c r="C410" s="1">
        <f t="shared" si="13"/>
        <v>-2548</v>
      </c>
      <c r="D410" s="2">
        <v>0</v>
      </c>
      <c r="E410" s="2">
        <v>2302.4499999999998</v>
      </c>
      <c r="F410" s="2">
        <v>0.1615</v>
      </c>
      <c r="G410" s="2">
        <v>3.9409999999999998</v>
      </c>
      <c r="H410" s="2">
        <v>9.6780000000000008</v>
      </c>
      <c r="I410" s="2">
        <v>0.78280000000000005</v>
      </c>
      <c r="J410" s="2">
        <v>12.6747</v>
      </c>
      <c r="K410" s="2">
        <v>2302.4499999999998</v>
      </c>
      <c r="L410" s="2">
        <v>0</v>
      </c>
    </row>
    <row r="411" spans="1:12" hidden="1" x14ac:dyDescent="0.35">
      <c r="A411" s="3" t="s">
        <v>422</v>
      </c>
      <c r="B411" s="1" t="str">
        <f t="shared" si="12"/>
        <v>Corumba IV</v>
      </c>
      <c r="C411" s="1">
        <f t="shared" si="13"/>
        <v>-2547</v>
      </c>
      <c r="D411" s="2">
        <v>0</v>
      </c>
      <c r="E411" s="2">
        <v>0</v>
      </c>
      <c r="F411" s="2">
        <v>0</v>
      </c>
      <c r="G411" s="2">
        <v>0.3629</v>
      </c>
      <c r="H411" s="2">
        <v>90.459900000000005</v>
      </c>
      <c r="I411" s="2">
        <v>3.9243000000000001</v>
      </c>
      <c r="J411" s="2">
        <v>86.898499999999999</v>
      </c>
      <c r="K411" s="2">
        <v>0</v>
      </c>
      <c r="L411" s="2">
        <v>0</v>
      </c>
    </row>
    <row r="412" spans="1:12" x14ac:dyDescent="0.35">
      <c r="A412" s="3" t="s">
        <v>423</v>
      </c>
      <c r="B412" s="1" t="str">
        <f t="shared" si="12"/>
        <v>Lago Paranoa</v>
      </c>
      <c r="C412" s="1">
        <f t="shared" si="13"/>
        <v>-2547</v>
      </c>
      <c r="D412" s="2">
        <v>0</v>
      </c>
      <c r="E412" s="2">
        <v>2302.4499999999998</v>
      </c>
      <c r="F412" s="2">
        <v>0.15229999999999999</v>
      </c>
      <c r="G412" s="2">
        <v>3.6699000000000002</v>
      </c>
      <c r="H412" s="2">
        <v>8.8400999999999996</v>
      </c>
      <c r="I412" s="2">
        <v>0.78280000000000005</v>
      </c>
      <c r="J412" s="2">
        <v>11.5749</v>
      </c>
      <c r="K412" s="2">
        <v>2302.4499999999998</v>
      </c>
      <c r="L412" s="2">
        <v>0</v>
      </c>
    </row>
    <row r="413" spans="1:12" hidden="1" x14ac:dyDescent="0.35">
      <c r="A413" s="3" t="s">
        <v>424</v>
      </c>
      <c r="B413" s="1" t="str">
        <f t="shared" si="12"/>
        <v>Corumba IV</v>
      </c>
      <c r="C413" s="1">
        <f t="shared" si="13"/>
        <v>-2546</v>
      </c>
      <c r="D413" s="2">
        <v>0</v>
      </c>
      <c r="E413" s="2">
        <v>0</v>
      </c>
      <c r="F413" s="2">
        <v>0</v>
      </c>
      <c r="G413" s="2">
        <v>0.3629</v>
      </c>
      <c r="H413" s="2">
        <v>81.807000000000002</v>
      </c>
      <c r="I413" s="2">
        <v>3.9243000000000001</v>
      </c>
      <c r="J413" s="2">
        <v>78.245599999999996</v>
      </c>
      <c r="K413" s="2">
        <v>0</v>
      </c>
      <c r="L413" s="2">
        <v>0</v>
      </c>
    </row>
    <row r="414" spans="1:12" x14ac:dyDescent="0.35">
      <c r="A414" s="3" t="s">
        <v>425</v>
      </c>
      <c r="B414" s="1" t="str">
        <f t="shared" si="12"/>
        <v>Lago Paranoa</v>
      </c>
      <c r="C414" s="1">
        <f t="shared" si="13"/>
        <v>-2546</v>
      </c>
      <c r="D414" s="2">
        <v>0</v>
      </c>
      <c r="E414" s="2">
        <v>2302.4499999999998</v>
      </c>
      <c r="F414" s="2">
        <v>0.1525</v>
      </c>
      <c r="G414" s="2">
        <v>3.4192</v>
      </c>
      <c r="H414" s="2">
        <v>8.4146999999999998</v>
      </c>
      <c r="I414" s="2">
        <v>0.78280000000000005</v>
      </c>
      <c r="J414" s="2">
        <v>10.8985</v>
      </c>
      <c r="K414" s="2">
        <v>2302.4499999999998</v>
      </c>
      <c r="L414" s="2">
        <v>0</v>
      </c>
    </row>
    <row r="415" spans="1:12" hidden="1" x14ac:dyDescent="0.35">
      <c r="A415" s="3" t="s">
        <v>426</v>
      </c>
      <c r="B415" s="1" t="str">
        <f t="shared" si="12"/>
        <v>Corumba IV</v>
      </c>
      <c r="C415" s="1">
        <f t="shared" si="13"/>
        <v>-2545</v>
      </c>
      <c r="D415" s="2">
        <v>0</v>
      </c>
      <c r="E415" s="2">
        <v>0</v>
      </c>
      <c r="F415" s="2">
        <v>0</v>
      </c>
      <c r="G415" s="2">
        <v>0.3629</v>
      </c>
      <c r="H415" s="2">
        <v>82.620900000000006</v>
      </c>
      <c r="I415" s="2">
        <v>4.1264000000000003</v>
      </c>
      <c r="J415" s="2">
        <v>78.857299999999995</v>
      </c>
      <c r="K415" s="2">
        <v>0</v>
      </c>
      <c r="L415" s="2">
        <v>0</v>
      </c>
    </row>
    <row r="416" spans="1:12" x14ac:dyDescent="0.35">
      <c r="A416" s="3" t="s">
        <v>427</v>
      </c>
      <c r="B416" s="1" t="str">
        <f t="shared" si="12"/>
        <v>Lago Paranoa</v>
      </c>
      <c r="C416" s="1">
        <f t="shared" si="13"/>
        <v>-2545</v>
      </c>
      <c r="D416" s="2">
        <v>0</v>
      </c>
      <c r="E416" s="2">
        <v>2302.4499999999998</v>
      </c>
      <c r="F416" s="2">
        <v>0.1527</v>
      </c>
      <c r="G416" s="2">
        <v>3.4668999999999999</v>
      </c>
      <c r="H416" s="2">
        <v>8.7835999999999999</v>
      </c>
      <c r="I416" s="2">
        <v>0.89590000000000003</v>
      </c>
      <c r="J416" s="2">
        <v>11.2019</v>
      </c>
      <c r="K416" s="2">
        <v>2302.4499999999998</v>
      </c>
      <c r="L416" s="2">
        <v>0</v>
      </c>
    </row>
    <row r="417" spans="1:12" hidden="1" x14ac:dyDescent="0.35">
      <c r="A417" s="3" t="s">
        <v>428</v>
      </c>
      <c r="B417" s="1" t="str">
        <f t="shared" si="12"/>
        <v>Corumba IV</v>
      </c>
      <c r="C417" s="1">
        <f t="shared" si="13"/>
        <v>-2544</v>
      </c>
      <c r="D417" s="2">
        <v>0</v>
      </c>
      <c r="E417" s="2">
        <v>0</v>
      </c>
      <c r="F417" s="2">
        <v>0</v>
      </c>
      <c r="G417" s="2">
        <v>0.3629</v>
      </c>
      <c r="H417" s="2">
        <v>86.111400000000003</v>
      </c>
      <c r="I417" s="2">
        <v>4.8048000000000002</v>
      </c>
      <c r="J417" s="2">
        <v>81.669499999999999</v>
      </c>
      <c r="K417" s="2">
        <v>0</v>
      </c>
      <c r="L417" s="2">
        <v>0</v>
      </c>
    </row>
    <row r="418" spans="1:12" x14ac:dyDescent="0.35">
      <c r="A418" s="3" t="s">
        <v>429</v>
      </c>
      <c r="B418" s="1" t="str">
        <f t="shared" si="12"/>
        <v>Lago Paranoa</v>
      </c>
      <c r="C418" s="1">
        <f t="shared" si="13"/>
        <v>-2544</v>
      </c>
      <c r="D418" s="2">
        <v>0</v>
      </c>
      <c r="E418" s="2">
        <v>2302.4499999999998</v>
      </c>
      <c r="F418" s="2">
        <v>0.21629999999999999</v>
      </c>
      <c r="G418" s="2">
        <v>3.6315</v>
      </c>
      <c r="H418" s="2">
        <v>8.9026999999999994</v>
      </c>
      <c r="I418" s="2">
        <v>1.3026</v>
      </c>
      <c r="J418" s="2">
        <v>11.0153</v>
      </c>
      <c r="K418" s="2">
        <v>2302.4499999999998</v>
      </c>
      <c r="L418" s="2">
        <v>0</v>
      </c>
    </row>
    <row r="419" spans="1:12" hidden="1" x14ac:dyDescent="0.35">
      <c r="A419" s="3" t="s">
        <v>430</v>
      </c>
      <c r="B419" s="1" t="str">
        <f t="shared" si="12"/>
        <v>Corumba IV</v>
      </c>
      <c r="C419" s="1">
        <f t="shared" si="13"/>
        <v>-2543</v>
      </c>
      <c r="D419" s="2">
        <v>0</v>
      </c>
      <c r="E419" s="2">
        <v>0</v>
      </c>
      <c r="F419" s="2">
        <v>0</v>
      </c>
      <c r="G419" s="2">
        <v>0.3629</v>
      </c>
      <c r="H419" s="2">
        <v>78.589399999999998</v>
      </c>
      <c r="I419" s="2">
        <v>4.9683999999999999</v>
      </c>
      <c r="J419" s="2">
        <v>73.983900000000006</v>
      </c>
      <c r="K419" s="2">
        <v>0</v>
      </c>
      <c r="L419" s="2">
        <v>0</v>
      </c>
    </row>
    <row r="420" spans="1:12" x14ac:dyDescent="0.35">
      <c r="A420" s="3" t="s">
        <v>431</v>
      </c>
      <c r="B420" s="1" t="str">
        <f t="shared" si="12"/>
        <v>Lago Paranoa</v>
      </c>
      <c r="C420" s="1">
        <f t="shared" si="13"/>
        <v>-2543</v>
      </c>
      <c r="D420" s="2">
        <v>0</v>
      </c>
      <c r="E420" s="2">
        <v>2302.4499999999998</v>
      </c>
      <c r="F420" s="2">
        <v>0.2165</v>
      </c>
      <c r="G420" s="2">
        <v>3.6128</v>
      </c>
      <c r="H420" s="2">
        <v>8.2210000000000001</v>
      </c>
      <c r="I420" s="2">
        <v>1.405</v>
      </c>
      <c r="J420" s="2">
        <v>10.212300000000001</v>
      </c>
      <c r="K420" s="2">
        <v>2302.4499999999998</v>
      </c>
      <c r="L420" s="2">
        <v>0</v>
      </c>
    </row>
    <row r="421" spans="1:12" hidden="1" x14ac:dyDescent="0.35">
      <c r="A421" s="3" t="s">
        <v>432</v>
      </c>
      <c r="B421" s="1" t="str">
        <f t="shared" si="12"/>
        <v>Corumba IV</v>
      </c>
      <c r="C421" s="1">
        <f t="shared" si="13"/>
        <v>-2542</v>
      </c>
      <c r="D421" s="2">
        <v>0</v>
      </c>
      <c r="E421" s="2">
        <v>0</v>
      </c>
      <c r="F421" s="2">
        <v>0</v>
      </c>
      <c r="G421" s="2">
        <v>0.3629</v>
      </c>
      <c r="H421" s="2">
        <v>89.200199999999995</v>
      </c>
      <c r="I421" s="2">
        <v>4.9683999999999999</v>
      </c>
      <c r="J421" s="2">
        <v>84.594700000000003</v>
      </c>
      <c r="K421" s="2">
        <v>0</v>
      </c>
      <c r="L421" s="2">
        <v>0</v>
      </c>
    </row>
    <row r="422" spans="1:12" x14ac:dyDescent="0.35">
      <c r="A422" s="3" t="s">
        <v>433</v>
      </c>
      <c r="B422" s="1" t="str">
        <f t="shared" si="12"/>
        <v>Lago Paranoa</v>
      </c>
      <c r="C422" s="1">
        <f t="shared" si="13"/>
        <v>-2542</v>
      </c>
      <c r="D422" s="2">
        <v>0</v>
      </c>
      <c r="E422" s="2">
        <v>2302.4499999999998</v>
      </c>
      <c r="F422" s="2">
        <v>0.2167</v>
      </c>
      <c r="G422" s="2">
        <v>4.0480999999999998</v>
      </c>
      <c r="H422" s="2">
        <v>9.0984999999999996</v>
      </c>
      <c r="I422" s="2">
        <v>1.405</v>
      </c>
      <c r="J422" s="2">
        <v>11.524900000000001</v>
      </c>
      <c r="K422" s="2">
        <v>2302.4499999999998</v>
      </c>
      <c r="L422" s="2">
        <v>0</v>
      </c>
    </row>
    <row r="423" spans="1:12" hidden="1" x14ac:dyDescent="0.35">
      <c r="A423" s="3" t="s">
        <v>434</v>
      </c>
      <c r="B423" s="1" t="str">
        <f t="shared" si="12"/>
        <v>Corumba IV</v>
      </c>
      <c r="C423" s="1">
        <f t="shared" si="13"/>
        <v>-2541</v>
      </c>
      <c r="D423" s="2">
        <v>0</v>
      </c>
      <c r="E423" s="2">
        <v>0</v>
      </c>
      <c r="F423" s="2">
        <v>0</v>
      </c>
      <c r="G423" s="2">
        <v>0.3629</v>
      </c>
      <c r="H423" s="2">
        <v>91.042299999999997</v>
      </c>
      <c r="I423" s="2">
        <v>4.9683999999999999</v>
      </c>
      <c r="J423" s="2">
        <v>86.436800000000005</v>
      </c>
      <c r="K423" s="2">
        <v>0</v>
      </c>
      <c r="L423" s="2">
        <v>0</v>
      </c>
    </row>
    <row r="424" spans="1:12" x14ac:dyDescent="0.35">
      <c r="A424" s="3" t="s">
        <v>435</v>
      </c>
      <c r="B424" s="1" t="str">
        <f t="shared" si="12"/>
        <v>Lago Paranoa</v>
      </c>
      <c r="C424" s="1">
        <f t="shared" si="13"/>
        <v>-2541</v>
      </c>
      <c r="D424" s="2">
        <v>0</v>
      </c>
      <c r="E424" s="2">
        <v>2302.4499999999998</v>
      </c>
      <c r="F424" s="2">
        <v>0.21690000000000001</v>
      </c>
      <c r="G424" s="2">
        <v>3.6158000000000001</v>
      </c>
      <c r="H424" s="2">
        <v>8.9509000000000007</v>
      </c>
      <c r="I424" s="2">
        <v>1.405</v>
      </c>
      <c r="J424" s="2">
        <v>10.944800000000001</v>
      </c>
      <c r="K424" s="2">
        <v>2302.4499999999998</v>
      </c>
      <c r="L424" s="2">
        <v>0</v>
      </c>
    </row>
    <row r="425" spans="1:12" hidden="1" x14ac:dyDescent="0.35">
      <c r="A425" s="3" t="s">
        <v>436</v>
      </c>
      <c r="B425" s="1" t="str">
        <f t="shared" si="12"/>
        <v>Corumba IV</v>
      </c>
      <c r="C425" s="1">
        <f t="shared" si="13"/>
        <v>-2540</v>
      </c>
      <c r="D425" s="2">
        <v>0</v>
      </c>
      <c r="E425" s="2">
        <v>0</v>
      </c>
      <c r="F425" s="2">
        <v>0</v>
      </c>
      <c r="G425" s="2">
        <v>0.3629</v>
      </c>
      <c r="H425" s="2">
        <v>96.420699999999997</v>
      </c>
      <c r="I425" s="2">
        <v>4.5151000000000003</v>
      </c>
      <c r="J425" s="2">
        <v>92.268500000000003</v>
      </c>
      <c r="K425" s="2">
        <v>0</v>
      </c>
      <c r="L425" s="2">
        <v>0</v>
      </c>
    </row>
    <row r="426" spans="1:12" x14ac:dyDescent="0.35">
      <c r="A426" s="3" t="s">
        <v>437</v>
      </c>
      <c r="B426" s="1" t="str">
        <f t="shared" si="12"/>
        <v>Lago Paranoa</v>
      </c>
      <c r="C426" s="1">
        <f t="shared" si="13"/>
        <v>-2540</v>
      </c>
      <c r="D426" s="2">
        <v>0</v>
      </c>
      <c r="E426" s="2">
        <v>2302.4499999999998</v>
      </c>
      <c r="F426" s="2">
        <v>0.1318</v>
      </c>
      <c r="G426" s="2">
        <v>4.5305999999999997</v>
      </c>
      <c r="H426" s="2">
        <v>9.9754000000000005</v>
      </c>
      <c r="I426" s="2">
        <v>1.2390000000000001</v>
      </c>
      <c r="J426" s="2">
        <v>13.1351</v>
      </c>
      <c r="K426" s="2">
        <v>2302.4499999999998</v>
      </c>
      <c r="L426" s="2">
        <v>0</v>
      </c>
    </row>
    <row r="427" spans="1:12" hidden="1" x14ac:dyDescent="0.35">
      <c r="A427" s="3" t="s">
        <v>438</v>
      </c>
      <c r="B427" s="1" t="str">
        <f t="shared" si="12"/>
        <v>Corumba IV</v>
      </c>
      <c r="C427" s="1">
        <f t="shared" si="13"/>
        <v>-2539</v>
      </c>
      <c r="D427" s="2">
        <v>0</v>
      </c>
      <c r="E427" s="2">
        <v>0</v>
      </c>
      <c r="F427" s="2">
        <v>0</v>
      </c>
      <c r="G427" s="2">
        <v>1.3168</v>
      </c>
      <c r="H427" s="2">
        <v>103.4796</v>
      </c>
      <c r="I427" s="2">
        <v>4.3304999999999998</v>
      </c>
      <c r="J427" s="2">
        <v>100.4658</v>
      </c>
      <c r="K427" s="2">
        <v>0</v>
      </c>
      <c r="L427" s="2">
        <v>0</v>
      </c>
    </row>
    <row r="428" spans="1:12" x14ac:dyDescent="0.35">
      <c r="A428" s="3" t="s">
        <v>439</v>
      </c>
      <c r="B428" s="1" t="str">
        <f t="shared" si="12"/>
        <v>Lago Paranoa</v>
      </c>
      <c r="C428" s="1">
        <f t="shared" si="13"/>
        <v>-2539</v>
      </c>
      <c r="D428" s="2">
        <v>0</v>
      </c>
      <c r="E428" s="2">
        <v>2302.4499999999998</v>
      </c>
      <c r="F428" s="2">
        <v>0.13200000000000001</v>
      </c>
      <c r="G428" s="2">
        <v>3.7866</v>
      </c>
      <c r="H428" s="2">
        <v>9.5404999999999998</v>
      </c>
      <c r="I428" s="2">
        <v>1.1223000000000001</v>
      </c>
      <c r="J428" s="2">
        <v>12.072800000000001</v>
      </c>
      <c r="K428" s="2">
        <v>2302.4499999999998</v>
      </c>
      <c r="L428" s="2">
        <v>0</v>
      </c>
    </row>
    <row r="429" spans="1:12" hidden="1" x14ac:dyDescent="0.35">
      <c r="A429" s="3" t="s">
        <v>440</v>
      </c>
      <c r="B429" s="1" t="str">
        <f t="shared" si="12"/>
        <v>Corumba IV</v>
      </c>
      <c r="C429" s="1">
        <f t="shared" si="13"/>
        <v>-2538</v>
      </c>
      <c r="D429" s="2">
        <v>0</v>
      </c>
      <c r="E429" s="2">
        <v>0</v>
      </c>
      <c r="F429" s="2">
        <v>0</v>
      </c>
      <c r="G429" s="2">
        <v>1.4360999999999999</v>
      </c>
      <c r="H429" s="2">
        <v>90.842699999999994</v>
      </c>
      <c r="I429" s="2">
        <v>4.133</v>
      </c>
      <c r="J429" s="2">
        <v>88.145799999999994</v>
      </c>
      <c r="K429" s="2">
        <v>0</v>
      </c>
      <c r="L429" s="2">
        <v>0</v>
      </c>
    </row>
    <row r="430" spans="1:12" x14ac:dyDescent="0.35">
      <c r="A430" s="3" t="s">
        <v>441</v>
      </c>
      <c r="B430" s="1" t="str">
        <f t="shared" si="12"/>
        <v>Lago Paranoa</v>
      </c>
      <c r="C430" s="1">
        <f t="shared" si="13"/>
        <v>-2538</v>
      </c>
      <c r="D430" s="2">
        <v>0</v>
      </c>
      <c r="E430" s="2">
        <v>2302.4499999999998</v>
      </c>
      <c r="F430" s="2">
        <v>0.13220000000000001</v>
      </c>
      <c r="G430" s="2">
        <v>3.7368999999999999</v>
      </c>
      <c r="H430" s="2">
        <v>9.4727999999999994</v>
      </c>
      <c r="I430" s="2">
        <v>1.0269999999999999</v>
      </c>
      <c r="J430" s="2">
        <v>12.0505</v>
      </c>
      <c r="K430" s="2">
        <v>2302.4499999999998</v>
      </c>
      <c r="L430" s="2">
        <v>0</v>
      </c>
    </row>
    <row r="431" spans="1:12" hidden="1" x14ac:dyDescent="0.35">
      <c r="A431" s="3" t="s">
        <v>442</v>
      </c>
      <c r="B431" s="1" t="str">
        <f t="shared" si="12"/>
        <v>Corumba IV</v>
      </c>
      <c r="C431" s="1">
        <f t="shared" si="13"/>
        <v>-2537</v>
      </c>
      <c r="D431" s="2">
        <v>0</v>
      </c>
      <c r="E431" s="2">
        <v>0</v>
      </c>
      <c r="F431" s="2">
        <v>0</v>
      </c>
      <c r="G431" s="2">
        <v>2.2902</v>
      </c>
      <c r="H431" s="2">
        <v>111.88200000000001</v>
      </c>
      <c r="I431" s="2">
        <v>4.133</v>
      </c>
      <c r="J431" s="2">
        <v>110.0391</v>
      </c>
      <c r="K431" s="2">
        <v>0</v>
      </c>
      <c r="L431" s="2">
        <v>0</v>
      </c>
    </row>
    <row r="432" spans="1:12" x14ac:dyDescent="0.35">
      <c r="A432" s="3" t="s">
        <v>443</v>
      </c>
      <c r="B432" s="1" t="str">
        <f t="shared" si="12"/>
        <v>Lago Paranoa</v>
      </c>
      <c r="C432" s="1">
        <f t="shared" si="13"/>
        <v>-2537</v>
      </c>
      <c r="D432" s="2">
        <v>0</v>
      </c>
      <c r="E432" s="2">
        <v>2302.4499999999998</v>
      </c>
      <c r="F432" s="2">
        <v>0.13239999999999999</v>
      </c>
      <c r="G432" s="2">
        <v>3.4325999999999999</v>
      </c>
      <c r="H432" s="2">
        <v>9.3539999999999992</v>
      </c>
      <c r="I432" s="2">
        <v>1.0269999999999999</v>
      </c>
      <c r="J432" s="2">
        <v>11.6273</v>
      </c>
      <c r="K432" s="2">
        <v>2302.4499999999998</v>
      </c>
      <c r="L432" s="2">
        <v>0</v>
      </c>
    </row>
    <row r="433" spans="1:12" hidden="1" x14ac:dyDescent="0.35">
      <c r="A433" s="3" t="s">
        <v>444</v>
      </c>
      <c r="B433" s="1" t="str">
        <f t="shared" si="12"/>
        <v>Corumba IV</v>
      </c>
      <c r="C433" s="1">
        <f t="shared" si="13"/>
        <v>-2536</v>
      </c>
      <c r="D433" s="2">
        <v>0</v>
      </c>
      <c r="E433" s="2">
        <v>0</v>
      </c>
      <c r="F433" s="2">
        <v>0</v>
      </c>
      <c r="G433" s="2">
        <v>1.3493999999999999</v>
      </c>
      <c r="H433" s="2">
        <v>88.947900000000004</v>
      </c>
      <c r="I433" s="2">
        <v>3.948</v>
      </c>
      <c r="J433" s="2">
        <v>86.349400000000003</v>
      </c>
      <c r="K433" s="2">
        <v>0</v>
      </c>
      <c r="L433" s="2">
        <v>0</v>
      </c>
    </row>
    <row r="434" spans="1:12" x14ac:dyDescent="0.35">
      <c r="A434" s="3" t="s">
        <v>445</v>
      </c>
      <c r="B434" s="1" t="str">
        <f t="shared" si="12"/>
        <v>Lago Paranoa</v>
      </c>
      <c r="C434" s="1">
        <f t="shared" si="13"/>
        <v>-2536</v>
      </c>
      <c r="D434" s="2">
        <v>0</v>
      </c>
      <c r="E434" s="2">
        <v>2302.4499999999998</v>
      </c>
      <c r="F434" s="2">
        <v>0.13250000000000001</v>
      </c>
      <c r="G434" s="2">
        <v>2.9731999999999998</v>
      </c>
      <c r="H434" s="2">
        <v>7.9157999999999999</v>
      </c>
      <c r="I434" s="2">
        <v>1.0266</v>
      </c>
      <c r="J434" s="2">
        <v>9.7297999999999991</v>
      </c>
      <c r="K434" s="2">
        <v>2302.4499999999998</v>
      </c>
      <c r="L434" s="2">
        <v>0</v>
      </c>
    </row>
    <row r="435" spans="1:12" hidden="1" x14ac:dyDescent="0.35">
      <c r="A435" s="3" t="s">
        <v>446</v>
      </c>
      <c r="B435" s="1" t="str">
        <f t="shared" si="12"/>
        <v>Corumba IV</v>
      </c>
      <c r="C435" s="1">
        <f t="shared" si="13"/>
        <v>-2535</v>
      </c>
      <c r="D435" s="2">
        <v>0</v>
      </c>
      <c r="E435" s="2">
        <v>0</v>
      </c>
      <c r="F435" s="2">
        <v>0</v>
      </c>
      <c r="G435" s="2">
        <v>2.1194999999999999</v>
      </c>
      <c r="H435" s="2">
        <v>109.6183</v>
      </c>
      <c r="I435" s="2">
        <v>3.4855</v>
      </c>
      <c r="J435" s="2">
        <v>108.25230000000001</v>
      </c>
      <c r="K435" s="2">
        <v>0</v>
      </c>
      <c r="L435" s="2">
        <v>0</v>
      </c>
    </row>
    <row r="436" spans="1:12" x14ac:dyDescent="0.35">
      <c r="A436" s="3" t="s">
        <v>447</v>
      </c>
      <c r="B436" s="1" t="str">
        <f t="shared" si="12"/>
        <v>Lago Paranoa</v>
      </c>
      <c r="C436" s="1">
        <f t="shared" si="13"/>
        <v>-2535</v>
      </c>
      <c r="D436" s="2">
        <v>0</v>
      </c>
      <c r="E436" s="2">
        <v>2302.4499999999998</v>
      </c>
      <c r="F436" s="2">
        <v>0.15359999999999999</v>
      </c>
      <c r="G436" s="2">
        <v>3.6019999999999999</v>
      </c>
      <c r="H436" s="2">
        <v>9.8231000000000002</v>
      </c>
      <c r="I436" s="2">
        <v>1.0259</v>
      </c>
      <c r="J436" s="2">
        <v>12.2456</v>
      </c>
      <c r="K436" s="2">
        <v>2302.4499999999998</v>
      </c>
      <c r="L436" s="2">
        <v>0</v>
      </c>
    </row>
    <row r="437" spans="1:12" hidden="1" x14ac:dyDescent="0.35">
      <c r="A437" s="3" t="s">
        <v>448</v>
      </c>
      <c r="B437" s="1" t="str">
        <f t="shared" si="12"/>
        <v>Corumba IV</v>
      </c>
      <c r="C437" s="1">
        <f t="shared" si="13"/>
        <v>-2534</v>
      </c>
      <c r="D437" s="2">
        <v>0</v>
      </c>
      <c r="E437" s="2">
        <v>0</v>
      </c>
      <c r="F437" s="2">
        <v>0</v>
      </c>
      <c r="G437" s="2">
        <v>3.4706000000000001</v>
      </c>
      <c r="H437" s="2">
        <v>142.1885</v>
      </c>
      <c r="I437" s="2">
        <v>3.4855</v>
      </c>
      <c r="J437" s="2">
        <v>142.17359999999999</v>
      </c>
      <c r="K437" s="2">
        <v>0</v>
      </c>
      <c r="L437" s="2">
        <v>0</v>
      </c>
    </row>
    <row r="438" spans="1:12" x14ac:dyDescent="0.35">
      <c r="A438" s="3" t="s">
        <v>449</v>
      </c>
      <c r="B438" s="1" t="str">
        <f t="shared" si="12"/>
        <v>Lago Paranoa</v>
      </c>
      <c r="C438" s="1">
        <f t="shared" si="13"/>
        <v>-2534</v>
      </c>
      <c r="D438" s="2">
        <v>0</v>
      </c>
      <c r="E438" s="2">
        <v>2302.4499999999998</v>
      </c>
      <c r="F438" s="2">
        <v>0.15379999999999999</v>
      </c>
      <c r="G438" s="2">
        <v>5.3010999999999999</v>
      </c>
      <c r="H438" s="2">
        <v>12.8348</v>
      </c>
      <c r="I438" s="2">
        <v>1.0259</v>
      </c>
      <c r="J438" s="2">
        <v>16.956199999999999</v>
      </c>
      <c r="K438" s="2">
        <v>2302.4499999999998</v>
      </c>
      <c r="L438" s="2">
        <v>0</v>
      </c>
    </row>
    <row r="439" spans="1:12" hidden="1" x14ac:dyDescent="0.35">
      <c r="A439" s="3" t="s">
        <v>450</v>
      </c>
      <c r="B439" s="1" t="str">
        <f t="shared" si="12"/>
        <v>Corumba IV</v>
      </c>
      <c r="C439" s="1">
        <f t="shared" si="13"/>
        <v>-2533</v>
      </c>
      <c r="D439" s="2">
        <v>0</v>
      </c>
      <c r="E439" s="2">
        <v>0</v>
      </c>
      <c r="F439" s="2">
        <v>0</v>
      </c>
      <c r="G439" s="2">
        <v>1.6779999999999999</v>
      </c>
      <c r="H439" s="2">
        <v>98.579800000000006</v>
      </c>
      <c r="I439" s="2">
        <v>3.4855</v>
      </c>
      <c r="J439" s="2">
        <v>96.772300000000001</v>
      </c>
      <c r="K439" s="2">
        <v>0</v>
      </c>
      <c r="L439" s="2">
        <v>0</v>
      </c>
    </row>
    <row r="440" spans="1:12" x14ac:dyDescent="0.35">
      <c r="A440" s="3" t="s">
        <v>451</v>
      </c>
      <c r="B440" s="1" t="str">
        <f t="shared" si="12"/>
        <v>Lago Paranoa</v>
      </c>
      <c r="C440" s="1">
        <f t="shared" si="13"/>
        <v>-2533</v>
      </c>
      <c r="D440" s="2">
        <v>0</v>
      </c>
      <c r="E440" s="2">
        <v>2302.4499999999998</v>
      </c>
      <c r="F440" s="2">
        <v>0.154</v>
      </c>
      <c r="G440" s="2">
        <v>3.5807000000000002</v>
      </c>
      <c r="H440" s="2">
        <v>9.7362000000000002</v>
      </c>
      <c r="I440" s="2">
        <v>1.0259</v>
      </c>
      <c r="J440" s="2">
        <v>12.1371</v>
      </c>
      <c r="K440" s="2">
        <v>2302.4499999999998</v>
      </c>
      <c r="L440" s="2">
        <v>0</v>
      </c>
    </row>
    <row r="441" spans="1:12" hidden="1" x14ac:dyDescent="0.35">
      <c r="A441" s="3" t="s">
        <v>452</v>
      </c>
      <c r="B441" s="1" t="str">
        <f t="shared" si="12"/>
        <v>Corumba IV</v>
      </c>
      <c r="C441" s="1">
        <f t="shared" si="13"/>
        <v>-2532</v>
      </c>
      <c r="D441" s="2">
        <v>0</v>
      </c>
      <c r="E441" s="2">
        <v>0</v>
      </c>
      <c r="F441" s="2">
        <v>0</v>
      </c>
      <c r="G441" s="2">
        <v>1.0713999999999999</v>
      </c>
      <c r="H441" s="2">
        <v>83.566100000000006</v>
      </c>
      <c r="I441" s="2">
        <v>3.4954999999999998</v>
      </c>
      <c r="J441" s="2">
        <v>81.141999999999996</v>
      </c>
      <c r="K441" s="2">
        <v>0</v>
      </c>
      <c r="L441" s="2">
        <v>0</v>
      </c>
    </row>
    <row r="442" spans="1:12" x14ac:dyDescent="0.35">
      <c r="A442" s="3" t="s">
        <v>453</v>
      </c>
      <c r="B442" s="1" t="str">
        <f t="shared" si="12"/>
        <v>Lago Paranoa</v>
      </c>
      <c r="C442" s="1">
        <f t="shared" si="13"/>
        <v>-2532</v>
      </c>
      <c r="D442" s="2">
        <v>0</v>
      </c>
      <c r="E442" s="2">
        <v>2302.4499999999998</v>
      </c>
      <c r="F442" s="2">
        <v>0.15409999999999999</v>
      </c>
      <c r="G442" s="2">
        <v>3.2212999999999998</v>
      </c>
      <c r="H442" s="2">
        <v>7.7812000000000001</v>
      </c>
      <c r="I442" s="2">
        <v>1.0389999999999999</v>
      </c>
      <c r="J442" s="2">
        <v>9.8094000000000001</v>
      </c>
      <c r="K442" s="2">
        <v>2302.4499999999998</v>
      </c>
      <c r="L442" s="2">
        <v>0</v>
      </c>
    </row>
    <row r="443" spans="1:12" hidden="1" x14ac:dyDescent="0.35">
      <c r="A443" s="3" t="s">
        <v>454</v>
      </c>
      <c r="B443" s="1" t="str">
        <f t="shared" si="12"/>
        <v>Corumba IV</v>
      </c>
      <c r="C443" s="1">
        <f t="shared" si="13"/>
        <v>-2531</v>
      </c>
      <c r="D443" s="2">
        <v>0</v>
      </c>
      <c r="E443" s="2">
        <v>0</v>
      </c>
      <c r="F443" s="2">
        <v>0</v>
      </c>
      <c r="G443" s="2">
        <v>0.71140000000000003</v>
      </c>
      <c r="H443" s="2">
        <v>75.445300000000003</v>
      </c>
      <c r="I443" s="2">
        <v>3.8708</v>
      </c>
      <c r="J443" s="2">
        <v>72.286000000000001</v>
      </c>
      <c r="K443" s="2">
        <v>0</v>
      </c>
      <c r="L443" s="2">
        <v>0</v>
      </c>
    </row>
    <row r="444" spans="1:12" x14ac:dyDescent="0.35">
      <c r="A444" s="3" t="s">
        <v>455</v>
      </c>
      <c r="B444" s="1" t="str">
        <f t="shared" si="12"/>
        <v>Lago Paranoa</v>
      </c>
      <c r="C444" s="1">
        <f t="shared" si="13"/>
        <v>-2531</v>
      </c>
      <c r="D444" s="2">
        <v>0</v>
      </c>
      <c r="E444" s="2">
        <v>2302.4499999999998</v>
      </c>
      <c r="F444" s="2">
        <v>0.1462</v>
      </c>
      <c r="G444" s="2">
        <v>3.0276000000000001</v>
      </c>
      <c r="H444" s="2">
        <v>7.2518000000000002</v>
      </c>
      <c r="I444" s="2">
        <v>1.0315000000000001</v>
      </c>
      <c r="J444" s="2">
        <v>9.1016999999999992</v>
      </c>
      <c r="K444" s="2">
        <v>2302.4499999999998</v>
      </c>
      <c r="L444" s="2">
        <v>0</v>
      </c>
    </row>
    <row r="445" spans="1:12" hidden="1" x14ac:dyDescent="0.35">
      <c r="A445" s="3" t="s">
        <v>456</v>
      </c>
      <c r="B445" s="1" t="str">
        <f t="shared" si="12"/>
        <v>Corumba IV</v>
      </c>
      <c r="C445" s="1">
        <f t="shared" si="13"/>
        <v>-2530</v>
      </c>
      <c r="D445" s="2">
        <v>0</v>
      </c>
      <c r="E445" s="2">
        <v>0</v>
      </c>
      <c r="F445" s="2">
        <v>0</v>
      </c>
      <c r="G445" s="2">
        <v>0.40060000000000001</v>
      </c>
      <c r="H445" s="2">
        <v>67.227000000000004</v>
      </c>
      <c r="I445" s="2">
        <v>4.0376000000000003</v>
      </c>
      <c r="J445" s="2">
        <v>63.59</v>
      </c>
      <c r="K445" s="2">
        <v>0</v>
      </c>
      <c r="L445" s="2">
        <v>0</v>
      </c>
    </row>
    <row r="446" spans="1:12" x14ac:dyDescent="0.35">
      <c r="A446" s="3" t="s">
        <v>457</v>
      </c>
      <c r="B446" s="1" t="str">
        <f t="shared" si="12"/>
        <v>Lago Paranoa</v>
      </c>
      <c r="C446" s="1">
        <f t="shared" si="13"/>
        <v>-2530</v>
      </c>
      <c r="D446" s="2">
        <v>0</v>
      </c>
      <c r="E446" s="2">
        <v>2302.4499999999998</v>
      </c>
      <c r="F446" s="2">
        <v>0.1464</v>
      </c>
      <c r="G446" s="2">
        <v>3.1151</v>
      </c>
      <c r="H446" s="2">
        <v>6.5195999999999996</v>
      </c>
      <c r="I446" s="2">
        <v>1.0430999999999999</v>
      </c>
      <c r="J446" s="2">
        <v>8.4451000000000001</v>
      </c>
      <c r="K446" s="2">
        <v>2302.4499999999998</v>
      </c>
      <c r="L446" s="2">
        <v>0</v>
      </c>
    </row>
    <row r="447" spans="1:12" hidden="1" x14ac:dyDescent="0.35">
      <c r="A447" s="3" t="s">
        <v>458</v>
      </c>
      <c r="B447" s="1" t="str">
        <f t="shared" si="12"/>
        <v>Corumba IV</v>
      </c>
      <c r="C447" s="1">
        <f t="shared" si="13"/>
        <v>-2529</v>
      </c>
      <c r="D447" s="2">
        <v>0</v>
      </c>
      <c r="E447" s="2">
        <v>0</v>
      </c>
      <c r="F447" s="2">
        <v>0</v>
      </c>
      <c r="G447" s="2">
        <v>0.3629</v>
      </c>
      <c r="H447" s="2">
        <v>62.894599999999997</v>
      </c>
      <c r="I447" s="2">
        <v>4.0376000000000003</v>
      </c>
      <c r="J447" s="2">
        <v>59.219900000000003</v>
      </c>
      <c r="K447" s="2">
        <v>0</v>
      </c>
      <c r="L447" s="2">
        <v>0</v>
      </c>
    </row>
    <row r="448" spans="1:12" x14ac:dyDescent="0.35">
      <c r="A448" s="3" t="s">
        <v>459</v>
      </c>
      <c r="B448" s="1" t="str">
        <f t="shared" si="12"/>
        <v>Lago Paranoa</v>
      </c>
      <c r="C448" s="1">
        <f t="shared" si="13"/>
        <v>-2529</v>
      </c>
      <c r="D448" s="2">
        <v>0</v>
      </c>
      <c r="E448" s="2">
        <v>2302.4499999999998</v>
      </c>
      <c r="F448" s="2">
        <v>0.14649999999999999</v>
      </c>
      <c r="G448" s="2">
        <v>2.9944000000000002</v>
      </c>
      <c r="H448" s="2">
        <v>6.1520999999999999</v>
      </c>
      <c r="I448" s="2">
        <v>1.0430999999999999</v>
      </c>
      <c r="J448" s="2">
        <v>7.9568000000000003</v>
      </c>
      <c r="K448" s="2">
        <v>2302.4499999999998</v>
      </c>
      <c r="L448" s="2">
        <v>0</v>
      </c>
    </row>
    <row r="449" spans="1:12" hidden="1" x14ac:dyDescent="0.35">
      <c r="A449" s="3" t="s">
        <v>460</v>
      </c>
      <c r="B449" s="1" t="str">
        <f t="shared" si="12"/>
        <v>Corumba IV</v>
      </c>
      <c r="C449" s="1">
        <f t="shared" si="13"/>
        <v>-2528</v>
      </c>
      <c r="D449" s="2">
        <v>0</v>
      </c>
      <c r="E449" s="2">
        <v>0</v>
      </c>
      <c r="F449" s="2">
        <v>0</v>
      </c>
      <c r="G449" s="2">
        <v>0.3629</v>
      </c>
      <c r="H449" s="2">
        <v>58.2515</v>
      </c>
      <c r="I449" s="2">
        <v>4.0376000000000003</v>
      </c>
      <c r="J449" s="2">
        <v>54.576799999999999</v>
      </c>
      <c r="K449" s="2">
        <v>0</v>
      </c>
      <c r="L449" s="2">
        <v>0</v>
      </c>
    </row>
    <row r="450" spans="1:12" x14ac:dyDescent="0.35">
      <c r="A450" s="3" t="s">
        <v>461</v>
      </c>
      <c r="B450" s="1" t="str">
        <f t="shared" si="12"/>
        <v>Lago Paranoa</v>
      </c>
      <c r="C450" s="1">
        <f t="shared" si="13"/>
        <v>-2528</v>
      </c>
      <c r="D450" s="2">
        <v>0</v>
      </c>
      <c r="E450" s="2">
        <v>2302.4499999999998</v>
      </c>
      <c r="F450" s="2">
        <v>0.1467</v>
      </c>
      <c r="G450" s="2">
        <v>3.4417</v>
      </c>
      <c r="H450" s="2">
        <v>7.0225999999999997</v>
      </c>
      <c r="I450" s="2">
        <v>1.0430999999999999</v>
      </c>
      <c r="J450" s="2">
        <v>9.2744</v>
      </c>
      <c r="K450" s="2">
        <v>2302.4499999999998</v>
      </c>
      <c r="L450" s="2">
        <v>0</v>
      </c>
    </row>
    <row r="451" spans="1:12" hidden="1" x14ac:dyDescent="0.35">
      <c r="A451" s="3" t="s">
        <v>462</v>
      </c>
      <c r="B451" s="1" t="str">
        <f t="shared" ref="B451:B508" si="14">_xlfn.TEXTBEFORE(_xlfn.TEXTAFTER(A451,"["),"]")</f>
        <v>Corumba IV</v>
      </c>
      <c r="C451" s="1">
        <f t="shared" ref="C451:C508" si="15">--_xlfn.TEXTBEFORE(_xlfn.TEXTAFTER(A451,"Week "),":")</f>
        <v>-2527</v>
      </c>
      <c r="D451" s="2">
        <v>0</v>
      </c>
      <c r="E451" s="2">
        <v>0</v>
      </c>
      <c r="F451" s="2">
        <v>0</v>
      </c>
      <c r="G451" s="2">
        <v>0.3629</v>
      </c>
      <c r="H451" s="2">
        <v>52.870800000000003</v>
      </c>
      <c r="I451" s="2">
        <v>3.5949</v>
      </c>
      <c r="J451" s="2">
        <v>49.6387</v>
      </c>
      <c r="K451" s="2">
        <v>0</v>
      </c>
      <c r="L451" s="2">
        <v>0</v>
      </c>
    </row>
    <row r="452" spans="1:12" x14ac:dyDescent="0.35">
      <c r="A452" s="3" t="s">
        <v>463</v>
      </c>
      <c r="B452" s="1" t="str">
        <f t="shared" si="14"/>
        <v>Lago Paranoa</v>
      </c>
      <c r="C452" s="1">
        <f t="shared" si="15"/>
        <v>-2527</v>
      </c>
      <c r="D452" s="2">
        <v>0</v>
      </c>
      <c r="E452" s="2">
        <v>2302.4499999999998</v>
      </c>
      <c r="F452" s="2">
        <v>0.1757</v>
      </c>
      <c r="G452" s="2">
        <v>3.1133000000000002</v>
      </c>
      <c r="H452" s="2">
        <v>6.3967999999999998</v>
      </c>
      <c r="I452" s="2">
        <v>0.87890000000000001</v>
      </c>
      <c r="J452" s="2">
        <v>8.4553999999999991</v>
      </c>
      <c r="K452" s="2">
        <v>2302.4499999999998</v>
      </c>
      <c r="L452" s="2">
        <v>0</v>
      </c>
    </row>
    <row r="453" spans="1:12" hidden="1" x14ac:dyDescent="0.35">
      <c r="A453" s="3" t="s">
        <v>464</v>
      </c>
      <c r="B453" s="1" t="str">
        <f t="shared" si="14"/>
        <v>Corumba IV</v>
      </c>
      <c r="C453" s="1">
        <f t="shared" si="15"/>
        <v>-2526</v>
      </c>
      <c r="D453" s="2">
        <v>0</v>
      </c>
      <c r="E453" s="2">
        <v>0</v>
      </c>
      <c r="F453" s="2">
        <v>0</v>
      </c>
      <c r="G453" s="2">
        <v>0.3629</v>
      </c>
      <c r="H453" s="2">
        <v>47.6858</v>
      </c>
      <c r="I453" s="2">
        <v>3.7919</v>
      </c>
      <c r="J453" s="2">
        <v>44.256799999999998</v>
      </c>
      <c r="K453" s="2">
        <v>0</v>
      </c>
      <c r="L453" s="2">
        <v>0</v>
      </c>
    </row>
    <row r="454" spans="1:12" x14ac:dyDescent="0.35">
      <c r="A454" s="3" t="s">
        <v>465</v>
      </c>
      <c r="B454" s="1" t="str">
        <f t="shared" si="14"/>
        <v>Lago Paranoa</v>
      </c>
      <c r="C454" s="1">
        <f t="shared" si="15"/>
        <v>-2526</v>
      </c>
      <c r="D454" s="2">
        <v>0</v>
      </c>
      <c r="E454" s="2">
        <v>2302.4499999999998</v>
      </c>
      <c r="F454" s="2">
        <v>0.1759</v>
      </c>
      <c r="G454" s="2">
        <v>2.9173</v>
      </c>
      <c r="H454" s="2">
        <v>5.7542</v>
      </c>
      <c r="I454" s="2">
        <v>0.86219999999999997</v>
      </c>
      <c r="J454" s="2">
        <v>7.6334</v>
      </c>
      <c r="K454" s="2">
        <v>2302.4499999999998</v>
      </c>
      <c r="L454" s="2">
        <v>0</v>
      </c>
    </row>
    <row r="455" spans="1:12" hidden="1" x14ac:dyDescent="0.35">
      <c r="A455" s="3" t="s">
        <v>466</v>
      </c>
      <c r="B455" s="1" t="str">
        <f t="shared" si="14"/>
        <v>Corumba IV</v>
      </c>
      <c r="C455" s="1">
        <f t="shared" si="15"/>
        <v>-2525</v>
      </c>
      <c r="D455" s="2">
        <v>0</v>
      </c>
      <c r="E455" s="2">
        <v>0</v>
      </c>
      <c r="F455" s="2">
        <v>0</v>
      </c>
      <c r="G455" s="2">
        <v>0.3629</v>
      </c>
      <c r="H455" s="2">
        <v>43.394300000000001</v>
      </c>
      <c r="I455" s="2">
        <v>3.7919</v>
      </c>
      <c r="J455" s="2">
        <v>39.965299999999999</v>
      </c>
      <c r="K455" s="2">
        <v>0</v>
      </c>
      <c r="L455" s="2">
        <v>0</v>
      </c>
    </row>
    <row r="456" spans="1:12" x14ac:dyDescent="0.35">
      <c r="A456" s="3" t="s">
        <v>467</v>
      </c>
      <c r="B456" s="1" t="str">
        <f t="shared" si="14"/>
        <v>Lago Paranoa</v>
      </c>
      <c r="C456" s="1">
        <f t="shared" si="15"/>
        <v>-2525</v>
      </c>
      <c r="D456" s="2">
        <v>0</v>
      </c>
      <c r="E456" s="2">
        <v>2302.4499999999998</v>
      </c>
      <c r="F456" s="2">
        <v>0.17610000000000001</v>
      </c>
      <c r="G456" s="2">
        <v>2.7700999999999998</v>
      </c>
      <c r="H456" s="2">
        <v>5.5251999999999999</v>
      </c>
      <c r="I456" s="2">
        <v>0.86219999999999997</v>
      </c>
      <c r="J456" s="2">
        <v>7.2569999999999997</v>
      </c>
      <c r="K456" s="2">
        <v>2302.4499999999998</v>
      </c>
      <c r="L456" s="2">
        <v>0</v>
      </c>
    </row>
    <row r="457" spans="1:12" hidden="1" x14ac:dyDescent="0.35">
      <c r="A457" s="3" t="s">
        <v>468</v>
      </c>
      <c r="B457" s="1" t="str">
        <f t="shared" si="14"/>
        <v>Corumba IV</v>
      </c>
      <c r="C457" s="1">
        <f t="shared" si="15"/>
        <v>-2524</v>
      </c>
      <c r="D457" s="2">
        <v>0</v>
      </c>
      <c r="E457" s="2">
        <v>0</v>
      </c>
      <c r="F457" s="2">
        <v>0</v>
      </c>
      <c r="G457" s="2">
        <v>0.3629</v>
      </c>
      <c r="H457" s="2">
        <v>40.496299999999998</v>
      </c>
      <c r="I457" s="2">
        <v>3.7919</v>
      </c>
      <c r="J457" s="2">
        <v>37.067300000000003</v>
      </c>
      <c r="K457" s="2">
        <v>0</v>
      </c>
      <c r="L457" s="2">
        <v>0</v>
      </c>
    </row>
    <row r="458" spans="1:12" x14ac:dyDescent="0.35">
      <c r="A458" s="3" t="s">
        <v>469</v>
      </c>
      <c r="B458" s="1" t="str">
        <f t="shared" si="14"/>
        <v>Lago Paranoa</v>
      </c>
      <c r="C458" s="1">
        <f t="shared" si="15"/>
        <v>-2524</v>
      </c>
      <c r="D458" s="2">
        <v>0</v>
      </c>
      <c r="E458" s="2">
        <v>2302.4499999999998</v>
      </c>
      <c r="F458" s="2">
        <v>0.17630000000000001</v>
      </c>
      <c r="G458" s="2">
        <v>2.6711</v>
      </c>
      <c r="H458" s="2">
        <v>5.3844000000000003</v>
      </c>
      <c r="I458" s="2">
        <v>0.86219999999999997</v>
      </c>
      <c r="J458" s="2">
        <v>7.0170000000000003</v>
      </c>
      <c r="K458" s="2">
        <v>2302.4499999999998</v>
      </c>
      <c r="L458" s="2">
        <v>0</v>
      </c>
    </row>
    <row r="459" spans="1:12" hidden="1" x14ac:dyDescent="0.35">
      <c r="A459" s="3" t="s">
        <v>470</v>
      </c>
      <c r="B459" s="1" t="str">
        <f t="shared" si="14"/>
        <v>Corumba IV</v>
      </c>
      <c r="C459" s="1">
        <f t="shared" si="15"/>
        <v>-2523</v>
      </c>
      <c r="D459" s="2">
        <v>0</v>
      </c>
      <c r="E459" s="2">
        <v>0</v>
      </c>
      <c r="F459" s="2">
        <v>0</v>
      </c>
      <c r="G459" s="2">
        <v>0.3629</v>
      </c>
      <c r="H459" s="2">
        <v>38.078899999999997</v>
      </c>
      <c r="I459" s="2">
        <v>4.1079999999999997</v>
      </c>
      <c r="J459" s="2">
        <v>34.333799999999997</v>
      </c>
      <c r="K459" s="2">
        <v>0</v>
      </c>
      <c r="L459" s="2">
        <v>0</v>
      </c>
    </row>
    <row r="460" spans="1:12" x14ac:dyDescent="0.35">
      <c r="A460" s="3" t="s">
        <v>471</v>
      </c>
      <c r="B460" s="1" t="str">
        <f t="shared" si="14"/>
        <v>Lago Paranoa</v>
      </c>
      <c r="C460" s="1">
        <f t="shared" si="15"/>
        <v>-2523</v>
      </c>
      <c r="D460" s="2">
        <v>0</v>
      </c>
      <c r="E460" s="2">
        <v>2302.4499999999998</v>
      </c>
      <c r="F460" s="2">
        <v>0.17649999999999999</v>
      </c>
      <c r="G460" s="2">
        <v>2.6012</v>
      </c>
      <c r="H460" s="2">
        <v>5.3038999999999996</v>
      </c>
      <c r="I460" s="2">
        <v>0.95650000000000002</v>
      </c>
      <c r="J460" s="2">
        <v>6.7721</v>
      </c>
      <c r="K460" s="2">
        <v>2302.4499999999998</v>
      </c>
      <c r="L460" s="2">
        <v>0</v>
      </c>
    </row>
    <row r="461" spans="1:12" hidden="1" x14ac:dyDescent="0.35">
      <c r="A461" s="3" t="s">
        <v>472</v>
      </c>
      <c r="B461" s="1" t="str">
        <f t="shared" si="14"/>
        <v>Corumba IV</v>
      </c>
      <c r="C461" s="1">
        <f t="shared" si="15"/>
        <v>-2522</v>
      </c>
      <c r="D461" s="2">
        <v>0</v>
      </c>
      <c r="E461" s="2">
        <v>0</v>
      </c>
      <c r="F461" s="2">
        <v>0</v>
      </c>
      <c r="G461" s="2">
        <v>0.3629</v>
      </c>
      <c r="H461" s="2">
        <v>34.604799999999997</v>
      </c>
      <c r="I461" s="2">
        <v>5.0331999999999999</v>
      </c>
      <c r="J461" s="2">
        <v>29.9345</v>
      </c>
      <c r="K461" s="2">
        <v>0</v>
      </c>
      <c r="L461" s="2">
        <v>0</v>
      </c>
    </row>
    <row r="462" spans="1:12" x14ac:dyDescent="0.35">
      <c r="A462" s="3" t="s">
        <v>473</v>
      </c>
      <c r="B462" s="1" t="str">
        <f t="shared" si="14"/>
        <v>Lago Paranoa</v>
      </c>
      <c r="C462" s="1">
        <f t="shared" si="15"/>
        <v>-2522</v>
      </c>
      <c r="D462" s="2">
        <v>0</v>
      </c>
      <c r="E462" s="2">
        <v>2302.4499999999998</v>
      </c>
      <c r="F462" s="2">
        <v>0.19259999999999999</v>
      </c>
      <c r="G462" s="2">
        <v>2.5737000000000001</v>
      </c>
      <c r="H462" s="2">
        <v>5.1289999999999996</v>
      </c>
      <c r="I462" s="2">
        <v>1.2343999999999999</v>
      </c>
      <c r="J462" s="2">
        <v>6.2758000000000003</v>
      </c>
      <c r="K462" s="2">
        <v>2302.4499999999998</v>
      </c>
      <c r="L462" s="2">
        <v>0</v>
      </c>
    </row>
    <row r="463" spans="1:12" hidden="1" x14ac:dyDescent="0.35">
      <c r="A463" s="3" t="s">
        <v>474</v>
      </c>
      <c r="B463" s="1" t="str">
        <f t="shared" si="14"/>
        <v>Corumba IV</v>
      </c>
      <c r="C463" s="1">
        <f t="shared" si="15"/>
        <v>-2521</v>
      </c>
      <c r="D463" s="2">
        <v>0</v>
      </c>
      <c r="E463" s="2">
        <v>0</v>
      </c>
      <c r="F463" s="2">
        <v>0</v>
      </c>
      <c r="G463" s="2">
        <v>0.3629</v>
      </c>
      <c r="H463" s="2">
        <v>35.252299999999998</v>
      </c>
      <c r="I463" s="2">
        <v>5.0331999999999999</v>
      </c>
      <c r="J463" s="2">
        <v>30.582000000000001</v>
      </c>
      <c r="K463" s="2">
        <v>0</v>
      </c>
      <c r="L463" s="2">
        <v>0</v>
      </c>
    </row>
    <row r="464" spans="1:12" x14ac:dyDescent="0.35">
      <c r="A464" s="3" t="s">
        <v>475</v>
      </c>
      <c r="B464" s="1" t="str">
        <f t="shared" si="14"/>
        <v>Lago Paranoa</v>
      </c>
      <c r="C464" s="1">
        <f t="shared" si="15"/>
        <v>-2521</v>
      </c>
      <c r="D464" s="2">
        <v>0</v>
      </c>
      <c r="E464" s="2">
        <v>2302.4499999999998</v>
      </c>
      <c r="F464" s="2">
        <v>0.1928</v>
      </c>
      <c r="G464" s="2">
        <v>2.8243</v>
      </c>
      <c r="H464" s="2">
        <v>5.2415000000000003</v>
      </c>
      <c r="I464" s="2">
        <v>1.2343999999999999</v>
      </c>
      <c r="J464" s="2">
        <v>6.6387</v>
      </c>
      <c r="K464" s="2">
        <v>2302.4499999999998</v>
      </c>
      <c r="L464" s="2">
        <v>0</v>
      </c>
    </row>
    <row r="465" spans="1:12" hidden="1" x14ac:dyDescent="0.35">
      <c r="A465" s="3" t="s">
        <v>476</v>
      </c>
      <c r="B465" s="1" t="str">
        <f t="shared" si="14"/>
        <v>Corumba IV</v>
      </c>
      <c r="C465" s="1">
        <f t="shared" si="15"/>
        <v>-2520</v>
      </c>
      <c r="D465" s="2">
        <v>0</v>
      </c>
      <c r="E465" s="2">
        <v>0</v>
      </c>
      <c r="F465" s="2">
        <v>0</v>
      </c>
      <c r="G465" s="2">
        <v>0.3629</v>
      </c>
      <c r="H465" s="2">
        <v>32.8932</v>
      </c>
      <c r="I465" s="2">
        <v>5.0331999999999999</v>
      </c>
      <c r="J465" s="2">
        <v>28.222899999999999</v>
      </c>
      <c r="K465" s="2">
        <v>0</v>
      </c>
      <c r="L465" s="2">
        <v>0</v>
      </c>
    </row>
    <row r="466" spans="1:12" x14ac:dyDescent="0.35">
      <c r="A466" s="3" t="s">
        <v>477</v>
      </c>
      <c r="B466" s="1" t="str">
        <f t="shared" si="14"/>
        <v>Lago Paranoa</v>
      </c>
      <c r="C466" s="1">
        <f t="shared" si="15"/>
        <v>-2520</v>
      </c>
      <c r="D466" s="2">
        <v>0</v>
      </c>
      <c r="E466" s="2">
        <v>2302.4499999999998</v>
      </c>
      <c r="F466" s="2">
        <v>0.193</v>
      </c>
      <c r="G466" s="2">
        <v>2.6145999999999998</v>
      </c>
      <c r="H466" s="2">
        <v>5.1281999999999996</v>
      </c>
      <c r="I466" s="2">
        <v>1.2343999999999999</v>
      </c>
      <c r="J466" s="2">
        <v>6.3155000000000001</v>
      </c>
      <c r="K466" s="2">
        <v>2302.4499999999998</v>
      </c>
      <c r="L466" s="2">
        <v>0</v>
      </c>
    </row>
    <row r="467" spans="1:12" hidden="1" x14ac:dyDescent="0.35">
      <c r="A467" s="3" t="s">
        <v>478</v>
      </c>
      <c r="B467" s="1" t="str">
        <f t="shared" si="14"/>
        <v>Corumba IV</v>
      </c>
      <c r="C467" s="1">
        <f t="shared" si="15"/>
        <v>-2519</v>
      </c>
      <c r="D467" s="2">
        <v>0</v>
      </c>
      <c r="E467" s="2">
        <v>0</v>
      </c>
      <c r="F467" s="2">
        <v>0</v>
      </c>
      <c r="G467" s="2">
        <v>0.3629</v>
      </c>
      <c r="H467" s="2">
        <v>30.775600000000001</v>
      </c>
      <c r="I467" s="2">
        <v>5.0331999999999999</v>
      </c>
      <c r="J467" s="2">
        <v>26.1053</v>
      </c>
      <c r="K467" s="2">
        <v>0</v>
      </c>
      <c r="L467" s="2">
        <v>0</v>
      </c>
    </row>
    <row r="468" spans="1:12" x14ac:dyDescent="0.35">
      <c r="A468" s="3" t="s">
        <v>479</v>
      </c>
      <c r="B468" s="1" t="str">
        <f t="shared" si="14"/>
        <v>Lago Paranoa</v>
      </c>
      <c r="C468" s="1">
        <f t="shared" si="15"/>
        <v>-2519</v>
      </c>
      <c r="D468" s="2">
        <v>0</v>
      </c>
      <c r="E468" s="2">
        <v>2302.4499999999998</v>
      </c>
      <c r="F468" s="2">
        <v>0.19309999999999999</v>
      </c>
      <c r="G468" s="2">
        <v>2.5045000000000002</v>
      </c>
      <c r="H468" s="2">
        <v>4.8662999999999998</v>
      </c>
      <c r="I468" s="2">
        <v>1.2343999999999999</v>
      </c>
      <c r="J468" s="2">
        <v>5.9432999999999998</v>
      </c>
      <c r="K468" s="2">
        <v>2302.4499999999998</v>
      </c>
      <c r="L468" s="2">
        <v>0</v>
      </c>
    </row>
    <row r="469" spans="1:12" hidden="1" x14ac:dyDescent="0.35">
      <c r="A469" s="3" t="s">
        <v>480</v>
      </c>
      <c r="B469" s="1" t="str">
        <f t="shared" si="14"/>
        <v>Corumba IV</v>
      </c>
      <c r="C469" s="1">
        <f t="shared" si="15"/>
        <v>-2518</v>
      </c>
      <c r="D469" s="2">
        <v>0</v>
      </c>
      <c r="E469" s="2">
        <v>0</v>
      </c>
      <c r="F469" s="2">
        <v>0</v>
      </c>
      <c r="G469" s="2">
        <v>0.3629</v>
      </c>
      <c r="H469" s="2">
        <v>29.621300000000002</v>
      </c>
      <c r="I469" s="2">
        <v>5.8121</v>
      </c>
      <c r="J469" s="2">
        <v>24.172000000000001</v>
      </c>
      <c r="K469" s="2">
        <v>0</v>
      </c>
      <c r="L469" s="2">
        <v>0</v>
      </c>
    </row>
    <row r="470" spans="1:12" x14ac:dyDescent="0.35">
      <c r="A470" s="3" t="s">
        <v>481</v>
      </c>
      <c r="B470" s="1" t="str">
        <f t="shared" si="14"/>
        <v>Lago Paranoa</v>
      </c>
      <c r="C470" s="1">
        <f t="shared" si="15"/>
        <v>-2518</v>
      </c>
      <c r="D470" s="2">
        <v>0</v>
      </c>
      <c r="E470" s="2">
        <v>2302.4499999999998</v>
      </c>
      <c r="F470" s="2">
        <v>0.20749999999999999</v>
      </c>
      <c r="G470" s="2">
        <v>2.4969000000000001</v>
      </c>
      <c r="H470" s="2">
        <v>4.8353999999999999</v>
      </c>
      <c r="I470" s="2">
        <v>1.4512</v>
      </c>
      <c r="J470" s="2">
        <v>5.6736000000000004</v>
      </c>
      <c r="K470" s="2">
        <v>2302.4499999999998</v>
      </c>
      <c r="L470" s="2">
        <v>0</v>
      </c>
    </row>
    <row r="471" spans="1:12" hidden="1" x14ac:dyDescent="0.35">
      <c r="A471" s="3" t="s">
        <v>482</v>
      </c>
      <c r="B471" s="1" t="str">
        <f t="shared" si="14"/>
        <v>Corumba IV</v>
      </c>
      <c r="C471" s="1">
        <f t="shared" si="15"/>
        <v>-2517</v>
      </c>
      <c r="D471" s="2">
        <v>0</v>
      </c>
      <c r="E471" s="2">
        <v>0</v>
      </c>
      <c r="F471" s="2">
        <v>0</v>
      </c>
      <c r="G471" s="2">
        <v>0.3629</v>
      </c>
      <c r="H471" s="2">
        <v>27.8551</v>
      </c>
      <c r="I471" s="2">
        <v>5.9419000000000004</v>
      </c>
      <c r="J471" s="2">
        <v>22.276</v>
      </c>
      <c r="K471" s="2">
        <v>0</v>
      </c>
      <c r="L471" s="2">
        <v>0</v>
      </c>
    </row>
    <row r="472" spans="1:12" x14ac:dyDescent="0.35">
      <c r="A472" s="3" t="s">
        <v>483</v>
      </c>
      <c r="B472" s="1" t="str">
        <f t="shared" si="14"/>
        <v>Lago Paranoa</v>
      </c>
      <c r="C472" s="1">
        <f t="shared" si="15"/>
        <v>-2517</v>
      </c>
      <c r="D472" s="2">
        <v>0</v>
      </c>
      <c r="E472" s="2">
        <v>2302.4499999999998</v>
      </c>
      <c r="F472" s="2">
        <v>0.2077</v>
      </c>
      <c r="G472" s="2">
        <v>2.4581</v>
      </c>
      <c r="H472" s="2">
        <v>4.6283000000000003</v>
      </c>
      <c r="I472" s="2">
        <v>1.4873000000000001</v>
      </c>
      <c r="J472" s="2">
        <v>5.3914</v>
      </c>
      <c r="K472" s="2">
        <v>2302.4499999999998</v>
      </c>
      <c r="L472" s="2">
        <v>0</v>
      </c>
    </row>
    <row r="473" spans="1:12" hidden="1" x14ac:dyDescent="0.35">
      <c r="A473" s="3" t="s">
        <v>484</v>
      </c>
      <c r="B473" s="1" t="str">
        <f t="shared" si="14"/>
        <v>Corumba IV</v>
      </c>
      <c r="C473" s="1">
        <f t="shared" si="15"/>
        <v>-2516</v>
      </c>
      <c r="D473" s="2">
        <v>0</v>
      </c>
      <c r="E473" s="2">
        <v>0</v>
      </c>
      <c r="F473" s="2">
        <v>0</v>
      </c>
      <c r="G473" s="2">
        <v>0.3629</v>
      </c>
      <c r="H473" s="2">
        <v>26.208600000000001</v>
      </c>
      <c r="I473" s="2">
        <v>5.9419000000000004</v>
      </c>
      <c r="J473" s="2">
        <v>20.6295</v>
      </c>
      <c r="K473" s="2">
        <v>0</v>
      </c>
      <c r="L473" s="2">
        <v>0</v>
      </c>
    </row>
    <row r="474" spans="1:12" x14ac:dyDescent="0.35">
      <c r="A474" s="3" t="s">
        <v>485</v>
      </c>
      <c r="B474" s="1" t="str">
        <f t="shared" si="14"/>
        <v>Lago Paranoa</v>
      </c>
      <c r="C474" s="1">
        <f t="shared" si="15"/>
        <v>-2516</v>
      </c>
      <c r="D474" s="2">
        <v>0</v>
      </c>
      <c r="E474" s="2">
        <v>2302.4499999999998</v>
      </c>
      <c r="F474" s="2">
        <v>0.2079</v>
      </c>
      <c r="G474" s="2">
        <v>2.3369</v>
      </c>
      <c r="H474" s="2">
        <v>4.4547999999999996</v>
      </c>
      <c r="I474" s="2">
        <v>1.4873000000000001</v>
      </c>
      <c r="J474" s="2">
        <v>5.0964999999999998</v>
      </c>
      <c r="K474" s="2">
        <v>2302.4499999999998</v>
      </c>
      <c r="L474" s="2">
        <v>0</v>
      </c>
    </row>
    <row r="475" spans="1:12" hidden="1" x14ac:dyDescent="0.35">
      <c r="A475" s="3" t="s">
        <v>486</v>
      </c>
      <c r="B475" s="1" t="str">
        <f t="shared" si="14"/>
        <v>Corumba IV</v>
      </c>
      <c r="C475" s="1">
        <f t="shared" si="15"/>
        <v>-2515</v>
      </c>
      <c r="D475" s="2">
        <v>0</v>
      </c>
      <c r="E475" s="2">
        <v>0</v>
      </c>
      <c r="F475" s="2">
        <v>0</v>
      </c>
      <c r="G475" s="2">
        <v>0.3629</v>
      </c>
      <c r="H475" s="2">
        <v>24.583600000000001</v>
      </c>
      <c r="I475" s="2">
        <v>5.9419000000000004</v>
      </c>
      <c r="J475" s="2">
        <v>19.0045</v>
      </c>
      <c r="K475" s="2">
        <v>0</v>
      </c>
      <c r="L475" s="2">
        <v>0</v>
      </c>
    </row>
    <row r="476" spans="1:12" x14ac:dyDescent="0.35">
      <c r="A476" s="3" t="s">
        <v>487</v>
      </c>
      <c r="B476" s="1" t="str">
        <f t="shared" si="14"/>
        <v>Lago Paranoa</v>
      </c>
      <c r="C476" s="1">
        <f t="shared" si="15"/>
        <v>-2515</v>
      </c>
      <c r="D476" s="2">
        <v>0</v>
      </c>
      <c r="E476" s="2">
        <v>2302.4499999999998</v>
      </c>
      <c r="F476" s="2">
        <v>0.20810000000000001</v>
      </c>
      <c r="G476" s="2">
        <v>2.1053000000000002</v>
      </c>
      <c r="H476" s="2">
        <v>4.1475999999999997</v>
      </c>
      <c r="I476" s="2">
        <v>1.4873000000000001</v>
      </c>
      <c r="J476" s="2">
        <v>4.5575000000000001</v>
      </c>
      <c r="K476" s="2">
        <v>2302.4499999999998</v>
      </c>
      <c r="L476" s="2">
        <v>0</v>
      </c>
    </row>
    <row r="477" spans="1:12" hidden="1" x14ac:dyDescent="0.35">
      <c r="A477" s="3" t="s">
        <v>488</v>
      </c>
      <c r="B477" s="1" t="str">
        <f t="shared" si="14"/>
        <v>Corumba IV</v>
      </c>
      <c r="C477" s="1">
        <f t="shared" si="15"/>
        <v>-2514</v>
      </c>
      <c r="D477" s="2">
        <v>0</v>
      </c>
      <c r="E477" s="2">
        <v>0</v>
      </c>
      <c r="F477" s="2">
        <v>0</v>
      </c>
      <c r="G477" s="2">
        <v>0.3629</v>
      </c>
      <c r="H477" s="2">
        <v>22.5761</v>
      </c>
      <c r="I477" s="2">
        <v>5.9767000000000001</v>
      </c>
      <c r="J477" s="2">
        <v>16.962299999999999</v>
      </c>
      <c r="K477" s="2">
        <v>0</v>
      </c>
      <c r="L477" s="2">
        <v>0</v>
      </c>
    </row>
    <row r="478" spans="1:12" x14ac:dyDescent="0.35">
      <c r="A478" s="3" t="s">
        <v>489</v>
      </c>
      <c r="B478" s="1" t="str">
        <f t="shared" si="14"/>
        <v>Lago Paranoa</v>
      </c>
      <c r="C478" s="1">
        <f t="shared" si="15"/>
        <v>-2514</v>
      </c>
      <c r="D478" s="2">
        <v>0</v>
      </c>
      <c r="E478" s="2">
        <v>2302.4499999999998</v>
      </c>
      <c r="F478" s="2">
        <v>0.2596</v>
      </c>
      <c r="G478" s="2">
        <v>2.2473000000000001</v>
      </c>
      <c r="H478" s="2">
        <v>4.2358000000000002</v>
      </c>
      <c r="I478" s="2">
        <v>1.4398</v>
      </c>
      <c r="J478" s="2">
        <v>4.7836999999999996</v>
      </c>
      <c r="K478" s="2">
        <v>2302.4499999999998</v>
      </c>
      <c r="L478" s="2">
        <v>0</v>
      </c>
    </row>
    <row r="479" spans="1:12" hidden="1" x14ac:dyDescent="0.35">
      <c r="A479" s="3" t="s">
        <v>490</v>
      </c>
      <c r="B479" s="1" t="str">
        <f t="shared" si="14"/>
        <v>Corumba IV</v>
      </c>
      <c r="C479" s="1">
        <f t="shared" si="15"/>
        <v>-2513</v>
      </c>
      <c r="D479" s="2">
        <v>0</v>
      </c>
      <c r="E479" s="2">
        <v>0</v>
      </c>
      <c r="F479" s="2">
        <v>0</v>
      </c>
      <c r="G479" s="2">
        <v>0.3629</v>
      </c>
      <c r="H479" s="2">
        <v>23.483000000000001</v>
      </c>
      <c r="I479" s="2">
        <v>6.0231000000000003</v>
      </c>
      <c r="J479" s="2">
        <v>17.822800000000001</v>
      </c>
      <c r="K479" s="2">
        <v>0</v>
      </c>
      <c r="L479" s="2">
        <v>0</v>
      </c>
    </row>
    <row r="480" spans="1:12" x14ac:dyDescent="0.35">
      <c r="A480" s="3" t="s">
        <v>491</v>
      </c>
      <c r="B480" s="1" t="str">
        <f t="shared" si="14"/>
        <v>Lago Paranoa</v>
      </c>
      <c r="C480" s="1">
        <f t="shared" si="15"/>
        <v>-2513</v>
      </c>
      <c r="D480" s="2">
        <v>0</v>
      </c>
      <c r="E480" s="2">
        <v>2302.4499999999998</v>
      </c>
      <c r="F480" s="2">
        <v>0.25979999999999998</v>
      </c>
      <c r="G480" s="2">
        <v>2.3300999999999998</v>
      </c>
      <c r="H480" s="2">
        <v>3.8898000000000001</v>
      </c>
      <c r="I480" s="2">
        <v>1.3765000000000001</v>
      </c>
      <c r="J480" s="2">
        <v>4.5835999999999997</v>
      </c>
      <c r="K480" s="2">
        <v>2302.4499999999998</v>
      </c>
      <c r="L480" s="2">
        <v>0</v>
      </c>
    </row>
    <row r="481" spans="1:12" hidden="1" x14ac:dyDescent="0.35">
      <c r="A481" s="3" t="s">
        <v>492</v>
      </c>
      <c r="B481" s="1" t="str">
        <f t="shared" si="14"/>
        <v>Corumba IV</v>
      </c>
      <c r="C481" s="1">
        <f t="shared" si="15"/>
        <v>-2512</v>
      </c>
      <c r="D481" s="2">
        <v>0</v>
      </c>
      <c r="E481" s="2">
        <v>0</v>
      </c>
      <c r="F481" s="2">
        <v>0</v>
      </c>
      <c r="G481" s="2">
        <v>0.3629</v>
      </c>
      <c r="H481" s="2">
        <v>24.495999999999999</v>
      </c>
      <c r="I481" s="2">
        <v>6.0231000000000003</v>
      </c>
      <c r="J481" s="2">
        <v>18.835799999999999</v>
      </c>
      <c r="K481" s="2">
        <v>0</v>
      </c>
      <c r="L481" s="2">
        <v>0</v>
      </c>
    </row>
    <row r="482" spans="1:12" x14ac:dyDescent="0.35">
      <c r="A482" s="3" t="s">
        <v>493</v>
      </c>
      <c r="B482" s="1" t="str">
        <f t="shared" si="14"/>
        <v>Lago Paranoa</v>
      </c>
      <c r="C482" s="1">
        <f t="shared" si="15"/>
        <v>-2512</v>
      </c>
      <c r="D482" s="2">
        <v>0</v>
      </c>
      <c r="E482" s="2">
        <v>2302.4499999999998</v>
      </c>
      <c r="F482" s="2">
        <v>0.2601</v>
      </c>
      <c r="G482" s="2">
        <v>2.5179</v>
      </c>
      <c r="H482" s="2">
        <v>4.1372999999999998</v>
      </c>
      <c r="I482" s="2">
        <v>1.3765000000000001</v>
      </c>
      <c r="J482" s="2">
        <v>5.0185000000000004</v>
      </c>
      <c r="K482" s="2">
        <v>2302.4499999999998</v>
      </c>
      <c r="L482" s="2">
        <v>0</v>
      </c>
    </row>
    <row r="483" spans="1:12" hidden="1" x14ac:dyDescent="0.35">
      <c r="A483" s="3" t="s">
        <v>494</v>
      </c>
      <c r="B483" s="1" t="str">
        <f t="shared" si="14"/>
        <v>Corumba IV</v>
      </c>
      <c r="C483" s="1">
        <f t="shared" si="15"/>
        <v>-2511</v>
      </c>
      <c r="D483" s="2">
        <v>0</v>
      </c>
      <c r="E483" s="2">
        <v>0</v>
      </c>
      <c r="F483" s="2">
        <v>0</v>
      </c>
      <c r="G483" s="2">
        <v>0.3629</v>
      </c>
      <c r="H483" s="2">
        <v>21.2971</v>
      </c>
      <c r="I483" s="2">
        <v>6.0231000000000003</v>
      </c>
      <c r="J483" s="2">
        <v>15.636799999999999</v>
      </c>
      <c r="K483" s="2">
        <v>0</v>
      </c>
      <c r="L483" s="2">
        <v>0</v>
      </c>
    </row>
    <row r="484" spans="1:12" x14ac:dyDescent="0.35">
      <c r="A484" s="3" t="s">
        <v>495</v>
      </c>
      <c r="B484" s="1" t="str">
        <f t="shared" si="14"/>
        <v>Lago Paranoa</v>
      </c>
      <c r="C484" s="1">
        <f t="shared" si="15"/>
        <v>-2511</v>
      </c>
      <c r="D484" s="2">
        <v>0</v>
      </c>
      <c r="E484" s="2">
        <v>2302.4499999999998</v>
      </c>
      <c r="F484" s="2">
        <v>0.26040000000000002</v>
      </c>
      <c r="G484" s="2">
        <v>2.2482000000000002</v>
      </c>
      <c r="H484" s="2">
        <v>3.7301000000000002</v>
      </c>
      <c r="I484" s="2">
        <v>1.3765000000000001</v>
      </c>
      <c r="J484" s="2">
        <v>4.3414000000000001</v>
      </c>
      <c r="K484" s="2">
        <v>2302.4499999999998</v>
      </c>
      <c r="L484" s="2">
        <v>0</v>
      </c>
    </row>
    <row r="485" spans="1:12" hidden="1" x14ac:dyDescent="0.35">
      <c r="A485" s="3" t="s">
        <v>496</v>
      </c>
      <c r="B485" s="1" t="str">
        <f t="shared" si="14"/>
        <v>Corumba IV</v>
      </c>
      <c r="C485" s="1">
        <f t="shared" si="15"/>
        <v>-2510</v>
      </c>
      <c r="D485" s="2">
        <v>0</v>
      </c>
      <c r="E485" s="2">
        <v>0</v>
      </c>
      <c r="F485" s="2">
        <v>0</v>
      </c>
      <c r="G485" s="2">
        <v>0.3629</v>
      </c>
      <c r="H485" s="2">
        <v>19.919599999999999</v>
      </c>
      <c r="I485" s="2">
        <v>5.9954000000000001</v>
      </c>
      <c r="J485" s="2">
        <v>14.287100000000001</v>
      </c>
      <c r="K485" s="2">
        <v>0</v>
      </c>
      <c r="L485" s="2">
        <v>0</v>
      </c>
    </row>
    <row r="486" spans="1:12" x14ac:dyDescent="0.35">
      <c r="A486" s="3" t="s">
        <v>497</v>
      </c>
      <c r="B486" s="1" t="str">
        <f t="shared" si="14"/>
        <v>Lago Paranoa</v>
      </c>
      <c r="C486" s="1">
        <f t="shared" si="15"/>
        <v>-2510</v>
      </c>
      <c r="D486" s="2">
        <v>0</v>
      </c>
      <c r="E486" s="2">
        <v>2302.4499999999998</v>
      </c>
      <c r="F486" s="2">
        <v>0.26629999999999998</v>
      </c>
      <c r="G486" s="2">
        <v>2.0533999999999999</v>
      </c>
      <c r="H486" s="2">
        <v>3.5689000000000002</v>
      </c>
      <c r="I486" s="2">
        <v>1.3605</v>
      </c>
      <c r="J486" s="2">
        <v>3.9954999999999998</v>
      </c>
      <c r="K486" s="2">
        <v>2302.4499999999998</v>
      </c>
      <c r="L486" s="2">
        <v>0</v>
      </c>
    </row>
    <row r="487" spans="1:12" hidden="1" x14ac:dyDescent="0.35">
      <c r="A487" s="3" t="s">
        <v>498</v>
      </c>
      <c r="B487" s="1" t="str">
        <f t="shared" si="14"/>
        <v>Corumba IV</v>
      </c>
      <c r="C487" s="1">
        <f t="shared" si="15"/>
        <v>-2509</v>
      </c>
      <c r="D487" s="2">
        <v>0</v>
      </c>
      <c r="E487" s="2">
        <v>0</v>
      </c>
      <c r="F487" s="2">
        <v>0</v>
      </c>
      <c r="G487" s="2">
        <v>0.3629</v>
      </c>
      <c r="H487" s="2">
        <v>38.080399999999997</v>
      </c>
      <c r="I487" s="2">
        <v>5.8292999999999999</v>
      </c>
      <c r="J487" s="2">
        <v>32.613999999999997</v>
      </c>
      <c r="K487" s="2">
        <v>0</v>
      </c>
      <c r="L487" s="2">
        <v>0</v>
      </c>
    </row>
    <row r="488" spans="1:12" x14ac:dyDescent="0.35">
      <c r="A488" s="3" t="s">
        <v>499</v>
      </c>
      <c r="B488" s="1" t="str">
        <f t="shared" si="14"/>
        <v>Lago Paranoa</v>
      </c>
      <c r="C488" s="1">
        <f t="shared" si="15"/>
        <v>-2509</v>
      </c>
      <c r="D488" s="2">
        <v>0</v>
      </c>
      <c r="E488" s="2">
        <v>2302.4499999999998</v>
      </c>
      <c r="F488" s="2">
        <v>0.22969999999999999</v>
      </c>
      <c r="G488" s="2">
        <v>2.8887999999999998</v>
      </c>
      <c r="H488" s="2">
        <v>4.4828999999999999</v>
      </c>
      <c r="I488" s="2">
        <v>1.2645</v>
      </c>
      <c r="J488" s="2">
        <v>5.8773999999999997</v>
      </c>
      <c r="K488" s="2">
        <v>2302.4499999999998</v>
      </c>
      <c r="L488" s="2">
        <v>0</v>
      </c>
    </row>
    <row r="489" spans="1:12" hidden="1" x14ac:dyDescent="0.35">
      <c r="A489" s="3" t="s">
        <v>500</v>
      </c>
      <c r="B489" s="1" t="str">
        <f t="shared" si="14"/>
        <v>Corumba IV</v>
      </c>
      <c r="C489" s="1">
        <f t="shared" si="15"/>
        <v>-2508</v>
      </c>
      <c r="D489" s="2">
        <v>0</v>
      </c>
      <c r="E489" s="2">
        <v>0</v>
      </c>
      <c r="F489" s="2">
        <v>0</v>
      </c>
      <c r="G489" s="2">
        <v>0.3629</v>
      </c>
      <c r="H489" s="2">
        <v>40.826999999999998</v>
      </c>
      <c r="I489" s="2">
        <v>5.8292999999999999</v>
      </c>
      <c r="J489" s="2">
        <v>35.360599999999998</v>
      </c>
      <c r="K489" s="2">
        <v>0</v>
      </c>
      <c r="L489" s="2">
        <v>0</v>
      </c>
    </row>
    <row r="490" spans="1:12" x14ac:dyDescent="0.35">
      <c r="A490" s="3" t="s">
        <v>501</v>
      </c>
      <c r="B490" s="1" t="str">
        <f t="shared" si="14"/>
        <v>Lago Paranoa</v>
      </c>
      <c r="C490" s="1">
        <f t="shared" si="15"/>
        <v>-2508</v>
      </c>
      <c r="D490" s="2">
        <v>0</v>
      </c>
      <c r="E490" s="2">
        <v>2302.4499999999998</v>
      </c>
      <c r="F490" s="2">
        <v>0.22989999999999999</v>
      </c>
      <c r="G490" s="2">
        <v>3.1888000000000001</v>
      </c>
      <c r="H490" s="2">
        <v>5.1623000000000001</v>
      </c>
      <c r="I490" s="2">
        <v>1.2645</v>
      </c>
      <c r="J490" s="2">
        <v>6.8567999999999998</v>
      </c>
      <c r="K490" s="2">
        <v>2302.4499999999998</v>
      </c>
      <c r="L490" s="2">
        <v>0</v>
      </c>
    </row>
    <row r="491" spans="1:12" hidden="1" x14ac:dyDescent="0.35">
      <c r="A491" s="3" t="s">
        <v>502</v>
      </c>
      <c r="B491" s="1" t="str">
        <f t="shared" si="14"/>
        <v>Corumba IV</v>
      </c>
      <c r="C491" s="1">
        <f t="shared" si="15"/>
        <v>-2507</v>
      </c>
      <c r="D491" s="2">
        <v>0</v>
      </c>
      <c r="E491" s="2">
        <v>0</v>
      </c>
      <c r="F491" s="2">
        <v>0</v>
      </c>
      <c r="G491" s="2">
        <v>0.3629</v>
      </c>
      <c r="H491" s="2">
        <v>61.194899999999997</v>
      </c>
      <c r="I491" s="2">
        <v>5.8292999999999999</v>
      </c>
      <c r="J491" s="2">
        <v>55.728499999999997</v>
      </c>
      <c r="K491" s="2">
        <v>0</v>
      </c>
      <c r="L491" s="2">
        <v>0</v>
      </c>
    </row>
    <row r="492" spans="1:12" x14ac:dyDescent="0.35">
      <c r="A492" s="3" t="s">
        <v>503</v>
      </c>
      <c r="B492" s="1" t="str">
        <f t="shared" si="14"/>
        <v>Lago Paranoa</v>
      </c>
      <c r="C492" s="1">
        <f t="shared" si="15"/>
        <v>-2507</v>
      </c>
      <c r="D492" s="2">
        <v>0</v>
      </c>
      <c r="E492" s="2">
        <v>2302.4499999999998</v>
      </c>
      <c r="F492" s="2">
        <v>0.22989999999999999</v>
      </c>
      <c r="G492" s="2">
        <v>3.2934999999999999</v>
      </c>
      <c r="H492" s="2">
        <v>7.1235999999999997</v>
      </c>
      <c r="I492" s="2">
        <v>1.2645</v>
      </c>
      <c r="J492" s="2">
        <v>8.9228000000000005</v>
      </c>
      <c r="K492" s="2">
        <v>2302.4499999999998</v>
      </c>
      <c r="L492" s="2">
        <v>0</v>
      </c>
    </row>
    <row r="493" spans="1:12" hidden="1" x14ac:dyDescent="0.35">
      <c r="A493" s="3" t="s">
        <v>504</v>
      </c>
      <c r="B493" s="1" t="str">
        <f t="shared" si="14"/>
        <v>Corumba IV</v>
      </c>
      <c r="C493" s="1">
        <f t="shared" si="15"/>
        <v>-2506</v>
      </c>
      <c r="D493" s="2">
        <v>0</v>
      </c>
      <c r="E493" s="2">
        <v>0</v>
      </c>
      <c r="F493" s="2">
        <v>0</v>
      </c>
      <c r="G493" s="2">
        <v>0.3629</v>
      </c>
      <c r="H493" s="2">
        <v>32.269599999999997</v>
      </c>
      <c r="I493" s="2">
        <v>5.8292999999999999</v>
      </c>
      <c r="J493" s="2">
        <v>26.8032</v>
      </c>
      <c r="K493" s="2">
        <v>0</v>
      </c>
      <c r="L493" s="2">
        <v>0</v>
      </c>
    </row>
    <row r="494" spans="1:12" x14ac:dyDescent="0.35">
      <c r="A494" s="3" t="s">
        <v>505</v>
      </c>
      <c r="B494" s="1" t="str">
        <f t="shared" si="14"/>
        <v>Lago Paranoa</v>
      </c>
      <c r="C494" s="1">
        <f t="shared" si="15"/>
        <v>-2506</v>
      </c>
      <c r="D494" s="2">
        <v>0</v>
      </c>
      <c r="E494" s="2">
        <v>2302.4499999999998</v>
      </c>
      <c r="F494" s="2">
        <v>0.2301</v>
      </c>
      <c r="G494" s="2">
        <v>2.6141999999999999</v>
      </c>
      <c r="H494" s="2">
        <v>5.2191000000000001</v>
      </c>
      <c r="I494" s="2">
        <v>1.2645</v>
      </c>
      <c r="J494" s="2">
        <v>6.3388</v>
      </c>
      <c r="K494" s="2">
        <v>2302.4499999999998</v>
      </c>
      <c r="L494" s="2">
        <v>0</v>
      </c>
    </row>
    <row r="495" spans="1:12" hidden="1" x14ac:dyDescent="0.35">
      <c r="A495" s="3" t="s">
        <v>506</v>
      </c>
      <c r="B495" s="1" t="str">
        <f t="shared" si="14"/>
        <v>Corumba IV</v>
      </c>
      <c r="C495" s="1">
        <f t="shared" si="15"/>
        <v>-2505</v>
      </c>
      <c r="D495" s="2">
        <v>0</v>
      </c>
      <c r="E495" s="2">
        <v>0</v>
      </c>
      <c r="F495" s="2">
        <v>0</v>
      </c>
      <c r="G495" s="2">
        <v>0.3629</v>
      </c>
      <c r="H495" s="2">
        <v>46.744700000000002</v>
      </c>
      <c r="I495" s="2">
        <v>4.8312999999999997</v>
      </c>
      <c r="J495" s="2">
        <v>42.276400000000002</v>
      </c>
      <c r="K495" s="2">
        <v>0</v>
      </c>
      <c r="L495" s="2">
        <v>0</v>
      </c>
    </row>
    <row r="496" spans="1:12" x14ac:dyDescent="0.35">
      <c r="A496" s="3" t="s">
        <v>507</v>
      </c>
      <c r="B496" s="1" t="str">
        <f t="shared" si="14"/>
        <v>Lago Paranoa</v>
      </c>
      <c r="C496" s="1">
        <f t="shared" si="15"/>
        <v>-2505</v>
      </c>
      <c r="D496" s="2">
        <v>0</v>
      </c>
      <c r="E496" s="2">
        <v>2302.4499999999998</v>
      </c>
      <c r="F496" s="2">
        <v>0.2019</v>
      </c>
      <c r="G496" s="2">
        <v>2.7378999999999998</v>
      </c>
      <c r="H496" s="2">
        <v>5.3319000000000001</v>
      </c>
      <c r="I496" s="2">
        <v>1.1728000000000001</v>
      </c>
      <c r="J496" s="2">
        <v>6.6951000000000001</v>
      </c>
      <c r="K496" s="2">
        <v>2302.4499999999998</v>
      </c>
      <c r="L496" s="2">
        <v>0</v>
      </c>
    </row>
    <row r="497" spans="1:12" hidden="1" x14ac:dyDescent="0.35">
      <c r="A497" s="3" t="s">
        <v>508</v>
      </c>
      <c r="B497" s="1" t="str">
        <f t="shared" si="14"/>
        <v>Corumba IV</v>
      </c>
      <c r="C497" s="1">
        <f t="shared" si="15"/>
        <v>-2504</v>
      </c>
      <c r="D497" s="2">
        <v>0</v>
      </c>
      <c r="E497" s="2">
        <v>0</v>
      </c>
      <c r="F497" s="2">
        <v>0</v>
      </c>
      <c r="G497" s="2">
        <v>0.3629</v>
      </c>
      <c r="H497" s="2">
        <v>45.500799999999998</v>
      </c>
      <c r="I497" s="2">
        <v>4.4321000000000002</v>
      </c>
      <c r="J497" s="2">
        <v>41.431699999999999</v>
      </c>
      <c r="K497" s="2">
        <v>0</v>
      </c>
      <c r="L497" s="2">
        <v>0</v>
      </c>
    </row>
    <row r="498" spans="1:12" x14ac:dyDescent="0.35">
      <c r="A498" s="3" t="s">
        <v>509</v>
      </c>
      <c r="B498" s="1" t="str">
        <f t="shared" si="14"/>
        <v>Lago Paranoa</v>
      </c>
      <c r="C498" s="1">
        <f t="shared" si="15"/>
        <v>-2504</v>
      </c>
      <c r="D498" s="2">
        <v>0</v>
      </c>
      <c r="E498" s="2">
        <v>2302.4499999999998</v>
      </c>
      <c r="F498" s="2">
        <v>0.2021</v>
      </c>
      <c r="G498" s="2">
        <v>3.1518000000000002</v>
      </c>
      <c r="H498" s="2">
        <v>6.4043000000000001</v>
      </c>
      <c r="I498" s="2">
        <v>1.1361000000000001</v>
      </c>
      <c r="J498" s="2">
        <v>8.2179000000000002</v>
      </c>
      <c r="K498" s="2">
        <v>2302.4499999999998</v>
      </c>
      <c r="L498" s="2">
        <v>0</v>
      </c>
    </row>
    <row r="499" spans="1:12" hidden="1" x14ac:dyDescent="0.35">
      <c r="A499" s="3" t="s">
        <v>510</v>
      </c>
      <c r="B499" s="1" t="str">
        <f t="shared" si="14"/>
        <v>Corumba IV</v>
      </c>
      <c r="C499" s="1">
        <f t="shared" si="15"/>
        <v>-2503</v>
      </c>
      <c r="D499" s="2">
        <v>0</v>
      </c>
      <c r="E499" s="2">
        <v>0</v>
      </c>
      <c r="F499" s="2">
        <v>0</v>
      </c>
      <c r="G499" s="2">
        <v>0.3629</v>
      </c>
      <c r="H499" s="2">
        <v>74.784999999999997</v>
      </c>
      <c r="I499" s="2">
        <v>4.4321000000000002</v>
      </c>
      <c r="J499" s="2">
        <v>70.715800000000002</v>
      </c>
      <c r="K499" s="2">
        <v>0</v>
      </c>
      <c r="L499" s="2">
        <v>0</v>
      </c>
    </row>
    <row r="500" spans="1:12" x14ac:dyDescent="0.35">
      <c r="A500" s="3" t="s">
        <v>511</v>
      </c>
      <c r="B500" s="1" t="str">
        <f t="shared" si="14"/>
        <v>Lago Paranoa</v>
      </c>
      <c r="C500" s="1">
        <f t="shared" si="15"/>
        <v>-2503</v>
      </c>
      <c r="D500" s="2">
        <v>0</v>
      </c>
      <c r="E500" s="2">
        <v>2302.4499999999998</v>
      </c>
      <c r="F500" s="2">
        <v>0.20230000000000001</v>
      </c>
      <c r="G500" s="2">
        <v>3.9047999999999998</v>
      </c>
      <c r="H500" s="2">
        <v>8.3610000000000007</v>
      </c>
      <c r="I500" s="2">
        <v>1.1361000000000001</v>
      </c>
      <c r="J500" s="2">
        <v>10.9274</v>
      </c>
      <c r="K500" s="2">
        <v>2302.4499999999998</v>
      </c>
      <c r="L500" s="2">
        <v>0</v>
      </c>
    </row>
    <row r="501" spans="1:12" hidden="1" x14ac:dyDescent="0.35">
      <c r="A501" s="3" t="s">
        <v>512</v>
      </c>
      <c r="B501" s="1" t="str">
        <f t="shared" si="14"/>
        <v>Corumba IV</v>
      </c>
      <c r="C501" s="1">
        <f t="shared" si="15"/>
        <v>-2502</v>
      </c>
      <c r="D501" s="2">
        <v>0</v>
      </c>
      <c r="E501" s="2">
        <v>0</v>
      </c>
      <c r="F501" s="2">
        <v>0</v>
      </c>
      <c r="G501" s="2">
        <v>0.3629</v>
      </c>
      <c r="H501" s="2">
        <v>66.087699999999998</v>
      </c>
      <c r="I501" s="2">
        <v>4.4345999999999997</v>
      </c>
      <c r="J501" s="2">
        <v>62.015999999999998</v>
      </c>
      <c r="K501" s="2">
        <v>0</v>
      </c>
      <c r="L501" s="2">
        <v>0</v>
      </c>
    </row>
    <row r="502" spans="1:12" x14ac:dyDescent="0.35">
      <c r="A502" s="3" t="s">
        <v>513</v>
      </c>
      <c r="B502" s="1" t="str">
        <f t="shared" si="14"/>
        <v>Lago Paranoa</v>
      </c>
      <c r="C502" s="1">
        <f t="shared" si="15"/>
        <v>-2502</v>
      </c>
      <c r="D502" s="2">
        <v>0</v>
      </c>
      <c r="E502" s="2">
        <v>2302.4499999999998</v>
      </c>
      <c r="F502" s="2">
        <v>0.20250000000000001</v>
      </c>
      <c r="G502" s="2">
        <v>3.9853000000000001</v>
      </c>
      <c r="H502" s="2">
        <v>9.1478999999999999</v>
      </c>
      <c r="I502" s="2">
        <v>1.1518999999999999</v>
      </c>
      <c r="J502" s="2">
        <v>11.7788</v>
      </c>
      <c r="K502" s="2">
        <v>2302.4499999999998</v>
      </c>
      <c r="L502" s="2">
        <v>0</v>
      </c>
    </row>
    <row r="503" spans="1:12" hidden="1" x14ac:dyDescent="0.35">
      <c r="A503" s="3" t="s">
        <v>514</v>
      </c>
      <c r="B503" s="1" t="str">
        <f t="shared" si="14"/>
        <v>Corumba IV</v>
      </c>
      <c r="C503" s="1">
        <f t="shared" si="15"/>
        <v>-2501</v>
      </c>
      <c r="D503" s="2">
        <v>0</v>
      </c>
      <c r="E503" s="2">
        <v>0</v>
      </c>
      <c r="F503" s="2">
        <v>0</v>
      </c>
      <c r="G503" s="2">
        <v>0.3629</v>
      </c>
      <c r="H503" s="2">
        <v>59.3977</v>
      </c>
      <c r="I503" s="2">
        <v>4.5053999999999998</v>
      </c>
      <c r="J503" s="2">
        <v>55.255200000000002</v>
      </c>
      <c r="K503" s="2">
        <v>0</v>
      </c>
      <c r="L503" s="2">
        <v>0</v>
      </c>
    </row>
    <row r="504" spans="1:12" x14ac:dyDescent="0.35">
      <c r="A504" s="3" t="s">
        <v>515</v>
      </c>
      <c r="B504" s="1" t="str">
        <f t="shared" si="14"/>
        <v>Lago Paranoa</v>
      </c>
      <c r="C504" s="1">
        <f t="shared" si="15"/>
        <v>-2501</v>
      </c>
      <c r="D504" s="2">
        <v>0</v>
      </c>
      <c r="E504" s="2">
        <v>2302.4499999999998</v>
      </c>
      <c r="F504" s="2">
        <v>0.14349999999999999</v>
      </c>
      <c r="G504" s="2">
        <v>3.5297000000000001</v>
      </c>
      <c r="H504" s="2">
        <v>8.2283000000000008</v>
      </c>
      <c r="I504" s="2">
        <v>1.2030000000000001</v>
      </c>
      <c r="J504" s="2">
        <v>10.4116</v>
      </c>
      <c r="K504" s="2">
        <v>2302.4499999999998</v>
      </c>
      <c r="L504" s="2">
        <v>0</v>
      </c>
    </row>
    <row r="505" spans="1:12" hidden="1" x14ac:dyDescent="0.35">
      <c r="A505" s="3" t="s">
        <v>516</v>
      </c>
      <c r="B505" s="1" t="str">
        <f t="shared" si="14"/>
        <v>Corumba IV</v>
      </c>
      <c r="C505" s="1">
        <f t="shared" si="15"/>
        <v>-2500</v>
      </c>
      <c r="D505" s="2">
        <v>0</v>
      </c>
      <c r="E505" s="2">
        <v>0</v>
      </c>
      <c r="F505" s="2">
        <v>0</v>
      </c>
      <c r="G505" s="2">
        <v>0.3629</v>
      </c>
      <c r="H505" s="2">
        <v>45.087200000000003</v>
      </c>
      <c r="I505" s="2">
        <v>4.5795000000000003</v>
      </c>
      <c r="J505" s="2">
        <v>40.870600000000003</v>
      </c>
      <c r="K505" s="2">
        <v>0</v>
      </c>
      <c r="L505" s="2">
        <v>0</v>
      </c>
    </row>
    <row r="506" spans="1:12" x14ac:dyDescent="0.35">
      <c r="A506" s="3" t="s">
        <v>517</v>
      </c>
      <c r="B506" s="1" t="str">
        <f t="shared" si="14"/>
        <v>Lago Paranoa</v>
      </c>
      <c r="C506" s="1">
        <f t="shared" si="15"/>
        <v>-2500</v>
      </c>
      <c r="D506" s="2">
        <v>0</v>
      </c>
      <c r="E506" s="2">
        <v>2302.4499999999998</v>
      </c>
      <c r="F506" s="2">
        <v>0.14360000000000001</v>
      </c>
      <c r="G506" s="2">
        <v>3.2982999999999998</v>
      </c>
      <c r="H506" s="2">
        <v>7.4279999999999999</v>
      </c>
      <c r="I506" s="2">
        <v>1.1447000000000001</v>
      </c>
      <c r="J506" s="2">
        <v>9.4380000000000006</v>
      </c>
      <c r="K506" s="2">
        <v>2302.4499999999998</v>
      </c>
      <c r="L506" s="2">
        <v>0</v>
      </c>
    </row>
    <row r="507" spans="1:12" hidden="1" x14ac:dyDescent="0.35">
      <c r="A507" s="3" t="s">
        <v>9</v>
      </c>
      <c r="B507" s="1" t="str">
        <f t="shared" si="14"/>
        <v>Corumba IV</v>
      </c>
      <c r="C507" s="1">
        <f t="shared" si="15"/>
        <v>49</v>
      </c>
      <c r="D507" s="2">
        <v>0</v>
      </c>
      <c r="E507" s="2">
        <v>0</v>
      </c>
      <c r="F507" s="2">
        <v>0</v>
      </c>
      <c r="G507" s="2">
        <v>0.3629</v>
      </c>
      <c r="H507" s="2">
        <v>110.2283</v>
      </c>
      <c r="I507" s="2">
        <v>4.5862999999999996</v>
      </c>
      <c r="J507" s="2">
        <v>106.0048</v>
      </c>
      <c r="K507" s="2">
        <v>0</v>
      </c>
      <c r="L507" s="2">
        <v>0</v>
      </c>
    </row>
    <row r="508" spans="1:12" x14ac:dyDescent="0.35">
      <c r="A508" s="3" t="s">
        <v>10</v>
      </c>
      <c r="B508" s="1" t="str">
        <f t="shared" si="14"/>
        <v>Lago Paranoa</v>
      </c>
      <c r="C508" s="1">
        <f t="shared" si="15"/>
        <v>49</v>
      </c>
      <c r="D508" s="2">
        <v>0</v>
      </c>
      <c r="E508" s="2">
        <v>2302.4499999999998</v>
      </c>
      <c r="F508" s="2">
        <v>0.14380000000000001</v>
      </c>
      <c r="G508" s="2">
        <v>6.8632</v>
      </c>
      <c r="H508" s="2">
        <v>16.119</v>
      </c>
      <c r="I508" s="2">
        <v>1.0972</v>
      </c>
      <c r="J508" s="2">
        <v>21.741199999999999</v>
      </c>
      <c r="K508" s="2">
        <v>2302.4499999999998</v>
      </c>
      <c r="L508" s="2">
        <v>0</v>
      </c>
    </row>
  </sheetData>
  <autoFilter ref="A1:L508" xr:uid="{3FC51DC4-BCE0-4096-9CE7-928A929E67A3}">
    <filterColumn colId="1">
      <filters>
        <filter val="Lago Parano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9EA4-7174-4DFD-A356-939AA3B4B1C0}">
  <sheetPr filterMode="1"/>
  <dimension ref="A1:N498"/>
  <sheetViews>
    <sheetView topLeftCell="B449" workbookViewId="0">
      <selection activeCell="C3" sqref="C3:C497"/>
    </sheetView>
  </sheetViews>
  <sheetFormatPr defaultRowHeight="14.5" x14ac:dyDescent="0.35"/>
  <cols>
    <col min="1" max="1" width="3.7265625" style="6" customWidth="1"/>
    <col min="2" max="2" width="13.90625" style="1" bestFit="1" customWidth="1"/>
    <col min="3" max="3" width="7.36328125" style="1" customWidth="1"/>
    <col min="4" max="4" width="10.81640625" style="1" bestFit="1" customWidth="1"/>
    <col min="5" max="5" width="12.1796875" style="1" bestFit="1" customWidth="1"/>
    <col min="6" max="6" width="14" style="1" bestFit="1" customWidth="1"/>
    <col min="7" max="7" width="20.453125" style="1" bestFit="1" customWidth="1"/>
    <col min="8" max="8" width="25.54296875" style="1" bestFit="1" customWidth="1"/>
    <col min="9" max="9" width="18.1796875" style="1" bestFit="1" customWidth="1"/>
    <col min="10" max="10" width="12.54296875" style="1" bestFit="1" customWidth="1"/>
    <col min="11" max="11" width="15.90625" style="1" bestFit="1" customWidth="1"/>
    <col min="12" max="12" width="14.90625" style="1" bestFit="1" customWidth="1"/>
    <col min="14" max="14" width="62.54296875" bestFit="1" customWidth="1"/>
  </cols>
  <sheetData>
    <row r="1" spans="1:14" s="9" customFormat="1" x14ac:dyDescent="0.35">
      <c r="A1" s="7"/>
      <c r="B1" s="8" t="s">
        <v>12</v>
      </c>
      <c r="C1" s="8" t="s">
        <v>11</v>
      </c>
      <c r="D1" s="8" t="s">
        <v>518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</v>
      </c>
      <c r="K1" s="8" t="s">
        <v>2</v>
      </c>
      <c r="L1" s="8" t="s">
        <v>3</v>
      </c>
    </row>
    <row r="2" spans="1:14" hidden="1" x14ac:dyDescent="0.35">
      <c r="A2" s="6" t="s">
        <v>519</v>
      </c>
      <c r="B2" s="1" t="str">
        <f>_xlfn.TEXTBEFORE(_xlfn.TEXTAFTER(A2,"["),"]")</f>
        <v>Lago Paranoa</v>
      </c>
      <c r="C2" s="1">
        <f>--_xlfn.TEXTBEFORE(_xlfn.TEXTAFTER(A2,"Week "),":")</f>
        <v>-2118</v>
      </c>
      <c r="D2" s="1">
        <v>0</v>
      </c>
      <c r="E2" s="1">
        <v>2302.4499999999998</v>
      </c>
      <c r="F2" s="1">
        <v>0.35570000000000002</v>
      </c>
      <c r="G2" s="1">
        <v>6.1966999999999999</v>
      </c>
      <c r="H2" s="1">
        <v>17.793600000000001</v>
      </c>
      <c r="I2" s="1">
        <v>0.80959999999999999</v>
      </c>
      <c r="J2" s="1">
        <v>22.824999999999999</v>
      </c>
      <c r="K2" s="1">
        <v>2302.4499999999998</v>
      </c>
      <c r="L2" s="1">
        <v>0</v>
      </c>
      <c r="N2" s="5" t="s">
        <v>705</v>
      </c>
    </row>
    <row r="3" spans="1:14" x14ac:dyDescent="0.35">
      <c r="A3" s="6" t="s">
        <v>520</v>
      </c>
      <c r="B3" s="1" t="str">
        <f t="shared" ref="B3:B66" si="0">_xlfn.TEXTBEFORE(_xlfn.TEXTAFTER(A3,"["),"]")</f>
        <v>Corumba IV</v>
      </c>
      <c r="C3" s="1">
        <f t="shared" ref="C3:C66" si="1">--_xlfn.TEXTBEFORE(_xlfn.TEXTAFTER(A3,"Week "),":")</f>
        <v>-2117</v>
      </c>
      <c r="D3" s="1">
        <v>0</v>
      </c>
      <c r="E3" s="1">
        <v>0</v>
      </c>
      <c r="F3" s="1">
        <v>0</v>
      </c>
      <c r="G3" s="1">
        <v>3.7065000000000001</v>
      </c>
      <c r="H3" s="1">
        <v>161.93520000000001</v>
      </c>
      <c r="I3" s="1">
        <v>3.2115999999999998</v>
      </c>
      <c r="J3" s="1">
        <v>162.43</v>
      </c>
      <c r="K3" s="1">
        <v>0</v>
      </c>
      <c r="L3" s="1">
        <v>0</v>
      </c>
      <c r="N3" s="5" t="s">
        <v>706</v>
      </c>
    </row>
    <row r="4" spans="1:14" hidden="1" x14ac:dyDescent="0.35">
      <c r="A4" s="6" t="s">
        <v>521</v>
      </c>
      <c r="B4" s="1" t="str">
        <f t="shared" si="0"/>
        <v>Lago Paranoa</v>
      </c>
      <c r="C4" s="1">
        <f t="shared" si="1"/>
        <v>-2117</v>
      </c>
      <c r="D4" s="1">
        <v>0</v>
      </c>
      <c r="E4" s="1">
        <v>2302.4499999999998</v>
      </c>
      <c r="F4" s="1">
        <v>0.35610000000000003</v>
      </c>
      <c r="G4" s="1">
        <v>6.1523000000000003</v>
      </c>
      <c r="H4" s="1">
        <v>16.922000000000001</v>
      </c>
      <c r="I4" s="1">
        <v>0.80959999999999999</v>
      </c>
      <c r="J4" s="1">
        <v>21.9086</v>
      </c>
      <c r="K4" s="1">
        <v>2302.4499999999998</v>
      </c>
      <c r="L4" s="1">
        <v>0</v>
      </c>
      <c r="N4" s="5" t="s">
        <v>707</v>
      </c>
    </row>
    <row r="5" spans="1:14" x14ac:dyDescent="0.35">
      <c r="A5" s="6" t="s">
        <v>522</v>
      </c>
      <c r="B5" s="1" t="str">
        <f t="shared" si="0"/>
        <v>Corumba IV</v>
      </c>
      <c r="C5" s="1">
        <f t="shared" si="1"/>
        <v>-2116</v>
      </c>
      <c r="D5" s="1">
        <v>0</v>
      </c>
      <c r="E5" s="1">
        <v>0</v>
      </c>
      <c r="F5" s="1">
        <v>0</v>
      </c>
      <c r="G5" s="1">
        <v>2.3456999999999999</v>
      </c>
      <c r="H5" s="1">
        <v>111.5018</v>
      </c>
      <c r="I5" s="1">
        <v>3.3746999999999998</v>
      </c>
      <c r="J5" s="1">
        <v>110.47280000000001</v>
      </c>
      <c r="K5" s="1">
        <v>0</v>
      </c>
      <c r="L5" s="1">
        <v>0</v>
      </c>
      <c r="N5" s="5" t="s">
        <v>708</v>
      </c>
    </row>
    <row r="6" spans="1:14" hidden="1" x14ac:dyDescent="0.35">
      <c r="A6" s="6" t="s">
        <v>523</v>
      </c>
      <c r="B6" s="1" t="str">
        <f t="shared" si="0"/>
        <v>Lago Paranoa</v>
      </c>
      <c r="C6" s="1">
        <f t="shared" si="1"/>
        <v>-2116</v>
      </c>
      <c r="D6" s="1">
        <v>0</v>
      </c>
      <c r="E6" s="1">
        <v>2302.4499999999998</v>
      </c>
      <c r="F6" s="1">
        <v>0.35639999999999999</v>
      </c>
      <c r="G6" s="1">
        <v>4.4793000000000003</v>
      </c>
      <c r="H6" s="1">
        <v>11.958600000000001</v>
      </c>
      <c r="I6" s="1">
        <v>0.83089999999999997</v>
      </c>
      <c r="J6" s="1">
        <v>15.2507</v>
      </c>
      <c r="K6" s="1">
        <v>2302.4499999999998</v>
      </c>
      <c r="L6" s="1">
        <v>0</v>
      </c>
      <c r="N6" s="5" t="s">
        <v>709</v>
      </c>
    </row>
    <row r="7" spans="1:14" x14ac:dyDescent="0.35">
      <c r="A7" s="6" t="s">
        <v>524</v>
      </c>
      <c r="B7" s="1" t="str">
        <f t="shared" si="0"/>
        <v>Corumba IV</v>
      </c>
      <c r="C7" s="1">
        <f t="shared" si="1"/>
        <v>-2115</v>
      </c>
      <c r="D7" s="1">
        <v>0</v>
      </c>
      <c r="E7" s="1">
        <v>0</v>
      </c>
      <c r="F7" s="1">
        <v>0</v>
      </c>
      <c r="G7" s="1">
        <v>2.4617</v>
      </c>
      <c r="H7" s="1">
        <v>103.1927</v>
      </c>
      <c r="I7" s="1">
        <v>3.9981</v>
      </c>
      <c r="J7" s="1">
        <v>101.6563</v>
      </c>
      <c r="K7" s="1">
        <v>0</v>
      </c>
      <c r="L7" s="1">
        <v>0</v>
      </c>
      <c r="N7" s="5" t="s">
        <v>710</v>
      </c>
    </row>
    <row r="8" spans="1:14" hidden="1" x14ac:dyDescent="0.35">
      <c r="A8" s="6" t="s">
        <v>525</v>
      </c>
      <c r="B8" s="1" t="str">
        <f t="shared" si="0"/>
        <v>Lago Paranoa</v>
      </c>
      <c r="C8" s="1">
        <f t="shared" si="1"/>
        <v>-2115</v>
      </c>
      <c r="D8" s="1">
        <v>0</v>
      </c>
      <c r="E8" s="1">
        <v>2302.4499999999998</v>
      </c>
      <c r="F8" s="1">
        <v>0.33789999999999998</v>
      </c>
      <c r="G8" s="1">
        <v>4.6505999999999998</v>
      </c>
      <c r="H8" s="1">
        <v>12.1996</v>
      </c>
      <c r="I8" s="1">
        <v>0.92390000000000005</v>
      </c>
      <c r="J8" s="1">
        <v>15.5884</v>
      </c>
      <c r="K8" s="1">
        <v>2302.4499999999998</v>
      </c>
      <c r="L8" s="1">
        <v>0</v>
      </c>
      <c r="N8" s="5" t="s">
        <v>711</v>
      </c>
    </row>
    <row r="9" spans="1:14" x14ac:dyDescent="0.35">
      <c r="A9" s="6" t="s">
        <v>526</v>
      </c>
      <c r="B9" s="1" t="str">
        <f t="shared" si="0"/>
        <v>Corumba IV</v>
      </c>
      <c r="C9" s="1">
        <f t="shared" si="1"/>
        <v>-2114</v>
      </c>
      <c r="D9" s="1">
        <v>0</v>
      </c>
      <c r="E9" s="1">
        <v>0</v>
      </c>
      <c r="F9" s="1">
        <v>0</v>
      </c>
      <c r="G9" s="1">
        <v>1.9517</v>
      </c>
      <c r="H9" s="1">
        <v>93.3673</v>
      </c>
      <c r="I9" s="1">
        <v>4.5380000000000003</v>
      </c>
      <c r="J9" s="1">
        <v>90.781000000000006</v>
      </c>
      <c r="K9" s="1">
        <v>0</v>
      </c>
      <c r="L9" s="1">
        <v>0</v>
      </c>
      <c r="N9" s="5" t="s">
        <v>712</v>
      </c>
    </row>
    <row r="10" spans="1:14" hidden="1" x14ac:dyDescent="0.35">
      <c r="A10" s="6" t="s">
        <v>527</v>
      </c>
      <c r="B10" s="1" t="str">
        <f t="shared" si="0"/>
        <v>Lago Paranoa</v>
      </c>
      <c r="C10" s="1">
        <f t="shared" si="1"/>
        <v>-2114</v>
      </c>
      <c r="D10" s="1">
        <v>0</v>
      </c>
      <c r="E10" s="1">
        <v>2302.4499999999998</v>
      </c>
      <c r="F10" s="1">
        <v>0.3382</v>
      </c>
      <c r="G10" s="1">
        <v>4.0392999999999999</v>
      </c>
      <c r="H10" s="1">
        <v>10.157400000000001</v>
      </c>
      <c r="I10" s="1">
        <v>1.0235000000000001</v>
      </c>
      <c r="J10" s="1">
        <v>12.835000000000001</v>
      </c>
      <c r="K10" s="1">
        <v>2302.4499999999998</v>
      </c>
      <c r="L10" s="1">
        <v>0</v>
      </c>
      <c r="N10" s="5" t="s">
        <v>0</v>
      </c>
    </row>
    <row r="11" spans="1:14" x14ac:dyDescent="0.35">
      <c r="A11" s="6" t="s">
        <v>528</v>
      </c>
      <c r="B11" s="1" t="str">
        <f t="shared" si="0"/>
        <v>Corumba IV</v>
      </c>
      <c r="C11" s="1">
        <f t="shared" si="1"/>
        <v>-2113</v>
      </c>
      <c r="D11" s="1">
        <v>0</v>
      </c>
      <c r="E11" s="1">
        <v>0</v>
      </c>
      <c r="F11" s="1">
        <v>0</v>
      </c>
      <c r="G11" s="1">
        <v>1.6183000000000001</v>
      </c>
      <c r="H11" s="1">
        <v>85.537700000000001</v>
      </c>
      <c r="I11" s="1">
        <v>4.5380000000000003</v>
      </c>
      <c r="J11" s="1">
        <v>82.617999999999995</v>
      </c>
      <c r="K11" s="1">
        <v>0</v>
      </c>
      <c r="L11" s="1">
        <v>0</v>
      </c>
      <c r="N11" s="5" t="s">
        <v>713</v>
      </c>
    </row>
    <row r="12" spans="1:14" hidden="1" x14ac:dyDescent="0.35">
      <c r="A12" s="6" t="s">
        <v>529</v>
      </c>
      <c r="B12" s="1" t="str">
        <f t="shared" si="0"/>
        <v>Lago Paranoa</v>
      </c>
      <c r="C12" s="1">
        <f t="shared" si="1"/>
        <v>-2113</v>
      </c>
      <c r="D12" s="1">
        <v>0</v>
      </c>
      <c r="E12" s="1">
        <v>2302.4499999999998</v>
      </c>
      <c r="F12" s="1">
        <v>0.33850000000000002</v>
      </c>
      <c r="G12" s="1">
        <v>3.7235999999999998</v>
      </c>
      <c r="H12" s="1">
        <v>9.1910000000000007</v>
      </c>
      <c r="I12" s="1">
        <v>1.0235000000000001</v>
      </c>
      <c r="J12" s="1">
        <v>11.5525</v>
      </c>
      <c r="K12" s="1">
        <v>2302.4499999999998</v>
      </c>
      <c r="L12" s="1">
        <v>0</v>
      </c>
      <c r="N12" s="5" t="s">
        <v>935</v>
      </c>
    </row>
    <row r="13" spans="1:14" x14ac:dyDescent="0.35">
      <c r="A13" s="6" t="s">
        <v>530</v>
      </c>
      <c r="B13" s="1" t="str">
        <f t="shared" si="0"/>
        <v>Corumba IV</v>
      </c>
      <c r="C13" s="1">
        <f t="shared" si="1"/>
        <v>-2112</v>
      </c>
      <c r="D13" s="1">
        <v>0</v>
      </c>
      <c r="E13" s="1">
        <v>0</v>
      </c>
      <c r="F13" s="1">
        <v>0</v>
      </c>
      <c r="G13" s="1">
        <v>1.7918000000000001</v>
      </c>
      <c r="H13" s="1">
        <v>82.672700000000006</v>
      </c>
      <c r="I13" s="1">
        <v>4.5380000000000003</v>
      </c>
      <c r="J13" s="1">
        <v>79.926500000000004</v>
      </c>
      <c r="K13" s="1">
        <v>0</v>
      </c>
      <c r="L13" s="1">
        <v>0</v>
      </c>
    </row>
    <row r="14" spans="1:14" hidden="1" x14ac:dyDescent="0.35">
      <c r="A14" s="6" t="s">
        <v>531</v>
      </c>
      <c r="B14" s="1" t="str">
        <f t="shared" si="0"/>
        <v>Lago Paranoa</v>
      </c>
      <c r="C14" s="1">
        <f t="shared" si="1"/>
        <v>-2112</v>
      </c>
      <c r="D14" s="1">
        <v>0</v>
      </c>
      <c r="E14" s="1">
        <v>2302.4499999999998</v>
      </c>
      <c r="F14" s="1">
        <v>0.33879999999999999</v>
      </c>
      <c r="G14" s="1">
        <v>3.6617000000000002</v>
      </c>
      <c r="H14" s="1">
        <v>8.9690999999999992</v>
      </c>
      <c r="I14" s="1">
        <v>1.0235000000000001</v>
      </c>
      <c r="J14" s="1">
        <v>11.2685</v>
      </c>
      <c r="K14" s="1">
        <v>2302.4499999999998</v>
      </c>
      <c r="L14" s="1">
        <v>0</v>
      </c>
    </row>
    <row r="15" spans="1:14" x14ac:dyDescent="0.35">
      <c r="A15" s="6" t="s">
        <v>532</v>
      </c>
      <c r="B15" s="1" t="str">
        <f t="shared" si="0"/>
        <v>Corumba IV</v>
      </c>
      <c r="C15" s="1">
        <f t="shared" si="1"/>
        <v>-2111</v>
      </c>
      <c r="D15" s="1">
        <v>0</v>
      </c>
      <c r="E15" s="1">
        <v>0</v>
      </c>
      <c r="F15" s="1">
        <v>0</v>
      </c>
      <c r="G15" s="1">
        <v>1.22</v>
      </c>
      <c r="H15" s="1">
        <v>75.595699999999994</v>
      </c>
      <c r="I15" s="1">
        <v>4.7041000000000004</v>
      </c>
      <c r="J15" s="1">
        <v>72.111599999999996</v>
      </c>
      <c r="K15" s="1">
        <v>0</v>
      </c>
      <c r="L15" s="1">
        <v>0</v>
      </c>
    </row>
    <row r="16" spans="1:14" hidden="1" x14ac:dyDescent="0.35">
      <c r="A16" s="6" t="s">
        <v>533</v>
      </c>
      <c r="B16" s="1" t="str">
        <f t="shared" si="0"/>
        <v>Lago Paranoa</v>
      </c>
      <c r="C16" s="1">
        <f t="shared" si="1"/>
        <v>-2111</v>
      </c>
      <c r="D16" s="1">
        <v>0</v>
      </c>
      <c r="E16" s="1">
        <v>2302.4499999999998</v>
      </c>
      <c r="F16" s="1">
        <v>0.40600000000000003</v>
      </c>
      <c r="G16" s="1">
        <v>3.3708999999999998</v>
      </c>
      <c r="H16" s="1">
        <v>8.8035999999999994</v>
      </c>
      <c r="I16" s="1">
        <v>1.0375000000000001</v>
      </c>
      <c r="J16" s="1">
        <v>10.7309</v>
      </c>
      <c r="K16" s="1">
        <v>2302.4499999999998</v>
      </c>
      <c r="L16" s="1">
        <v>0</v>
      </c>
    </row>
    <row r="17" spans="1:12" x14ac:dyDescent="0.35">
      <c r="A17" s="6" t="s">
        <v>534</v>
      </c>
      <c r="B17" s="1" t="str">
        <f t="shared" si="0"/>
        <v>Corumba IV</v>
      </c>
      <c r="C17" s="1">
        <f t="shared" si="1"/>
        <v>-2110</v>
      </c>
      <c r="D17" s="1">
        <v>0</v>
      </c>
      <c r="E17" s="1">
        <v>0</v>
      </c>
      <c r="F17" s="1">
        <v>0</v>
      </c>
      <c r="G17" s="1">
        <v>1.0632999999999999</v>
      </c>
      <c r="H17" s="1">
        <v>70.090299999999999</v>
      </c>
      <c r="I17" s="1">
        <v>4.7789999999999999</v>
      </c>
      <c r="J17" s="1">
        <v>66.374600000000001</v>
      </c>
      <c r="K17" s="1">
        <v>0</v>
      </c>
      <c r="L17" s="1">
        <v>0</v>
      </c>
    </row>
    <row r="18" spans="1:12" hidden="1" x14ac:dyDescent="0.35">
      <c r="A18" s="6" t="s">
        <v>535</v>
      </c>
      <c r="B18" s="1" t="str">
        <f t="shared" si="0"/>
        <v>Lago Paranoa</v>
      </c>
      <c r="C18" s="1">
        <f t="shared" si="1"/>
        <v>-2110</v>
      </c>
      <c r="D18" s="1">
        <v>0</v>
      </c>
      <c r="E18" s="1">
        <v>2302.4499999999998</v>
      </c>
      <c r="F18" s="1">
        <v>0.40629999999999999</v>
      </c>
      <c r="G18" s="1">
        <v>2.9788000000000001</v>
      </c>
      <c r="H18" s="1">
        <v>8.6057000000000006</v>
      </c>
      <c r="I18" s="1">
        <v>1.0229999999999999</v>
      </c>
      <c r="J18" s="1">
        <v>10.155200000000001</v>
      </c>
      <c r="K18" s="1">
        <v>2302.4499999999998</v>
      </c>
      <c r="L18" s="1">
        <v>0</v>
      </c>
    </row>
    <row r="19" spans="1:12" x14ac:dyDescent="0.35">
      <c r="A19" s="6" t="s">
        <v>536</v>
      </c>
      <c r="B19" s="1" t="str">
        <f t="shared" si="0"/>
        <v>Corumba IV</v>
      </c>
      <c r="C19" s="1">
        <f t="shared" si="1"/>
        <v>-2109</v>
      </c>
      <c r="D19" s="1">
        <v>0</v>
      </c>
      <c r="E19" s="1">
        <v>0</v>
      </c>
      <c r="F19" s="1">
        <v>0</v>
      </c>
      <c r="G19" s="1">
        <v>0.86070000000000002</v>
      </c>
      <c r="H19" s="1">
        <v>66.515900000000002</v>
      </c>
      <c r="I19" s="1">
        <v>4.7789999999999999</v>
      </c>
      <c r="J19" s="1">
        <v>62.5976</v>
      </c>
      <c r="K19" s="1">
        <v>0</v>
      </c>
      <c r="L19" s="1">
        <v>0</v>
      </c>
    </row>
    <row r="20" spans="1:12" hidden="1" x14ac:dyDescent="0.35">
      <c r="A20" s="6" t="s">
        <v>537</v>
      </c>
      <c r="B20" s="1" t="str">
        <f t="shared" si="0"/>
        <v>Lago Paranoa</v>
      </c>
      <c r="C20" s="1">
        <f t="shared" si="1"/>
        <v>-2109</v>
      </c>
      <c r="D20" s="1">
        <v>0</v>
      </c>
      <c r="E20" s="1">
        <v>2302.4499999999998</v>
      </c>
      <c r="F20" s="1">
        <v>0.40670000000000001</v>
      </c>
      <c r="G20" s="1">
        <v>2.8746</v>
      </c>
      <c r="H20" s="1">
        <v>8.3773999999999997</v>
      </c>
      <c r="I20" s="1">
        <v>1.0229999999999999</v>
      </c>
      <c r="J20" s="1">
        <v>9.8223000000000003</v>
      </c>
      <c r="K20" s="1">
        <v>2302.4499999999998</v>
      </c>
      <c r="L20" s="1">
        <v>0</v>
      </c>
    </row>
    <row r="21" spans="1:12" x14ac:dyDescent="0.35">
      <c r="A21" s="6" t="s">
        <v>538</v>
      </c>
      <c r="B21" s="1" t="str">
        <f t="shared" si="0"/>
        <v>Corumba IV</v>
      </c>
      <c r="C21" s="1">
        <f t="shared" si="1"/>
        <v>-2108</v>
      </c>
      <c r="D21" s="1">
        <v>0</v>
      </c>
      <c r="E21" s="1">
        <v>0</v>
      </c>
      <c r="F21" s="1">
        <v>0</v>
      </c>
      <c r="G21" s="1">
        <v>0.76180000000000003</v>
      </c>
      <c r="H21" s="1">
        <v>63.5593</v>
      </c>
      <c r="I21" s="1">
        <v>4.7789999999999999</v>
      </c>
      <c r="J21" s="1">
        <v>59.542099999999998</v>
      </c>
      <c r="K21" s="1">
        <v>0</v>
      </c>
      <c r="L21" s="1">
        <v>0</v>
      </c>
    </row>
    <row r="22" spans="1:12" hidden="1" x14ac:dyDescent="0.35">
      <c r="A22" s="6" t="s">
        <v>539</v>
      </c>
      <c r="B22" s="1" t="str">
        <f t="shared" si="0"/>
        <v>Lago Paranoa</v>
      </c>
      <c r="C22" s="1">
        <f t="shared" si="1"/>
        <v>-2108</v>
      </c>
      <c r="D22" s="1">
        <v>0</v>
      </c>
      <c r="E22" s="1">
        <v>2302.4499999999998</v>
      </c>
      <c r="F22" s="1">
        <v>0.40699999999999997</v>
      </c>
      <c r="G22" s="1">
        <v>2.8605</v>
      </c>
      <c r="H22" s="1">
        <v>8.2957000000000001</v>
      </c>
      <c r="I22" s="1">
        <v>1.0229999999999999</v>
      </c>
      <c r="J22" s="1">
        <v>9.7262000000000004</v>
      </c>
      <c r="K22" s="1">
        <v>2302.4499999999998</v>
      </c>
      <c r="L22" s="1">
        <v>0</v>
      </c>
    </row>
    <row r="23" spans="1:12" x14ac:dyDescent="0.35">
      <c r="A23" s="6" t="s">
        <v>540</v>
      </c>
      <c r="B23" s="1" t="str">
        <f t="shared" si="0"/>
        <v>Corumba IV</v>
      </c>
      <c r="C23" s="1">
        <f t="shared" si="1"/>
        <v>-2107</v>
      </c>
      <c r="D23" s="1">
        <v>0</v>
      </c>
      <c r="E23" s="1">
        <v>0</v>
      </c>
      <c r="F23" s="1">
        <v>0</v>
      </c>
      <c r="G23" s="1">
        <v>1.0256000000000001</v>
      </c>
      <c r="H23" s="1">
        <v>65.786699999999996</v>
      </c>
      <c r="I23" s="1">
        <v>5.0381</v>
      </c>
      <c r="J23" s="1">
        <v>61.7742</v>
      </c>
      <c r="K23" s="1">
        <v>0</v>
      </c>
      <c r="L23" s="1">
        <v>0</v>
      </c>
    </row>
    <row r="24" spans="1:12" hidden="1" x14ac:dyDescent="0.35">
      <c r="A24" s="6" t="s">
        <v>541</v>
      </c>
      <c r="B24" s="1" t="str">
        <f t="shared" si="0"/>
        <v>Lago Paranoa</v>
      </c>
      <c r="C24" s="1">
        <f t="shared" si="1"/>
        <v>-2107</v>
      </c>
      <c r="D24" s="1">
        <v>0</v>
      </c>
      <c r="E24" s="1">
        <v>2302.4499999999998</v>
      </c>
      <c r="F24" s="1">
        <v>0.4073</v>
      </c>
      <c r="G24" s="1">
        <v>2.8755000000000002</v>
      </c>
      <c r="H24" s="1">
        <v>8.4229000000000003</v>
      </c>
      <c r="I24" s="1">
        <v>1.1496</v>
      </c>
      <c r="J24" s="1">
        <v>9.7414000000000005</v>
      </c>
      <c r="K24" s="1">
        <v>2302.4499999999998</v>
      </c>
      <c r="L24" s="1">
        <v>0</v>
      </c>
    </row>
    <row r="25" spans="1:12" x14ac:dyDescent="0.35">
      <c r="A25" s="6" t="s">
        <v>542</v>
      </c>
      <c r="B25" s="1" t="str">
        <f t="shared" si="0"/>
        <v>Corumba IV</v>
      </c>
      <c r="C25" s="1">
        <f t="shared" si="1"/>
        <v>-2106</v>
      </c>
      <c r="D25" s="1">
        <v>0</v>
      </c>
      <c r="E25" s="1">
        <v>0</v>
      </c>
      <c r="F25" s="1">
        <v>0</v>
      </c>
      <c r="G25" s="1">
        <v>0.99380000000000002</v>
      </c>
      <c r="H25" s="1">
        <v>61.191099999999999</v>
      </c>
      <c r="I25" s="1">
        <v>5.3288000000000002</v>
      </c>
      <c r="J25" s="1">
        <v>56.856000000000002</v>
      </c>
      <c r="K25" s="1">
        <v>0</v>
      </c>
      <c r="L25" s="1">
        <v>0</v>
      </c>
    </row>
    <row r="26" spans="1:12" hidden="1" x14ac:dyDescent="0.35">
      <c r="A26" s="6" t="s">
        <v>543</v>
      </c>
      <c r="B26" s="1" t="str">
        <f t="shared" si="0"/>
        <v>Lago Paranoa</v>
      </c>
      <c r="C26" s="1">
        <f t="shared" si="1"/>
        <v>-2106</v>
      </c>
      <c r="D26" s="1">
        <v>0</v>
      </c>
      <c r="E26" s="1">
        <v>2302.4499999999998</v>
      </c>
      <c r="F26" s="1">
        <v>0.4234</v>
      </c>
      <c r="G26" s="1">
        <v>2.6856</v>
      </c>
      <c r="H26" s="1">
        <v>7.2236000000000002</v>
      </c>
      <c r="I26" s="1">
        <v>1.2744</v>
      </c>
      <c r="J26" s="1">
        <v>8.2113999999999994</v>
      </c>
      <c r="K26" s="1">
        <v>2302.4499999999998</v>
      </c>
      <c r="L26" s="1">
        <v>0</v>
      </c>
    </row>
    <row r="27" spans="1:12" x14ac:dyDescent="0.35">
      <c r="A27" s="6" t="s">
        <v>544</v>
      </c>
      <c r="B27" s="1" t="str">
        <f t="shared" si="0"/>
        <v>Corumba IV</v>
      </c>
      <c r="C27" s="1">
        <f t="shared" si="1"/>
        <v>-2105</v>
      </c>
      <c r="D27" s="1">
        <v>0</v>
      </c>
      <c r="E27" s="1">
        <v>0</v>
      </c>
      <c r="F27" s="1">
        <v>0</v>
      </c>
      <c r="G27" s="1">
        <v>0.77359999999999995</v>
      </c>
      <c r="H27" s="1">
        <v>56.525500000000001</v>
      </c>
      <c r="I27" s="1">
        <v>5.3673999999999999</v>
      </c>
      <c r="J27" s="1">
        <v>51.931699999999999</v>
      </c>
      <c r="K27" s="1">
        <v>0</v>
      </c>
      <c r="L27" s="1">
        <v>0</v>
      </c>
    </row>
    <row r="28" spans="1:12" hidden="1" x14ac:dyDescent="0.35">
      <c r="A28" s="6" t="s">
        <v>545</v>
      </c>
      <c r="B28" s="1" t="str">
        <f t="shared" si="0"/>
        <v>Lago Paranoa</v>
      </c>
      <c r="C28" s="1">
        <f t="shared" si="1"/>
        <v>-2105</v>
      </c>
      <c r="D28" s="1">
        <v>0</v>
      </c>
      <c r="E28" s="1">
        <v>2302.4499999999998</v>
      </c>
      <c r="F28" s="1">
        <v>0.4234</v>
      </c>
      <c r="G28" s="1">
        <v>2.6278000000000001</v>
      </c>
      <c r="H28" s="1">
        <v>6.9405999999999999</v>
      </c>
      <c r="I28" s="1">
        <v>1.2864</v>
      </c>
      <c r="J28" s="1">
        <v>7.8586</v>
      </c>
      <c r="K28" s="1">
        <v>2302.4499999999998</v>
      </c>
      <c r="L28" s="1">
        <v>0</v>
      </c>
    </row>
    <row r="29" spans="1:12" x14ac:dyDescent="0.35">
      <c r="A29" s="6" t="s">
        <v>546</v>
      </c>
      <c r="B29" s="1" t="str">
        <f t="shared" si="0"/>
        <v>Corumba IV</v>
      </c>
      <c r="C29" s="1">
        <f t="shared" si="1"/>
        <v>-2104</v>
      </c>
      <c r="D29" s="1">
        <v>0</v>
      </c>
      <c r="E29" s="1">
        <v>0</v>
      </c>
      <c r="F29" s="1">
        <v>0</v>
      </c>
      <c r="G29" s="1">
        <v>0.55520000000000003</v>
      </c>
      <c r="H29" s="1">
        <v>53.498899999999999</v>
      </c>
      <c r="I29" s="1">
        <v>5.3673999999999999</v>
      </c>
      <c r="J29" s="1">
        <v>48.686700000000002</v>
      </c>
      <c r="K29" s="1">
        <v>0</v>
      </c>
      <c r="L29" s="1">
        <v>0</v>
      </c>
    </row>
    <row r="30" spans="1:12" hidden="1" x14ac:dyDescent="0.35">
      <c r="A30" s="6" t="s">
        <v>547</v>
      </c>
      <c r="B30" s="1" t="str">
        <f t="shared" si="0"/>
        <v>Lago Paranoa</v>
      </c>
      <c r="C30" s="1">
        <f t="shared" si="1"/>
        <v>-2104</v>
      </c>
      <c r="D30" s="1">
        <v>0</v>
      </c>
      <c r="E30" s="1">
        <v>2302.4499999999998</v>
      </c>
      <c r="F30" s="1">
        <v>0.4234</v>
      </c>
      <c r="G30" s="1">
        <v>2.4933000000000001</v>
      </c>
      <c r="H30" s="1">
        <v>6.6413000000000002</v>
      </c>
      <c r="I30" s="1">
        <v>1.2864</v>
      </c>
      <c r="J30" s="1">
        <v>7.4248000000000003</v>
      </c>
      <c r="K30" s="1">
        <v>2302.4499999999998</v>
      </c>
      <c r="L30" s="1">
        <v>0</v>
      </c>
    </row>
    <row r="31" spans="1:12" x14ac:dyDescent="0.35">
      <c r="A31" s="6" t="s">
        <v>548</v>
      </c>
      <c r="B31" s="1" t="str">
        <f t="shared" si="0"/>
        <v>Corumba IV</v>
      </c>
      <c r="C31" s="1">
        <f t="shared" si="1"/>
        <v>-2103</v>
      </c>
      <c r="D31" s="1">
        <v>0</v>
      </c>
      <c r="E31" s="1">
        <v>0</v>
      </c>
      <c r="F31" s="1">
        <v>0</v>
      </c>
      <c r="G31" s="1">
        <v>0.43540000000000001</v>
      </c>
      <c r="H31" s="1">
        <v>50.458500000000001</v>
      </c>
      <c r="I31" s="1">
        <v>5.3506</v>
      </c>
      <c r="J31" s="1">
        <v>45.543300000000002</v>
      </c>
      <c r="K31" s="1">
        <v>0</v>
      </c>
      <c r="L31" s="1">
        <v>0</v>
      </c>
    </row>
    <row r="32" spans="1:12" hidden="1" x14ac:dyDescent="0.35">
      <c r="A32" s="6" t="s">
        <v>549</v>
      </c>
      <c r="B32" s="1" t="str">
        <f t="shared" si="0"/>
        <v>Lago Paranoa</v>
      </c>
      <c r="C32" s="1">
        <f t="shared" si="1"/>
        <v>-2103</v>
      </c>
      <c r="D32" s="1">
        <v>0</v>
      </c>
      <c r="E32" s="1">
        <v>2302.4499999999998</v>
      </c>
      <c r="F32" s="1">
        <v>0.4234</v>
      </c>
      <c r="G32" s="1">
        <v>2.4268000000000001</v>
      </c>
      <c r="H32" s="1">
        <v>6.4138000000000002</v>
      </c>
      <c r="I32" s="1">
        <v>1.2807999999999999</v>
      </c>
      <c r="J32" s="1">
        <v>7.1364999999999998</v>
      </c>
      <c r="K32" s="1">
        <v>2302.4499999999998</v>
      </c>
      <c r="L32" s="1">
        <v>0</v>
      </c>
    </row>
    <row r="33" spans="1:12" x14ac:dyDescent="0.35">
      <c r="A33" s="6" t="s">
        <v>550</v>
      </c>
      <c r="B33" s="1" t="str">
        <f t="shared" si="0"/>
        <v>Corumba IV</v>
      </c>
      <c r="C33" s="1">
        <f t="shared" si="1"/>
        <v>-2102</v>
      </c>
      <c r="D33" s="1">
        <v>0</v>
      </c>
      <c r="E33" s="1">
        <v>0</v>
      </c>
      <c r="F33" s="1">
        <v>0</v>
      </c>
      <c r="G33" s="1">
        <v>0.3629</v>
      </c>
      <c r="H33" s="1">
        <v>47.829300000000003</v>
      </c>
      <c r="I33" s="1">
        <v>6.0103</v>
      </c>
      <c r="J33" s="1">
        <v>42.181899999999999</v>
      </c>
      <c r="K33" s="1">
        <v>0</v>
      </c>
      <c r="L33" s="1">
        <v>0</v>
      </c>
    </row>
    <row r="34" spans="1:12" hidden="1" x14ac:dyDescent="0.35">
      <c r="A34" s="6" t="s">
        <v>551</v>
      </c>
      <c r="B34" s="1" t="str">
        <f t="shared" si="0"/>
        <v>Lago Paranoa</v>
      </c>
      <c r="C34" s="1">
        <f t="shared" si="1"/>
        <v>-2102</v>
      </c>
      <c r="D34" s="1">
        <v>0</v>
      </c>
      <c r="E34" s="1">
        <v>2302.4499999999998</v>
      </c>
      <c r="F34" s="1">
        <v>0.4234</v>
      </c>
      <c r="G34" s="1">
        <v>2.3980999999999999</v>
      </c>
      <c r="H34" s="1">
        <v>6.3895999999999997</v>
      </c>
      <c r="I34" s="1">
        <v>1.5045999999999999</v>
      </c>
      <c r="J34" s="1">
        <v>6.8597999999999999</v>
      </c>
      <c r="K34" s="1">
        <v>2302.4499999999998</v>
      </c>
      <c r="L34" s="1">
        <v>0</v>
      </c>
    </row>
    <row r="35" spans="1:12" x14ac:dyDescent="0.35">
      <c r="A35" s="6" t="s">
        <v>552</v>
      </c>
      <c r="B35" s="1" t="str">
        <f t="shared" si="0"/>
        <v>Corumba IV</v>
      </c>
      <c r="C35" s="1">
        <f t="shared" si="1"/>
        <v>-2101</v>
      </c>
      <c r="D35" s="1">
        <v>0</v>
      </c>
      <c r="E35" s="1">
        <v>0</v>
      </c>
      <c r="F35" s="1">
        <v>0</v>
      </c>
      <c r="G35" s="1">
        <v>0.3629</v>
      </c>
      <c r="H35" s="1">
        <v>45.929400000000001</v>
      </c>
      <c r="I35" s="1">
        <v>6.0103</v>
      </c>
      <c r="J35" s="1">
        <v>40.2819</v>
      </c>
      <c r="K35" s="1">
        <v>0</v>
      </c>
      <c r="L35" s="1">
        <v>0</v>
      </c>
    </row>
    <row r="36" spans="1:12" hidden="1" x14ac:dyDescent="0.35">
      <c r="A36" s="6" t="s">
        <v>553</v>
      </c>
      <c r="B36" s="1" t="str">
        <f t="shared" si="0"/>
        <v>Lago Paranoa</v>
      </c>
      <c r="C36" s="1">
        <f t="shared" si="1"/>
        <v>-2101</v>
      </c>
      <c r="D36" s="1">
        <v>0</v>
      </c>
      <c r="E36" s="1">
        <v>2302.4499999999998</v>
      </c>
      <c r="F36" s="1">
        <v>0.4234</v>
      </c>
      <c r="G36" s="1">
        <v>2.419</v>
      </c>
      <c r="H36" s="1">
        <v>6.1976000000000004</v>
      </c>
      <c r="I36" s="1">
        <v>1.5045999999999999</v>
      </c>
      <c r="J36" s="1">
        <v>6.6886999999999999</v>
      </c>
      <c r="K36" s="1">
        <v>2302.4499999999998</v>
      </c>
      <c r="L36" s="1">
        <v>0</v>
      </c>
    </row>
    <row r="37" spans="1:12" x14ac:dyDescent="0.35">
      <c r="A37" s="6" t="s">
        <v>554</v>
      </c>
      <c r="B37" s="1" t="str">
        <f t="shared" si="0"/>
        <v>Corumba IV</v>
      </c>
      <c r="C37" s="1">
        <f t="shared" si="1"/>
        <v>-2100</v>
      </c>
      <c r="D37" s="1">
        <v>0</v>
      </c>
      <c r="E37" s="1">
        <v>0</v>
      </c>
      <c r="F37" s="1">
        <v>0</v>
      </c>
      <c r="G37" s="1">
        <v>0.3629</v>
      </c>
      <c r="H37" s="1">
        <v>43.084200000000003</v>
      </c>
      <c r="I37" s="1">
        <v>6.0103</v>
      </c>
      <c r="J37" s="1">
        <v>37.436799999999998</v>
      </c>
      <c r="K37" s="1">
        <v>0</v>
      </c>
      <c r="L37" s="1">
        <v>0</v>
      </c>
    </row>
    <row r="38" spans="1:12" hidden="1" x14ac:dyDescent="0.35">
      <c r="A38" s="6" t="s">
        <v>555</v>
      </c>
      <c r="B38" s="1" t="str">
        <f t="shared" si="0"/>
        <v>Lago Paranoa</v>
      </c>
      <c r="C38" s="1">
        <f t="shared" si="1"/>
        <v>-2100</v>
      </c>
      <c r="D38" s="1">
        <v>0</v>
      </c>
      <c r="E38" s="1">
        <v>2302.4499999999998</v>
      </c>
      <c r="F38" s="1">
        <v>0.4234</v>
      </c>
      <c r="G38" s="1">
        <v>2.3826999999999998</v>
      </c>
      <c r="H38" s="1">
        <v>6.1218000000000004</v>
      </c>
      <c r="I38" s="1">
        <v>1.5045999999999999</v>
      </c>
      <c r="J38" s="1">
        <v>6.5765000000000002</v>
      </c>
      <c r="K38" s="1">
        <v>2302.4499999999998</v>
      </c>
      <c r="L38" s="1">
        <v>0</v>
      </c>
    </row>
    <row r="39" spans="1:12" x14ac:dyDescent="0.35">
      <c r="A39" s="6" t="s">
        <v>556</v>
      </c>
      <c r="B39" s="1" t="str">
        <f t="shared" si="0"/>
        <v>Corumba IV</v>
      </c>
      <c r="C39" s="1">
        <f t="shared" si="1"/>
        <v>-2099</v>
      </c>
      <c r="D39" s="1">
        <v>0</v>
      </c>
      <c r="E39" s="1">
        <v>0</v>
      </c>
      <c r="F39" s="1">
        <v>0</v>
      </c>
      <c r="G39" s="1">
        <v>0.3629</v>
      </c>
      <c r="H39" s="1">
        <v>41.113399999999999</v>
      </c>
      <c r="I39" s="1">
        <v>6.0103</v>
      </c>
      <c r="J39" s="1">
        <v>35.466000000000001</v>
      </c>
      <c r="K39" s="1">
        <v>0</v>
      </c>
      <c r="L39" s="1">
        <v>0</v>
      </c>
    </row>
    <row r="40" spans="1:12" hidden="1" x14ac:dyDescent="0.35">
      <c r="A40" s="6" t="s">
        <v>557</v>
      </c>
      <c r="B40" s="1" t="str">
        <f t="shared" si="0"/>
        <v>Lago Paranoa</v>
      </c>
      <c r="C40" s="1">
        <f t="shared" si="1"/>
        <v>-2099</v>
      </c>
      <c r="D40" s="1">
        <v>0</v>
      </c>
      <c r="E40" s="1">
        <v>2302.4499999999998</v>
      </c>
      <c r="F40" s="1">
        <v>0.4234</v>
      </c>
      <c r="G40" s="1">
        <v>2.2932999999999999</v>
      </c>
      <c r="H40" s="1">
        <v>6.1626000000000003</v>
      </c>
      <c r="I40" s="1">
        <v>1.5045999999999999</v>
      </c>
      <c r="J40" s="1">
        <v>6.5279999999999996</v>
      </c>
      <c r="K40" s="1">
        <v>2302.4499999999998</v>
      </c>
      <c r="L40" s="1">
        <v>0</v>
      </c>
    </row>
    <row r="41" spans="1:12" x14ac:dyDescent="0.35">
      <c r="A41" s="6" t="s">
        <v>558</v>
      </c>
      <c r="B41" s="1" t="str">
        <f t="shared" si="0"/>
        <v>Corumba IV</v>
      </c>
      <c r="C41" s="1">
        <f t="shared" si="1"/>
        <v>-2098</v>
      </c>
      <c r="D41" s="1">
        <v>0</v>
      </c>
      <c r="E41" s="1">
        <v>0</v>
      </c>
      <c r="F41" s="1">
        <v>0</v>
      </c>
      <c r="G41" s="1">
        <v>0.3629</v>
      </c>
      <c r="H41" s="1">
        <v>38.569800000000001</v>
      </c>
      <c r="I41" s="1">
        <v>5.4100999999999999</v>
      </c>
      <c r="J41" s="1">
        <v>33.522599999999997</v>
      </c>
      <c r="K41" s="1">
        <v>0</v>
      </c>
      <c r="L41" s="1">
        <v>0</v>
      </c>
    </row>
    <row r="42" spans="1:12" hidden="1" x14ac:dyDescent="0.35">
      <c r="A42" s="6" t="s">
        <v>559</v>
      </c>
      <c r="B42" s="1" t="str">
        <f t="shared" si="0"/>
        <v>Lago Paranoa</v>
      </c>
      <c r="C42" s="1">
        <f t="shared" si="1"/>
        <v>-2098</v>
      </c>
      <c r="D42" s="1">
        <v>0</v>
      </c>
      <c r="E42" s="1">
        <v>2302.4499999999998</v>
      </c>
      <c r="F42" s="1">
        <v>0.4234</v>
      </c>
      <c r="G42" s="1">
        <v>2.4205000000000001</v>
      </c>
      <c r="H42" s="1">
        <v>5.9508000000000001</v>
      </c>
      <c r="I42" s="1">
        <v>1.4171</v>
      </c>
      <c r="J42" s="1">
        <v>6.5308000000000002</v>
      </c>
      <c r="K42" s="1">
        <v>2302.4499999999998</v>
      </c>
      <c r="L42" s="1">
        <v>0</v>
      </c>
    </row>
    <row r="43" spans="1:12" x14ac:dyDescent="0.35">
      <c r="A43" s="6" t="s">
        <v>560</v>
      </c>
      <c r="B43" s="1" t="str">
        <f t="shared" si="0"/>
        <v>Corumba IV</v>
      </c>
      <c r="C43" s="1">
        <f t="shared" si="1"/>
        <v>-2097</v>
      </c>
      <c r="D43" s="1">
        <v>0</v>
      </c>
      <c r="E43" s="1">
        <v>0</v>
      </c>
      <c r="F43" s="1">
        <v>0</v>
      </c>
      <c r="G43" s="1">
        <v>0.3629</v>
      </c>
      <c r="H43" s="1">
        <v>36.915300000000002</v>
      </c>
      <c r="I43" s="1">
        <v>5.17</v>
      </c>
      <c r="J43" s="1">
        <v>32.108199999999997</v>
      </c>
      <c r="K43" s="1">
        <v>0</v>
      </c>
      <c r="L43" s="1">
        <v>0</v>
      </c>
    </row>
    <row r="44" spans="1:12" hidden="1" x14ac:dyDescent="0.35">
      <c r="A44" s="6" t="s">
        <v>561</v>
      </c>
      <c r="B44" s="1" t="str">
        <f t="shared" si="0"/>
        <v>Lago Paranoa</v>
      </c>
      <c r="C44" s="1">
        <f t="shared" si="1"/>
        <v>-2097</v>
      </c>
      <c r="D44" s="1">
        <v>0</v>
      </c>
      <c r="E44" s="1">
        <v>2302.4499999999998</v>
      </c>
      <c r="F44" s="1">
        <v>0.4234</v>
      </c>
      <c r="G44" s="1">
        <v>3.0966</v>
      </c>
      <c r="H44" s="1">
        <v>5.8872</v>
      </c>
      <c r="I44" s="1">
        <v>1.3821000000000001</v>
      </c>
      <c r="J44" s="1">
        <v>7.1783000000000001</v>
      </c>
      <c r="K44" s="1">
        <v>2302.4499999999998</v>
      </c>
      <c r="L44" s="1">
        <v>0</v>
      </c>
    </row>
    <row r="45" spans="1:12" x14ac:dyDescent="0.35">
      <c r="A45" s="6" t="s">
        <v>562</v>
      </c>
      <c r="B45" s="1" t="str">
        <f t="shared" si="0"/>
        <v>Corumba IV</v>
      </c>
      <c r="C45" s="1">
        <f t="shared" si="1"/>
        <v>-2096</v>
      </c>
      <c r="D45" s="1">
        <v>0</v>
      </c>
      <c r="E45" s="1">
        <v>0</v>
      </c>
      <c r="F45" s="1">
        <v>0</v>
      </c>
      <c r="G45" s="1">
        <v>0.3629</v>
      </c>
      <c r="H45" s="1">
        <v>38.797899999999998</v>
      </c>
      <c r="I45" s="1">
        <v>5.17</v>
      </c>
      <c r="J45" s="1">
        <v>33.9908</v>
      </c>
      <c r="K45" s="1">
        <v>0</v>
      </c>
      <c r="L45" s="1">
        <v>0</v>
      </c>
    </row>
    <row r="46" spans="1:12" hidden="1" x14ac:dyDescent="0.35">
      <c r="A46" s="6" t="s">
        <v>563</v>
      </c>
      <c r="B46" s="1" t="str">
        <f t="shared" si="0"/>
        <v>Lago Paranoa</v>
      </c>
      <c r="C46" s="1">
        <f t="shared" si="1"/>
        <v>-2096</v>
      </c>
      <c r="D46" s="1">
        <v>0</v>
      </c>
      <c r="E46" s="1">
        <v>2302.4499999999998</v>
      </c>
      <c r="F46" s="1">
        <v>0.4234</v>
      </c>
      <c r="G46" s="1">
        <v>2.9781</v>
      </c>
      <c r="H46" s="1">
        <v>5.6679000000000004</v>
      </c>
      <c r="I46" s="1">
        <v>1.3821000000000001</v>
      </c>
      <c r="J46" s="1">
        <v>6.8403999999999998</v>
      </c>
      <c r="K46" s="1">
        <v>2302.4499999999998</v>
      </c>
      <c r="L46" s="1">
        <v>0</v>
      </c>
    </row>
    <row r="47" spans="1:12" x14ac:dyDescent="0.35">
      <c r="A47" s="6" t="s">
        <v>564</v>
      </c>
      <c r="B47" s="1" t="str">
        <f t="shared" si="0"/>
        <v>Corumba IV</v>
      </c>
      <c r="C47" s="1">
        <f t="shared" si="1"/>
        <v>-2095</v>
      </c>
      <c r="D47" s="1">
        <v>0</v>
      </c>
      <c r="E47" s="1">
        <v>0</v>
      </c>
      <c r="F47" s="1">
        <v>0</v>
      </c>
      <c r="G47" s="1">
        <v>0.3629</v>
      </c>
      <c r="H47" s="1">
        <v>39.110700000000001</v>
      </c>
      <c r="I47" s="1">
        <v>5.17</v>
      </c>
      <c r="J47" s="1">
        <v>34.303600000000003</v>
      </c>
      <c r="K47" s="1">
        <v>0</v>
      </c>
      <c r="L47" s="1">
        <v>0</v>
      </c>
    </row>
    <row r="48" spans="1:12" hidden="1" x14ac:dyDescent="0.35">
      <c r="A48" s="6" t="s">
        <v>565</v>
      </c>
      <c r="B48" s="1" t="str">
        <f t="shared" si="0"/>
        <v>Lago Paranoa</v>
      </c>
      <c r="C48" s="1">
        <f t="shared" si="1"/>
        <v>-2095</v>
      </c>
      <c r="D48" s="1">
        <v>0</v>
      </c>
      <c r="E48" s="1">
        <v>2302.4499999999998</v>
      </c>
      <c r="F48" s="1">
        <v>0.4234</v>
      </c>
      <c r="G48" s="1">
        <v>3.1589</v>
      </c>
      <c r="H48" s="1">
        <v>6.0862999999999996</v>
      </c>
      <c r="I48" s="1">
        <v>1.3821000000000001</v>
      </c>
      <c r="J48" s="1">
        <v>7.4397000000000002</v>
      </c>
      <c r="K48" s="1">
        <v>2302.4499999999998</v>
      </c>
      <c r="L48" s="1">
        <v>0</v>
      </c>
    </row>
    <row r="49" spans="1:12" x14ac:dyDescent="0.35">
      <c r="A49" s="6" t="s">
        <v>566</v>
      </c>
      <c r="B49" s="1" t="str">
        <f t="shared" si="0"/>
        <v>Corumba IV</v>
      </c>
      <c r="C49" s="1">
        <f t="shared" si="1"/>
        <v>-2094</v>
      </c>
      <c r="D49" s="1">
        <v>0</v>
      </c>
      <c r="E49" s="1">
        <v>0</v>
      </c>
      <c r="F49" s="1">
        <v>0</v>
      </c>
      <c r="G49" s="1">
        <v>0.3629</v>
      </c>
      <c r="H49" s="1">
        <v>39.581600000000002</v>
      </c>
      <c r="I49" s="1">
        <v>4.7971000000000004</v>
      </c>
      <c r="J49" s="1">
        <v>35.147399999999998</v>
      </c>
      <c r="K49" s="1">
        <v>0</v>
      </c>
      <c r="L49" s="1">
        <v>0</v>
      </c>
    </row>
    <row r="50" spans="1:12" hidden="1" x14ac:dyDescent="0.35">
      <c r="A50" s="6" t="s">
        <v>567</v>
      </c>
      <c r="B50" s="1" t="str">
        <f t="shared" si="0"/>
        <v>Lago Paranoa</v>
      </c>
      <c r="C50" s="1">
        <f t="shared" si="1"/>
        <v>-2094</v>
      </c>
      <c r="D50" s="1">
        <v>0</v>
      </c>
      <c r="E50" s="1">
        <v>2302.4499999999998</v>
      </c>
      <c r="F50" s="1">
        <v>0.4234</v>
      </c>
      <c r="G50" s="1">
        <v>3.3479999999999999</v>
      </c>
      <c r="H50" s="1">
        <v>6.5343</v>
      </c>
      <c r="I50" s="1">
        <v>1.2970999999999999</v>
      </c>
      <c r="J50" s="1">
        <v>8.1617999999999995</v>
      </c>
      <c r="K50" s="1">
        <v>2302.4499999999998</v>
      </c>
      <c r="L50" s="1">
        <v>0</v>
      </c>
    </row>
    <row r="51" spans="1:12" x14ac:dyDescent="0.35">
      <c r="A51" s="6" t="s">
        <v>568</v>
      </c>
      <c r="B51" s="1" t="str">
        <f t="shared" si="0"/>
        <v>Corumba IV</v>
      </c>
      <c r="C51" s="1">
        <f t="shared" si="1"/>
        <v>-2093</v>
      </c>
      <c r="D51" s="1">
        <v>0</v>
      </c>
      <c r="E51" s="1">
        <v>0</v>
      </c>
      <c r="F51" s="1">
        <v>0</v>
      </c>
      <c r="G51" s="1">
        <v>0.3629</v>
      </c>
      <c r="H51" s="1">
        <v>40.9268</v>
      </c>
      <c r="I51" s="1">
        <v>3.7216999999999998</v>
      </c>
      <c r="J51" s="1">
        <v>37.567999999999998</v>
      </c>
      <c r="K51" s="1">
        <v>0</v>
      </c>
      <c r="L51" s="1">
        <v>0</v>
      </c>
    </row>
    <row r="52" spans="1:12" hidden="1" x14ac:dyDescent="0.35">
      <c r="A52" s="6" t="s">
        <v>569</v>
      </c>
      <c r="B52" s="1" t="str">
        <f t="shared" si="0"/>
        <v>Lago Paranoa</v>
      </c>
      <c r="C52" s="1">
        <f t="shared" si="1"/>
        <v>-2093</v>
      </c>
      <c r="D52" s="1">
        <v>0</v>
      </c>
      <c r="E52" s="1">
        <v>2302.4499999999998</v>
      </c>
      <c r="F52" s="1">
        <v>0.4234</v>
      </c>
      <c r="G52" s="1">
        <v>3.0716999999999999</v>
      </c>
      <c r="H52" s="1">
        <v>5.9837999999999996</v>
      </c>
      <c r="I52" s="1">
        <v>1.0136000000000001</v>
      </c>
      <c r="J52" s="1">
        <v>7.6185999999999998</v>
      </c>
      <c r="K52" s="1">
        <v>2302.4499999999998</v>
      </c>
      <c r="L52" s="1">
        <v>0</v>
      </c>
    </row>
    <row r="53" spans="1:12" x14ac:dyDescent="0.35">
      <c r="A53" s="6" t="s">
        <v>570</v>
      </c>
      <c r="B53" s="1" t="str">
        <f t="shared" si="0"/>
        <v>Corumba IV</v>
      </c>
      <c r="C53" s="1">
        <f t="shared" si="1"/>
        <v>-2092</v>
      </c>
      <c r="D53" s="1">
        <v>0</v>
      </c>
      <c r="E53" s="1">
        <v>0</v>
      </c>
      <c r="F53" s="1">
        <v>0</v>
      </c>
      <c r="G53" s="1">
        <v>0.3629</v>
      </c>
      <c r="H53" s="1">
        <v>37.072499999999998</v>
      </c>
      <c r="I53" s="1">
        <v>3.7216999999999998</v>
      </c>
      <c r="J53" s="1">
        <v>33.713700000000003</v>
      </c>
      <c r="K53" s="1">
        <v>0</v>
      </c>
      <c r="L53" s="1">
        <v>0</v>
      </c>
    </row>
    <row r="54" spans="1:12" hidden="1" x14ac:dyDescent="0.35">
      <c r="A54" s="6" t="s">
        <v>571</v>
      </c>
      <c r="B54" s="1" t="str">
        <f t="shared" si="0"/>
        <v>Lago Paranoa</v>
      </c>
      <c r="C54" s="1">
        <f t="shared" si="1"/>
        <v>-2092</v>
      </c>
      <c r="D54" s="1">
        <v>0</v>
      </c>
      <c r="E54" s="1">
        <v>2302.4499999999998</v>
      </c>
      <c r="F54" s="1">
        <v>0.4234</v>
      </c>
      <c r="G54" s="1">
        <v>2.9897</v>
      </c>
      <c r="H54" s="1">
        <v>5.7988</v>
      </c>
      <c r="I54" s="1">
        <v>1.0136000000000001</v>
      </c>
      <c r="J54" s="1">
        <v>7.3516000000000004</v>
      </c>
      <c r="K54" s="1">
        <v>2302.4499999999998</v>
      </c>
      <c r="L54" s="1">
        <v>0</v>
      </c>
    </row>
    <row r="55" spans="1:12" x14ac:dyDescent="0.35">
      <c r="A55" s="6" t="s">
        <v>572</v>
      </c>
      <c r="B55" s="1" t="str">
        <f t="shared" si="0"/>
        <v>Corumba IV</v>
      </c>
      <c r="C55" s="1">
        <f t="shared" si="1"/>
        <v>-2091</v>
      </c>
      <c r="D55" s="1">
        <v>0</v>
      </c>
      <c r="E55" s="1">
        <v>0</v>
      </c>
      <c r="F55" s="1">
        <v>0</v>
      </c>
      <c r="G55" s="1">
        <v>0.3629</v>
      </c>
      <c r="H55" s="1">
        <v>42.159700000000001</v>
      </c>
      <c r="I55" s="1">
        <v>3.7216999999999998</v>
      </c>
      <c r="J55" s="1">
        <v>38.800899999999999</v>
      </c>
      <c r="K55" s="1">
        <v>0</v>
      </c>
      <c r="L55" s="1">
        <v>0</v>
      </c>
    </row>
    <row r="56" spans="1:12" hidden="1" x14ac:dyDescent="0.35">
      <c r="A56" s="6" t="s">
        <v>573</v>
      </c>
      <c r="B56" s="1" t="str">
        <f t="shared" si="0"/>
        <v>Lago Paranoa</v>
      </c>
      <c r="C56" s="1">
        <f t="shared" si="1"/>
        <v>-2091</v>
      </c>
      <c r="D56" s="1">
        <v>0</v>
      </c>
      <c r="E56" s="1">
        <v>2302.4499999999998</v>
      </c>
      <c r="F56" s="1">
        <v>0.4234</v>
      </c>
      <c r="G56" s="1">
        <v>2.8552</v>
      </c>
      <c r="H56" s="1">
        <v>5.5125999999999999</v>
      </c>
      <c r="I56" s="1">
        <v>1.0136000000000001</v>
      </c>
      <c r="J56" s="1">
        <v>6.9309000000000003</v>
      </c>
      <c r="K56" s="1">
        <v>2302.4499999999998</v>
      </c>
      <c r="L56" s="1">
        <v>0</v>
      </c>
    </row>
    <row r="57" spans="1:12" x14ac:dyDescent="0.35">
      <c r="A57" s="6" t="s">
        <v>574</v>
      </c>
      <c r="B57" s="1" t="str">
        <f t="shared" si="0"/>
        <v>Corumba IV</v>
      </c>
      <c r="C57" s="1">
        <f t="shared" si="1"/>
        <v>-2090</v>
      </c>
      <c r="D57" s="1">
        <v>0</v>
      </c>
      <c r="E57" s="1">
        <v>0</v>
      </c>
      <c r="F57" s="1">
        <v>0</v>
      </c>
      <c r="G57" s="1">
        <v>0.3629</v>
      </c>
      <c r="H57" s="1">
        <v>31.608599999999999</v>
      </c>
      <c r="I57" s="1">
        <v>3.7216999999999998</v>
      </c>
      <c r="J57" s="1">
        <v>28.249700000000001</v>
      </c>
      <c r="K57" s="1">
        <v>0</v>
      </c>
      <c r="L57" s="1">
        <v>0</v>
      </c>
    </row>
    <row r="58" spans="1:12" hidden="1" x14ac:dyDescent="0.35">
      <c r="A58" s="6" t="s">
        <v>575</v>
      </c>
      <c r="B58" s="1" t="str">
        <f t="shared" si="0"/>
        <v>Lago Paranoa</v>
      </c>
      <c r="C58" s="1">
        <f t="shared" si="1"/>
        <v>-2090</v>
      </c>
      <c r="D58" s="1">
        <v>0</v>
      </c>
      <c r="E58" s="1">
        <v>2302.4499999999998</v>
      </c>
      <c r="F58" s="1">
        <v>0.4234</v>
      </c>
      <c r="G58" s="1">
        <v>2.6436999999999999</v>
      </c>
      <c r="H58" s="1">
        <v>5.0423</v>
      </c>
      <c r="I58" s="1">
        <v>1.0136000000000001</v>
      </c>
      <c r="J58" s="1">
        <v>6.2489999999999997</v>
      </c>
      <c r="K58" s="1">
        <v>2302.4499999999998</v>
      </c>
      <c r="L58" s="1">
        <v>0</v>
      </c>
    </row>
    <row r="59" spans="1:12" x14ac:dyDescent="0.35">
      <c r="A59" s="6" t="s">
        <v>576</v>
      </c>
      <c r="B59" s="1" t="str">
        <f t="shared" si="0"/>
        <v>Corumba IV</v>
      </c>
      <c r="C59" s="1">
        <f t="shared" si="1"/>
        <v>-2089</v>
      </c>
      <c r="D59" s="1">
        <v>0</v>
      </c>
      <c r="E59" s="1">
        <v>0</v>
      </c>
      <c r="F59" s="1">
        <v>0</v>
      </c>
      <c r="G59" s="1">
        <v>0.3629</v>
      </c>
      <c r="H59" s="1">
        <v>33.312399999999997</v>
      </c>
      <c r="I59" s="1">
        <v>4.7477999999999998</v>
      </c>
      <c r="J59" s="1">
        <v>28.927499999999998</v>
      </c>
      <c r="K59" s="1">
        <v>0</v>
      </c>
      <c r="L59" s="1">
        <v>0</v>
      </c>
    </row>
    <row r="60" spans="1:12" hidden="1" x14ac:dyDescent="0.35">
      <c r="A60" s="6" t="s">
        <v>577</v>
      </c>
      <c r="B60" s="1" t="str">
        <f t="shared" si="0"/>
        <v>Lago Paranoa</v>
      </c>
      <c r="C60" s="1">
        <f t="shared" si="1"/>
        <v>-2089</v>
      </c>
      <c r="D60" s="1">
        <v>0</v>
      </c>
      <c r="E60" s="1">
        <v>2302.4499999999998</v>
      </c>
      <c r="F60" s="1">
        <v>0.4234</v>
      </c>
      <c r="G60" s="1">
        <v>2.8012999999999999</v>
      </c>
      <c r="H60" s="1">
        <v>5.4969999999999999</v>
      </c>
      <c r="I60" s="1">
        <v>1.0491999999999999</v>
      </c>
      <c r="J60" s="1">
        <v>6.8258000000000001</v>
      </c>
      <c r="K60" s="1">
        <v>2302.4499999999998</v>
      </c>
      <c r="L60" s="1">
        <v>0</v>
      </c>
    </row>
    <row r="61" spans="1:12" x14ac:dyDescent="0.35">
      <c r="A61" s="6" t="s">
        <v>578</v>
      </c>
      <c r="B61" s="1" t="str">
        <f t="shared" si="0"/>
        <v>Corumba IV</v>
      </c>
      <c r="C61" s="1">
        <f t="shared" si="1"/>
        <v>-2088</v>
      </c>
      <c r="D61" s="1">
        <v>0</v>
      </c>
      <c r="E61" s="1">
        <v>0</v>
      </c>
      <c r="F61" s="1">
        <v>0</v>
      </c>
      <c r="G61" s="1">
        <v>0.3629</v>
      </c>
      <c r="H61" s="1">
        <v>41.617199999999997</v>
      </c>
      <c r="I61" s="1">
        <v>4.7477999999999998</v>
      </c>
      <c r="J61" s="1">
        <v>37.232199999999999</v>
      </c>
      <c r="K61" s="1">
        <v>0</v>
      </c>
      <c r="L61" s="1">
        <v>0</v>
      </c>
    </row>
    <row r="62" spans="1:12" hidden="1" x14ac:dyDescent="0.35">
      <c r="A62" s="6" t="s">
        <v>579</v>
      </c>
      <c r="B62" s="1" t="str">
        <f t="shared" si="0"/>
        <v>Lago Paranoa</v>
      </c>
      <c r="C62" s="1">
        <f t="shared" si="1"/>
        <v>-2088</v>
      </c>
      <c r="D62" s="1">
        <v>0</v>
      </c>
      <c r="E62" s="1">
        <v>2302.4499999999998</v>
      </c>
      <c r="F62" s="1">
        <v>0.4234</v>
      </c>
      <c r="G62" s="1">
        <v>3.7267999999999999</v>
      </c>
      <c r="H62" s="1">
        <v>7.5101000000000004</v>
      </c>
      <c r="I62" s="1">
        <v>1.0491999999999999</v>
      </c>
      <c r="J62" s="1">
        <v>9.7644000000000002</v>
      </c>
      <c r="K62" s="1">
        <v>2302.4499999999998</v>
      </c>
      <c r="L62" s="1">
        <v>0</v>
      </c>
    </row>
    <row r="63" spans="1:12" x14ac:dyDescent="0.35">
      <c r="A63" s="6" t="s">
        <v>580</v>
      </c>
      <c r="B63" s="1" t="str">
        <f t="shared" si="0"/>
        <v>Corumba IV</v>
      </c>
      <c r="C63" s="1">
        <f t="shared" si="1"/>
        <v>-2087</v>
      </c>
      <c r="D63" s="1">
        <v>0</v>
      </c>
      <c r="E63" s="1">
        <v>0</v>
      </c>
      <c r="F63" s="1">
        <v>0</v>
      </c>
      <c r="G63" s="1">
        <v>0.3629</v>
      </c>
      <c r="H63" s="1">
        <v>66.718100000000007</v>
      </c>
      <c r="I63" s="1">
        <v>4.7477999999999998</v>
      </c>
      <c r="J63" s="1">
        <v>62.333199999999998</v>
      </c>
      <c r="K63" s="1">
        <v>0</v>
      </c>
      <c r="L63" s="1">
        <v>0</v>
      </c>
    </row>
    <row r="64" spans="1:12" hidden="1" x14ac:dyDescent="0.35">
      <c r="A64" s="6" t="s">
        <v>581</v>
      </c>
      <c r="B64" s="1" t="str">
        <f t="shared" si="0"/>
        <v>Lago Paranoa</v>
      </c>
      <c r="C64" s="1">
        <f t="shared" si="1"/>
        <v>-2087</v>
      </c>
      <c r="D64" s="1">
        <v>0</v>
      </c>
      <c r="E64" s="1">
        <v>2302.4499999999998</v>
      </c>
      <c r="F64" s="1">
        <v>0.4234</v>
      </c>
      <c r="G64" s="1">
        <v>3.0265</v>
      </c>
      <c r="H64" s="1">
        <v>6.2454999999999998</v>
      </c>
      <c r="I64" s="1">
        <v>1.0491999999999999</v>
      </c>
      <c r="J64" s="1">
        <v>7.7994000000000003</v>
      </c>
      <c r="K64" s="1">
        <v>2302.4499999999998</v>
      </c>
      <c r="L64" s="1">
        <v>0</v>
      </c>
    </row>
    <row r="65" spans="1:12" x14ac:dyDescent="0.35">
      <c r="A65" s="6" t="s">
        <v>582</v>
      </c>
      <c r="B65" s="1" t="str">
        <f t="shared" si="0"/>
        <v>Corumba IV</v>
      </c>
      <c r="C65" s="1">
        <f t="shared" si="1"/>
        <v>-2086</v>
      </c>
      <c r="D65" s="1">
        <v>0</v>
      </c>
      <c r="E65" s="1">
        <v>0</v>
      </c>
      <c r="F65" s="1">
        <v>0</v>
      </c>
      <c r="G65" s="1">
        <v>0.3629</v>
      </c>
      <c r="H65" s="1">
        <v>73.088300000000004</v>
      </c>
      <c r="I65" s="1">
        <v>4.7477999999999998</v>
      </c>
      <c r="J65" s="1">
        <v>68.703400000000002</v>
      </c>
      <c r="K65" s="1">
        <v>0</v>
      </c>
      <c r="L65" s="1">
        <v>0</v>
      </c>
    </row>
    <row r="66" spans="1:12" hidden="1" x14ac:dyDescent="0.35">
      <c r="A66" s="6" t="s">
        <v>583</v>
      </c>
      <c r="B66" s="1" t="str">
        <f t="shared" si="0"/>
        <v>Lago Paranoa</v>
      </c>
      <c r="C66" s="1">
        <f t="shared" si="1"/>
        <v>-2086</v>
      </c>
      <c r="D66" s="1">
        <v>0</v>
      </c>
      <c r="E66" s="1">
        <v>2302.4499999999998</v>
      </c>
      <c r="F66" s="1">
        <v>0.4234</v>
      </c>
      <c r="G66" s="1">
        <v>3.786</v>
      </c>
      <c r="H66" s="1">
        <v>7.242</v>
      </c>
      <c r="I66" s="1">
        <v>1.0491999999999999</v>
      </c>
      <c r="J66" s="1">
        <v>9.5554000000000006</v>
      </c>
      <c r="K66" s="1">
        <v>2302.4499999999998</v>
      </c>
      <c r="L66" s="1">
        <v>0</v>
      </c>
    </row>
    <row r="67" spans="1:12" x14ac:dyDescent="0.35">
      <c r="A67" s="6" t="s">
        <v>584</v>
      </c>
      <c r="B67" s="1" t="str">
        <f t="shared" ref="B67:B129" si="2">_xlfn.TEXTBEFORE(_xlfn.TEXTAFTER(A67,"["),"]")</f>
        <v>Corumba IV</v>
      </c>
      <c r="C67" s="1">
        <f t="shared" ref="C67:C129" si="3">--_xlfn.TEXTBEFORE(_xlfn.TEXTAFTER(A67,"Week "),":")</f>
        <v>-2085</v>
      </c>
      <c r="D67" s="1">
        <v>0</v>
      </c>
      <c r="E67" s="1">
        <v>0</v>
      </c>
      <c r="F67" s="1">
        <v>0</v>
      </c>
      <c r="G67" s="1">
        <v>0.3629</v>
      </c>
      <c r="H67" s="1">
        <v>90.917900000000003</v>
      </c>
      <c r="I67" s="1">
        <v>4.5130999999999997</v>
      </c>
      <c r="J67" s="1">
        <v>86.767600000000002</v>
      </c>
      <c r="K67" s="1">
        <v>0</v>
      </c>
      <c r="L67" s="1">
        <v>0</v>
      </c>
    </row>
    <row r="68" spans="1:12" hidden="1" x14ac:dyDescent="0.35">
      <c r="A68" s="6" t="s">
        <v>585</v>
      </c>
      <c r="B68" s="1" t="str">
        <f t="shared" si="2"/>
        <v>Lago Paranoa</v>
      </c>
      <c r="C68" s="1">
        <f t="shared" si="3"/>
        <v>-2085</v>
      </c>
      <c r="D68" s="1">
        <v>0</v>
      </c>
      <c r="E68" s="1">
        <v>2302.4499999999998</v>
      </c>
      <c r="F68" s="1">
        <v>0.32869999999999999</v>
      </c>
      <c r="G68" s="1">
        <v>4.1471</v>
      </c>
      <c r="H68" s="1">
        <v>9.9489999999999998</v>
      </c>
      <c r="I68" s="1">
        <v>1.1214999999999999</v>
      </c>
      <c r="J68" s="1">
        <v>12.645899999999999</v>
      </c>
      <c r="K68" s="1">
        <v>2302.4499999999998</v>
      </c>
      <c r="L68" s="1">
        <v>0</v>
      </c>
    </row>
    <row r="69" spans="1:12" x14ac:dyDescent="0.35">
      <c r="A69" s="6" t="s">
        <v>586</v>
      </c>
      <c r="B69" s="1" t="str">
        <f t="shared" si="2"/>
        <v>Corumba IV</v>
      </c>
      <c r="C69" s="1">
        <f t="shared" si="3"/>
        <v>-2084</v>
      </c>
      <c r="D69" s="1">
        <v>0</v>
      </c>
      <c r="E69" s="1">
        <v>0</v>
      </c>
      <c r="F69" s="1">
        <v>0</v>
      </c>
      <c r="G69" s="1">
        <v>0.3629</v>
      </c>
      <c r="H69" s="1">
        <v>85.807299999999998</v>
      </c>
      <c r="I69" s="1">
        <v>4.0335999999999999</v>
      </c>
      <c r="J69" s="1">
        <v>82.136600000000001</v>
      </c>
      <c r="K69" s="1">
        <v>0</v>
      </c>
      <c r="L69" s="1">
        <v>0</v>
      </c>
    </row>
    <row r="70" spans="1:12" hidden="1" x14ac:dyDescent="0.35">
      <c r="A70" s="6" t="s">
        <v>587</v>
      </c>
      <c r="B70" s="1" t="str">
        <f t="shared" si="2"/>
        <v>Lago Paranoa</v>
      </c>
      <c r="C70" s="1">
        <f t="shared" si="3"/>
        <v>-2084</v>
      </c>
      <c r="D70" s="1">
        <v>0</v>
      </c>
      <c r="E70" s="1">
        <v>2302.4499999999998</v>
      </c>
      <c r="F70" s="1">
        <v>0.32900000000000001</v>
      </c>
      <c r="G70" s="1">
        <v>6.4736000000000002</v>
      </c>
      <c r="H70" s="1">
        <v>14.7067</v>
      </c>
      <c r="I70" s="1">
        <v>1.0416000000000001</v>
      </c>
      <c r="J70" s="1">
        <v>19.8096</v>
      </c>
      <c r="K70" s="1">
        <v>2302.4499999999998</v>
      </c>
      <c r="L70" s="1">
        <v>0</v>
      </c>
    </row>
    <row r="71" spans="1:12" x14ac:dyDescent="0.35">
      <c r="A71" s="6" t="s">
        <v>588</v>
      </c>
      <c r="B71" s="1" t="str">
        <f t="shared" si="2"/>
        <v>Corumba IV</v>
      </c>
      <c r="C71" s="1">
        <f t="shared" si="3"/>
        <v>-2083</v>
      </c>
      <c r="D71" s="1">
        <v>0</v>
      </c>
      <c r="E71" s="1">
        <v>0</v>
      </c>
      <c r="F71" s="1">
        <v>0</v>
      </c>
      <c r="G71" s="1">
        <v>0.3629</v>
      </c>
      <c r="H71" s="1">
        <v>101.8155</v>
      </c>
      <c r="I71" s="1">
        <v>4.0335999999999999</v>
      </c>
      <c r="J71" s="1">
        <v>98.144800000000004</v>
      </c>
      <c r="K71" s="1">
        <v>0</v>
      </c>
      <c r="L71" s="1">
        <v>0</v>
      </c>
    </row>
    <row r="72" spans="1:12" hidden="1" x14ac:dyDescent="0.35">
      <c r="A72" s="6" t="s">
        <v>589</v>
      </c>
      <c r="B72" s="1" t="str">
        <f t="shared" si="2"/>
        <v>Lago Paranoa</v>
      </c>
      <c r="C72" s="1">
        <f t="shared" si="3"/>
        <v>-2083</v>
      </c>
      <c r="D72" s="1">
        <v>0</v>
      </c>
      <c r="E72" s="1">
        <v>2302.4499999999998</v>
      </c>
      <c r="F72" s="1">
        <v>0.32929999999999998</v>
      </c>
      <c r="G72" s="1">
        <v>6.3380999999999998</v>
      </c>
      <c r="H72" s="1">
        <v>14.192600000000001</v>
      </c>
      <c r="I72" s="1">
        <v>1.0416000000000001</v>
      </c>
      <c r="J72" s="1">
        <v>19.159800000000001</v>
      </c>
      <c r="K72" s="1">
        <v>2302.4499999999998</v>
      </c>
      <c r="L72" s="1">
        <v>0</v>
      </c>
    </row>
    <row r="73" spans="1:12" x14ac:dyDescent="0.35">
      <c r="A73" s="6" t="s">
        <v>590</v>
      </c>
      <c r="B73" s="1" t="str">
        <f t="shared" si="2"/>
        <v>Corumba IV</v>
      </c>
      <c r="C73" s="1">
        <f t="shared" si="3"/>
        <v>-2082</v>
      </c>
      <c r="D73" s="1">
        <v>0</v>
      </c>
      <c r="E73" s="1">
        <v>0</v>
      </c>
      <c r="F73" s="1">
        <v>0</v>
      </c>
      <c r="G73" s="1">
        <v>3.2035999999999998</v>
      </c>
      <c r="H73" s="1">
        <v>153.5898</v>
      </c>
      <c r="I73" s="1">
        <v>4.0335999999999999</v>
      </c>
      <c r="J73" s="1">
        <v>152.75980000000001</v>
      </c>
      <c r="K73" s="1">
        <v>0</v>
      </c>
      <c r="L73" s="1">
        <v>0</v>
      </c>
    </row>
    <row r="74" spans="1:12" hidden="1" x14ac:dyDescent="0.35">
      <c r="A74" s="6" t="s">
        <v>591</v>
      </c>
      <c r="B74" s="1" t="str">
        <f t="shared" si="2"/>
        <v>Lago Paranoa</v>
      </c>
      <c r="C74" s="1">
        <f t="shared" si="3"/>
        <v>-2082</v>
      </c>
      <c r="D74" s="1">
        <v>0</v>
      </c>
      <c r="E74" s="1">
        <v>2302.4499999999998</v>
      </c>
      <c r="F74" s="1">
        <v>0.3296</v>
      </c>
      <c r="G74" s="1">
        <v>6.4817</v>
      </c>
      <c r="H74" s="1">
        <v>18.314399999999999</v>
      </c>
      <c r="I74" s="1">
        <v>1.0416000000000001</v>
      </c>
      <c r="J74" s="1">
        <v>23.424900000000001</v>
      </c>
      <c r="K74" s="1">
        <v>2302.4499999999998</v>
      </c>
      <c r="L74" s="1">
        <v>0</v>
      </c>
    </row>
    <row r="75" spans="1:12" x14ac:dyDescent="0.35">
      <c r="A75" s="6" t="s">
        <v>592</v>
      </c>
      <c r="B75" s="1" t="str">
        <f t="shared" si="2"/>
        <v>Corumba IV</v>
      </c>
      <c r="C75" s="1">
        <f t="shared" si="3"/>
        <v>-2081</v>
      </c>
      <c r="D75" s="1">
        <v>0</v>
      </c>
      <c r="E75" s="1">
        <v>0</v>
      </c>
      <c r="F75" s="1">
        <v>0</v>
      </c>
      <c r="G75" s="1">
        <v>2.0842999999999998</v>
      </c>
      <c r="H75" s="1">
        <v>105.9808</v>
      </c>
      <c r="I75" s="1">
        <v>4.2832999999999997</v>
      </c>
      <c r="J75" s="1">
        <v>103.7818</v>
      </c>
      <c r="K75" s="1">
        <v>0</v>
      </c>
      <c r="L75" s="1">
        <v>0</v>
      </c>
    </row>
    <row r="76" spans="1:12" hidden="1" x14ac:dyDescent="0.35">
      <c r="A76" s="6" t="s">
        <v>593</v>
      </c>
      <c r="B76" s="1" t="str">
        <f t="shared" si="2"/>
        <v>Lago Paranoa</v>
      </c>
      <c r="C76" s="1">
        <f t="shared" si="3"/>
        <v>-2081</v>
      </c>
      <c r="D76" s="1">
        <v>0</v>
      </c>
      <c r="E76" s="1">
        <v>2302.4499999999998</v>
      </c>
      <c r="F76" s="1">
        <v>0.32990000000000003</v>
      </c>
      <c r="G76" s="1">
        <v>3.431</v>
      </c>
      <c r="H76" s="1">
        <v>9.6295000000000002</v>
      </c>
      <c r="I76" s="1">
        <v>1.0717000000000001</v>
      </c>
      <c r="J76" s="1">
        <v>11.658799999999999</v>
      </c>
      <c r="K76" s="1">
        <v>2302.4499999999998</v>
      </c>
      <c r="L76" s="1">
        <v>0</v>
      </c>
    </row>
    <row r="77" spans="1:12" x14ac:dyDescent="0.35">
      <c r="A77" s="6" t="s">
        <v>594</v>
      </c>
      <c r="B77" s="1" t="str">
        <f t="shared" si="2"/>
        <v>Corumba IV</v>
      </c>
      <c r="C77" s="1">
        <f t="shared" si="3"/>
        <v>-2080</v>
      </c>
      <c r="D77" s="1">
        <v>0</v>
      </c>
      <c r="E77" s="1">
        <v>0</v>
      </c>
      <c r="F77" s="1">
        <v>0</v>
      </c>
      <c r="G77" s="1">
        <v>3.4483999999999999</v>
      </c>
      <c r="H77" s="1">
        <v>177.3032</v>
      </c>
      <c r="I77" s="1">
        <v>4.5861000000000001</v>
      </c>
      <c r="J77" s="1">
        <v>176.16540000000001</v>
      </c>
      <c r="K77" s="1">
        <v>0</v>
      </c>
      <c r="L77" s="1">
        <v>0</v>
      </c>
    </row>
    <row r="78" spans="1:12" hidden="1" x14ac:dyDescent="0.35">
      <c r="A78" s="6" t="s">
        <v>595</v>
      </c>
      <c r="B78" s="1" t="str">
        <f t="shared" si="2"/>
        <v>Lago Paranoa</v>
      </c>
      <c r="C78" s="1">
        <f t="shared" si="3"/>
        <v>-2080</v>
      </c>
      <c r="D78" s="1">
        <v>0</v>
      </c>
      <c r="E78" s="1">
        <v>2302.4499999999998</v>
      </c>
      <c r="F78" s="1">
        <v>0.36990000000000001</v>
      </c>
      <c r="G78" s="1">
        <v>4.2976000000000001</v>
      </c>
      <c r="H78" s="1">
        <v>10.9985</v>
      </c>
      <c r="I78" s="1">
        <v>1.1067</v>
      </c>
      <c r="J78" s="1">
        <v>13.8194</v>
      </c>
      <c r="K78" s="1">
        <v>2302.4499999999998</v>
      </c>
      <c r="L78" s="1">
        <v>0</v>
      </c>
    </row>
    <row r="79" spans="1:12" x14ac:dyDescent="0.35">
      <c r="A79" s="6" t="s">
        <v>596</v>
      </c>
      <c r="B79" s="1" t="str">
        <f t="shared" si="2"/>
        <v>Corumba IV</v>
      </c>
      <c r="C79" s="1">
        <f t="shared" si="3"/>
        <v>-2079</v>
      </c>
      <c r="D79" s="1">
        <v>0</v>
      </c>
      <c r="E79" s="1">
        <v>0</v>
      </c>
      <c r="F79" s="1">
        <v>0</v>
      </c>
      <c r="G79" s="1">
        <v>3.5160999999999998</v>
      </c>
      <c r="H79" s="1">
        <v>107.02889999999999</v>
      </c>
      <c r="I79" s="1">
        <v>4.1574</v>
      </c>
      <c r="J79" s="1">
        <v>106.38760000000001</v>
      </c>
      <c r="K79" s="1">
        <v>0</v>
      </c>
      <c r="L79" s="1">
        <v>0</v>
      </c>
    </row>
    <row r="80" spans="1:12" hidden="1" x14ac:dyDescent="0.35">
      <c r="A80" s="6" t="s">
        <v>597</v>
      </c>
      <c r="B80" s="1" t="str">
        <f t="shared" si="2"/>
        <v>Lago Paranoa</v>
      </c>
      <c r="C80" s="1">
        <f t="shared" si="3"/>
        <v>-2079</v>
      </c>
      <c r="D80" s="1">
        <v>0</v>
      </c>
      <c r="E80" s="1">
        <v>2302.4499999999998</v>
      </c>
      <c r="F80" s="1">
        <v>0.35360000000000003</v>
      </c>
      <c r="G80" s="1">
        <v>4.3937999999999997</v>
      </c>
      <c r="H80" s="1">
        <v>10.1873</v>
      </c>
      <c r="I80" s="1">
        <v>1.0531999999999999</v>
      </c>
      <c r="J80" s="1">
        <v>13.1744</v>
      </c>
      <c r="K80" s="1">
        <v>2302.4499999999998</v>
      </c>
      <c r="L80" s="1">
        <v>0</v>
      </c>
    </row>
    <row r="81" spans="1:12" x14ac:dyDescent="0.35">
      <c r="A81" s="6" t="s">
        <v>598</v>
      </c>
      <c r="B81" s="1" t="str">
        <f t="shared" si="2"/>
        <v>Corumba IV</v>
      </c>
      <c r="C81" s="1">
        <f t="shared" si="3"/>
        <v>-2078</v>
      </c>
      <c r="D81" s="1">
        <v>0</v>
      </c>
      <c r="E81" s="1">
        <v>0</v>
      </c>
      <c r="F81" s="1">
        <v>0</v>
      </c>
      <c r="G81" s="1">
        <v>3.9655</v>
      </c>
      <c r="H81" s="1">
        <v>125.3336</v>
      </c>
      <c r="I81" s="1">
        <v>4.1574</v>
      </c>
      <c r="J81" s="1">
        <v>125.1416</v>
      </c>
      <c r="K81" s="1">
        <v>0</v>
      </c>
      <c r="L81" s="1">
        <v>0</v>
      </c>
    </row>
    <row r="82" spans="1:12" hidden="1" x14ac:dyDescent="0.35">
      <c r="A82" s="6" t="s">
        <v>599</v>
      </c>
      <c r="B82" s="1" t="str">
        <f t="shared" si="2"/>
        <v>Lago Paranoa</v>
      </c>
      <c r="C82" s="1">
        <f t="shared" si="3"/>
        <v>-2078</v>
      </c>
      <c r="D82" s="1">
        <v>0</v>
      </c>
      <c r="E82" s="1">
        <v>2302.4499999999998</v>
      </c>
      <c r="F82" s="1">
        <v>0.35389999999999999</v>
      </c>
      <c r="G82" s="1">
        <v>5.1858000000000004</v>
      </c>
      <c r="H82" s="1">
        <v>13.3949</v>
      </c>
      <c r="I82" s="1">
        <v>1.0531999999999999</v>
      </c>
      <c r="J82" s="1">
        <v>17.173500000000001</v>
      </c>
      <c r="K82" s="1">
        <v>2302.4499999999998</v>
      </c>
      <c r="L82" s="1">
        <v>0</v>
      </c>
    </row>
    <row r="83" spans="1:12" x14ac:dyDescent="0.35">
      <c r="A83" s="6" t="s">
        <v>600</v>
      </c>
      <c r="B83" s="1" t="str">
        <f t="shared" si="2"/>
        <v>Corumba IV</v>
      </c>
      <c r="C83" s="1">
        <f t="shared" si="3"/>
        <v>-2181</v>
      </c>
      <c r="D83" s="1">
        <v>0</v>
      </c>
      <c r="E83" s="1">
        <v>0</v>
      </c>
      <c r="F83" s="1">
        <v>0</v>
      </c>
      <c r="G83" s="1">
        <v>7.0269000000000004</v>
      </c>
      <c r="H83" s="1">
        <v>244.26060000000001</v>
      </c>
      <c r="I83" s="1">
        <v>4.8460999999999999</v>
      </c>
      <c r="J83" s="1">
        <v>246.44139999999999</v>
      </c>
      <c r="K83" s="1">
        <v>0</v>
      </c>
      <c r="L83" s="1">
        <v>0</v>
      </c>
    </row>
    <row r="84" spans="1:12" hidden="1" x14ac:dyDescent="0.35">
      <c r="A84" s="6" t="s">
        <v>601</v>
      </c>
      <c r="B84" s="1" t="str">
        <f t="shared" si="2"/>
        <v>Lago Paranoa</v>
      </c>
      <c r="C84" s="1">
        <f t="shared" si="3"/>
        <v>-2181</v>
      </c>
      <c r="D84" s="1">
        <v>0</v>
      </c>
      <c r="E84" s="1">
        <v>2302.4499999999998</v>
      </c>
      <c r="F84" s="1">
        <v>0.3543</v>
      </c>
      <c r="G84" s="1">
        <v>6.7572999999999999</v>
      </c>
      <c r="H84" s="1">
        <v>25.3657</v>
      </c>
      <c r="I84" s="1">
        <v>1.1865000000000001</v>
      </c>
      <c r="J84" s="1">
        <v>30.5823</v>
      </c>
      <c r="K84" s="1">
        <v>2302.4499999999998</v>
      </c>
      <c r="L84" s="1">
        <v>0</v>
      </c>
    </row>
    <row r="85" spans="1:12" x14ac:dyDescent="0.35">
      <c r="A85" s="6" t="s">
        <v>602</v>
      </c>
      <c r="B85" s="1" t="str">
        <f t="shared" si="2"/>
        <v>Corumba IV</v>
      </c>
      <c r="C85" s="1">
        <f t="shared" si="3"/>
        <v>-2180</v>
      </c>
      <c r="D85" s="1">
        <v>0</v>
      </c>
      <c r="E85" s="1">
        <v>0</v>
      </c>
      <c r="F85" s="1">
        <v>0</v>
      </c>
      <c r="G85" s="1">
        <v>7.5793999999999997</v>
      </c>
      <c r="H85" s="1">
        <v>136.90430000000001</v>
      </c>
      <c r="I85" s="1">
        <v>4.2626999999999997</v>
      </c>
      <c r="J85" s="1">
        <v>140.2209</v>
      </c>
      <c r="K85" s="1">
        <v>0</v>
      </c>
      <c r="L85" s="1">
        <v>0</v>
      </c>
    </row>
    <row r="86" spans="1:12" hidden="1" x14ac:dyDescent="0.35">
      <c r="A86" s="6" t="s">
        <v>603</v>
      </c>
      <c r="B86" s="1" t="str">
        <f t="shared" si="2"/>
        <v>Lago Paranoa</v>
      </c>
      <c r="C86" s="1">
        <f t="shared" si="3"/>
        <v>-2180</v>
      </c>
      <c r="D86" s="1">
        <v>0</v>
      </c>
      <c r="E86" s="1">
        <v>2302.4499999999998</v>
      </c>
      <c r="F86" s="1">
        <v>0.4234</v>
      </c>
      <c r="G86" s="1">
        <v>4.8762999999999996</v>
      </c>
      <c r="H86" s="1">
        <v>25.567599999999999</v>
      </c>
      <c r="I86" s="1">
        <v>1.0134000000000001</v>
      </c>
      <c r="J86" s="1">
        <v>29.007100000000001</v>
      </c>
      <c r="K86" s="1">
        <v>2302.4499999999998</v>
      </c>
      <c r="L86" s="1">
        <v>0</v>
      </c>
    </row>
    <row r="87" spans="1:12" x14ac:dyDescent="0.35">
      <c r="A87" s="6" t="s">
        <v>604</v>
      </c>
      <c r="B87" s="1" t="str">
        <f t="shared" si="2"/>
        <v>Corumba IV</v>
      </c>
      <c r="C87" s="1">
        <f t="shared" si="3"/>
        <v>-2179</v>
      </c>
      <c r="D87" s="1">
        <v>0</v>
      </c>
      <c r="E87" s="1">
        <v>0</v>
      </c>
      <c r="F87" s="1">
        <v>0</v>
      </c>
      <c r="G87" s="1">
        <v>8.3750999999999998</v>
      </c>
      <c r="H87" s="1">
        <v>136.7876</v>
      </c>
      <c r="I87" s="1">
        <v>4.1654999999999998</v>
      </c>
      <c r="J87" s="1">
        <v>140.9973</v>
      </c>
      <c r="K87" s="1">
        <v>0</v>
      </c>
      <c r="L87" s="1">
        <v>0</v>
      </c>
    </row>
    <row r="88" spans="1:12" hidden="1" x14ac:dyDescent="0.35">
      <c r="A88" s="6" t="s">
        <v>605</v>
      </c>
      <c r="B88" s="1" t="str">
        <f t="shared" si="2"/>
        <v>Lago Paranoa</v>
      </c>
      <c r="C88" s="1">
        <f t="shared" si="3"/>
        <v>-2179</v>
      </c>
      <c r="D88" s="1">
        <v>0</v>
      </c>
      <c r="E88" s="1">
        <v>2302.4499999999998</v>
      </c>
      <c r="F88" s="1">
        <v>0.4234</v>
      </c>
      <c r="G88" s="1">
        <v>7.7572000000000001</v>
      </c>
      <c r="H88" s="1">
        <v>31.234500000000001</v>
      </c>
      <c r="I88" s="1">
        <v>0.98450000000000004</v>
      </c>
      <c r="J88" s="1">
        <v>37.5837</v>
      </c>
      <c r="K88" s="1">
        <v>2302.4499999999998</v>
      </c>
      <c r="L88" s="1">
        <v>0</v>
      </c>
    </row>
    <row r="89" spans="1:12" x14ac:dyDescent="0.35">
      <c r="A89" s="6" t="s">
        <v>606</v>
      </c>
      <c r="B89" s="1" t="str">
        <f t="shared" si="2"/>
        <v>Corumba IV</v>
      </c>
      <c r="C89" s="1">
        <f t="shared" si="3"/>
        <v>-2178</v>
      </c>
      <c r="D89" s="1">
        <v>0</v>
      </c>
      <c r="E89" s="1">
        <v>0</v>
      </c>
      <c r="F89" s="1">
        <v>0</v>
      </c>
      <c r="G89" s="1">
        <v>4.8650000000000002</v>
      </c>
      <c r="H89" s="1">
        <v>105.34229999999999</v>
      </c>
      <c r="I89" s="1">
        <v>4.1654999999999998</v>
      </c>
      <c r="J89" s="1">
        <v>106.0419</v>
      </c>
      <c r="K89" s="1">
        <v>0</v>
      </c>
      <c r="L89" s="1">
        <v>0</v>
      </c>
    </row>
    <row r="90" spans="1:12" hidden="1" x14ac:dyDescent="0.35">
      <c r="A90" s="6" t="s">
        <v>607</v>
      </c>
      <c r="B90" s="1" t="str">
        <f t="shared" si="2"/>
        <v>Lago Paranoa</v>
      </c>
      <c r="C90" s="1">
        <f t="shared" si="3"/>
        <v>-2178</v>
      </c>
      <c r="D90" s="1">
        <v>0</v>
      </c>
      <c r="E90" s="1">
        <v>2302.4499999999998</v>
      </c>
      <c r="F90" s="1">
        <v>0.4234</v>
      </c>
      <c r="G90" s="1">
        <v>7.0141999999999998</v>
      </c>
      <c r="H90" s="1">
        <v>21.675899999999999</v>
      </c>
      <c r="I90" s="1">
        <v>0.98450000000000004</v>
      </c>
      <c r="J90" s="1">
        <v>27.282299999999999</v>
      </c>
      <c r="K90" s="1">
        <v>2302.4499999999998</v>
      </c>
      <c r="L90" s="1">
        <v>0</v>
      </c>
    </row>
    <row r="91" spans="1:12" x14ac:dyDescent="0.35">
      <c r="A91" s="6" t="s">
        <v>608</v>
      </c>
      <c r="B91" s="1" t="str">
        <f t="shared" si="2"/>
        <v>Corumba IV</v>
      </c>
      <c r="C91" s="1">
        <f t="shared" si="3"/>
        <v>-2177</v>
      </c>
      <c r="D91" s="1">
        <v>0</v>
      </c>
      <c r="E91" s="1">
        <v>0</v>
      </c>
      <c r="F91" s="1">
        <v>0</v>
      </c>
      <c r="G91" s="1">
        <v>7.6342999999999996</v>
      </c>
      <c r="H91" s="1">
        <v>237.0557</v>
      </c>
      <c r="I91" s="1">
        <v>4.2305999999999999</v>
      </c>
      <c r="J91" s="1">
        <v>240.45939999999999</v>
      </c>
      <c r="K91" s="1">
        <v>0</v>
      </c>
      <c r="L91" s="1">
        <v>0</v>
      </c>
    </row>
    <row r="92" spans="1:12" hidden="1" x14ac:dyDescent="0.35">
      <c r="A92" s="6" t="s">
        <v>609</v>
      </c>
      <c r="B92" s="1" t="str">
        <f t="shared" si="2"/>
        <v>Lago Paranoa</v>
      </c>
      <c r="C92" s="1">
        <f t="shared" si="3"/>
        <v>-2177</v>
      </c>
      <c r="D92" s="1">
        <v>0</v>
      </c>
      <c r="E92" s="1">
        <v>2302.4499999999998</v>
      </c>
      <c r="F92" s="1">
        <v>0.4234</v>
      </c>
      <c r="G92" s="1">
        <v>9.6430000000000007</v>
      </c>
      <c r="H92" s="1">
        <v>30.087700000000002</v>
      </c>
      <c r="I92" s="1">
        <v>1.0419</v>
      </c>
      <c r="J92" s="1">
        <v>38.265500000000003</v>
      </c>
      <c r="K92" s="1">
        <v>2302.4499999999998</v>
      </c>
      <c r="L92" s="1">
        <v>0</v>
      </c>
    </row>
    <row r="93" spans="1:12" x14ac:dyDescent="0.35">
      <c r="A93" s="6" t="s">
        <v>610</v>
      </c>
      <c r="B93" s="1" t="str">
        <f t="shared" si="2"/>
        <v>Corumba IV</v>
      </c>
      <c r="C93" s="1">
        <f t="shared" si="3"/>
        <v>-2176</v>
      </c>
      <c r="D93" s="1">
        <v>0</v>
      </c>
      <c r="E93" s="1">
        <v>0</v>
      </c>
      <c r="F93" s="1">
        <v>0</v>
      </c>
      <c r="G93" s="1">
        <v>3.1116999999999999</v>
      </c>
      <c r="H93" s="1">
        <v>138.82060000000001</v>
      </c>
      <c r="I93" s="1">
        <v>3.0586000000000002</v>
      </c>
      <c r="J93" s="1">
        <v>138.87370000000001</v>
      </c>
      <c r="K93" s="1">
        <v>0</v>
      </c>
      <c r="L93" s="1">
        <v>0</v>
      </c>
    </row>
    <row r="94" spans="1:12" hidden="1" x14ac:dyDescent="0.35">
      <c r="A94" s="6" t="s">
        <v>611</v>
      </c>
      <c r="B94" s="1" t="str">
        <f t="shared" si="2"/>
        <v>Lago Paranoa</v>
      </c>
      <c r="C94" s="1">
        <f t="shared" si="3"/>
        <v>-2176</v>
      </c>
      <c r="D94" s="1">
        <v>0</v>
      </c>
      <c r="E94" s="1">
        <v>2302.4499999999998</v>
      </c>
      <c r="F94" s="1">
        <v>0.3054</v>
      </c>
      <c r="G94" s="1">
        <v>4.5431999999999997</v>
      </c>
      <c r="H94" s="1">
        <v>16.574999999999999</v>
      </c>
      <c r="I94" s="1">
        <v>0.81689999999999996</v>
      </c>
      <c r="J94" s="1">
        <v>19.995799999999999</v>
      </c>
      <c r="K94" s="1">
        <v>2302.4499999999998</v>
      </c>
      <c r="L94" s="1">
        <v>0</v>
      </c>
    </row>
    <row r="95" spans="1:12" x14ac:dyDescent="0.35">
      <c r="A95" s="6" t="s">
        <v>612</v>
      </c>
      <c r="B95" s="1" t="str">
        <f t="shared" si="2"/>
        <v>Corumba IV</v>
      </c>
      <c r="C95" s="1">
        <f t="shared" si="3"/>
        <v>-2175</v>
      </c>
      <c r="D95" s="1">
        <v>0</v>
      </c>
      <c r="E95" s="1">
        <v>0</v>
      </c>
      <c r="F95" s="1">
        <v>0</v>
      </c>
      <c r="G95" s="1">
        <v>3.4186999999999999</v>
      </c>
      <c r="H95" s="1">
        <v>143.65039999999999</v>
      </c>
      <c r="I95" s="1">
        <v>2.8589000000000002</v>
      </c>
      <c r="J95" s="1">
        <v>144.21019999999999</v>
      </c>
      <c r="K95" s="1">
        <v>0</v>
      </c>
      <c r="L95" s="1">
        <v>0</v>
      </c>
    </row>
    <row r="96" spans="1:12" hidden="1" x14ac:dyDescent="0.35">
      <c r="A96" s="6" t="s">
        <v>613</v>
      </c>
      <c r="B96" s="1" t="str">
        <f t="shared" si="2"/>
        <v>Lago Paranoa</v>
      </c>
      <c r="C96" s="1">
        <f t="shared" si="3"/>
        <v>-2175</v>
      </c>
      <c r="D96" s="1">
        <v>0</v>
      </c>
      <c r="E96" s="1">
        <v>2302.4499999999998</v>
      </c>
      <c r="F96" s="1">
        <v>0.30570000000000003</v>
      </c>
      <c r="G96" s="1">
        <v>4.3704000000000001</v>
      </c>
      <c r="H96" s="1">
        <v>18.121500000000001</v>
      </c>
      <c r="I96" s="1">
        <v>0.77559999999999996</v>
      </c>
      <c r="J96" s="1">
        <v>21.410699999999999</v>
      </c>
      <c r="K96" s="1">
        <v>2302.4499999999998</v>
      </c>
      <c r="L96" s="1">
        <v>0</v>
      </c>
    </row>
    <row r="97" spans="1:12" x14ac:dyDescent="0.35">
      <c r="A97" s="6" t="s">
        <v>614</v>
      </c>
      <c r="B97" s="1" t="str">
        <f t="shared" si="2"/>
        <v>Corumba IV</v>
      </c>
      <c r="C97" s="1">
        <f t="shared" si="3"/>
        <v>-2174</v>
      </c>
      <c r="D97" s="1">
        <v>0</v>
      </c>
      <c r="E97" s="1">
        <v>0</v>
      </c>
      <c r="F97" s="1">
        <v>0</v>
      </c>
      <c r="G97" s="1">
        <v>4.2967000000000004</v>
      </c>
      <c r="H97" s="1">
        <v>176.75630000000001</v>
      </c>
      <c r="I97" s="1">
        <v>2.8589000000000002</v>
      </c>
      <c r="J97" s="1">
        <v>178.19399999999999</v>
      </c>
      <c r="K97" s="1">
        <v>0</v>
      </c>
      <c r="L97" s="1">
        <v>0</v>
      </c>
    </row>
    <row r="98" spans="1:12" hidden="1" x14ac:dyDescent="0.35">
      <c r="A98" s="6" t="s">
        <v>615</v>
      </c>
      <c r="B98" s="1" t="str">
        <f t="shared" si="2"/>
        <v>Lago Paranoa</v>
      </c>
      <c r="C98" s="1">
        <f t="shared" si="3"/>
        <v>-2174</v>
      </c>
      <c r="D98" s="1">
        <v>0</v>
      </c>
      <c r="E98" s="1">
        <v>2302.4499999999998</v>
      </c>
      <c r="F98" s="1">
        <v>0.30599999999999999</v>
      </c>
      <c r="G98" s="1">
        <v>4.8129999999999997</v>
      </c>
      <c r="H98" s="1">
        <v>22.762499999999999</v>
      </c>
      <c r="I98" s="1">
        <v>0.77559999999999996</v>
      </c>
      <c r="J98" s="1">
        <v>26.4939</v>
      </c>
      <c r="K98" s="1">
        <v>2302.4499999999998</v>
      </c>
      <c r="L98" s="1">
        <v>0</v>
      </c>
    </row>
    <row r="99" spans="1:12" x14ac:dyDescent="0.35">
      <c r="A99" s="6" t="s">
        <v>616</v>
      </c>
      <c r="B99" s="1" t="str">
        <f t="shared" si="2"/>
        <v>Corumba IV</v>
      </c>
      <c r="C99" s="1">
        <f t="shared" si="3"/>
        <v>-2173</v>
      </c>
      <c r="D99" s="1">
        <v>0</v>
      </c>
      <c r="E99" s="1">
        <v>0</v>
      </c>
      <c r="F99" s="1">
        <v>0</v>
      </c>
      <c r="G99" s="1">
        <v>4.4878999999999998</v>
      </c>
      <c r="H99" s="1">
        <v>180.37989999999999</v>
      </c>
      <c r="I99" s="1">
        <v>2.5973999999999999</v>
      </c>
      <c r="J99" s="1">
        <v>182.2704</v>
      </c>
      <c r="K99" s="1">
        <v>0</v>
      </c>
      <c r="L99" s="1">
        <v>0</v>
      </c>
    </row>
    <row r="100" spans="1:12" hidden="1" x14ac:dyDescent="0.35">
      <c r="A100" s="6" t="s">
        <v>617</v>
      </c>
      <c r="B100" s="1" t="str">
        <f t="shared" si="2"/>
        <v>Lago Paranoa</v>
      </c>
      <c r="C100" s="1">
        <f t="shared" si="3"/>
        <v>-2173</v>
      </c>
      <c r="D100" s="1">
        <v>0</v>
      </c>
      <c r="E100" s="1">
        <v>2302.4499999999998</v>
      </c>
      <c r="F100" s="1">
        <v>0.30630000000000002</v>
      </c>
      <c r="G100" s="1">
        <v>5.9324000000000003</v>
      </c>
      <c r="H100" s="1">
        <v>23.1494</v>
      </c>
      <c r="I100" s="1">
        <v>0.73799999999999999</v>
      </c>
      <c r="J100" s="1">
        <v>28.037400000000002</v>
      </c>
      <c r="K100" s="1">
        <v>2302.4499999999998</v>
      </c>
      <c r="L100" s="1">
        <v>0</v>
      </c>
    </row>
    <row r="101" spans="1:12" x14ac:dyDescent="0.35">
      <c r="A101" s="6" t="s">
        <v>618</v>
      </c>
      <c r="B101" s="1" t="str">
        <f t="shared" si="2"/>
        <v>Corumba IV</v>
      </c>
      <c r="C101" s="1">
        <f t="shared" si="3"/>
        <v>-2172</v>
      </c>
      <c r="D101" s="1">
        <v>0</v>
      </c>
      <c r="E101" s="1">
        <v>0</v>
      </c>
      <c r="F101" s="1">
        <v>0</v>
      </c>
      <c r="G101" s="1">
        <v>4.2716000000000003</v>
      </c>
      <c r="H101" s="1">
        <v>137.49520000000001</v>
      </c>
      <c r="I101" s="1">
        <v>3.0179</v>
      </c>
      <c r="J101" s="1">
        <v>138.749</v>
      </c>
      <c r="K101" s="1">
        <v>0</v>
      </c>
      <c r="L101" s="1">
        <v>0</v>
      </c>
    </row>
    <row r="102" spans="1:12" hidden="1" x14ac:dyDescent="0.35">
      <c r="A102" s="6" t="s">
        <v>619</v>
      </c>
      <c r="B102" s="1" t="str">
        <f t="shared" si="2"/>
        <v>Lago Paranoa</v>
      </c>
      <c r="C102" s="1">
        <f t="shared" si="3"/>
        <v>-2172</v>
      </c>
      <c r="D102" s="1">
        <v>0</v>
      </c>
      <c r="E102" s="1">
        <v>2302.4499999999998</v>
      </c>
      <c r="F102" s="1">
        <v>0.30669999999999997</v>
      </c>
      <c r="G102" s="1">
        <v>4.4343000000000004</v>
      </c>
      <c r="H102" s="1">
        <v>21.181799999999999</v>
      </c>
      <c r="I102" s="1">
        <v>0.89559999999999995</v>
      </c>
      <c r="J102" s="1">
        <v>24.413900000000002</v>
      </c>
      <c r="K102" s="1">
        <v>2302.4499999999998</v>
      </c>
      <c r="L102" s="1">
        <v>0</v>
      </c>
    </row>
    <row r="103" spans="1:12" x14ac:dyDescent="0.35">
      <c r="A103" s="6" t="s">
        <v>620</v>
      </c>
      <c r="B103" s="1" t="str">
        <f t="shared" si="2"/>
        <v>Corumba IV</v>
      </c>
      <c r="C103" s="1">
        <f t="shared" si="3"/>
        <v>-2171</v>
      </c>
      <c r="D103" s="1">
        <v>0</v>
      </c>
      <c r="E103" s="1">
        <v>0</v>
      </c>
      <c r="F103" s="1">
        <v>0</v>
      </c>
      <c r="G103" s="1">
        <v>4.5624000000000002</v>
      </c>
      <c r="H103" s="1">
        <v>157.7595</v>
      </c>
      <c r="I103" s="1">
        <v>3.4422000000000001</v>
      </c>
      <c r="J103" s="1">
        <v>158.87970000000001</v>
      </c>
      <c r="K103" s="1">
        <v>0</v>
      </c>
      <c r="L103" s="1">
        <v>0</v>
      </c>
    </row>
    <row r="104" spans="1:12" hidden="1" x14ac:dyDescent="0.35">
      <c r="A104" s="6" t="s">
        <v>621</v>
      </c>
      <c r="B104" s="1" t="str">
        <f t="shared" si="2"/>
        <v>Lago Paranoa</v>
      </c>
      <c r="C104" s="1">
        <f t="shared" si="3"/>
        <v>-2171</v>
      </c>
      <c r="D104" s="1">
        <v>0</v>
      </c>
      <c r="E104" s="1">
        <v>2302.4499999999998</v>
      </c>
      <c r="F104" s="1">
        <v>0.35539999999999999</v>
      </c>
      <c r="G104" s="1">
        <v>4.8855000000000004</v>
      </c>
      <c r="H104" s="1">
        <v>22.5685</v>
      </c>
      <c r="I104" s="1">
        <v>1.0294000000000001</v>
      </c>
      <c r="J104" s="1">
        <v>26.069199999999999</v>
      </c>
      <c r="K104" s="1">
        <v>2302.4499999999998</v>
      </c>
      <c r="L104" s="1">
        <v>0</v>
      </c>
    </row>
    <row r="105" spans="1:12" x14ac:dyDescent="0.35">
      <c r="A105" s="6" t="s">
        <v>622</v>
      </c>
      <c r="B105" s="1" t="str">
        <f t="shared" si="2"/>
        <v>Corumba IV</v>
      </c>
      <c r="C105" s="1">
        <f t="shared" si="3"/>
        <v>-2170</v>
      </c>
      <c r="D105" s="1">
        <v>0</v>
      </c>
      <c r="E105" s="1">
        <v>0</v>
      </c>
      <c r="F105" s="1">
        <v>0</v>
      </c>
      <c r="G105" s="1">
        <v>3.1850000000000001</v>
      </c>
      <c r="H105" s="1">
        <v>134.31399999999999</v>
      </c>
      <c r="I105" s="1">
        <v>3.4422000000000001</v>
      </c>
      <c r="J105" s="1">
        <v>134.05670000000001</v>
      </c>
      <c r="K105" s="1">
        <v>0</v>
      </c>
      <c r="L105" s="1">
        <v>0</v>
      </c>
    </row>
    <row r="106" spans="1:12" hidden="1" x14ac:dyDescent="0.35">
      <c r="A106" s="6" t="s">
        <v>623</v>
      </c>
      <c r="B106" s="1" t="str">
        <f t="shared" si="2"/>
        <v>Lago Paranoa</v>
      </c>
      <c r="C106" s="1">
        <f t="shared" si="3"/>
        <v>-2170</v>
      </c>
      <c r="D106" s="1">
        <v>0</v>
      </c>
      <c r="E106" s="1">
        <v>2302.4499999999998</v>
      </c>
      <c r="F106" s="1">
        <v>0.35570000000000002</v>
      </c>
      <c r="G106" s="1">
        <v>4.2889999999999997</v>
      </c>
      <c r="H106" s="1">
        <v>17.227599999999999</v>
      </c>
      <c r="I106" s="1">
        <v>1.0294000000000001</v>
      </c>
      <c r="J106" s="1">
        <v>20.131499999999999</v>
      </c>
      <c r="K106" s="1">
        <v>2302.4499999999998</v>
      </c>
      <c r="L106" s="1">
        <v>0</v>
      </c>
    </row>
    <row r="107" spans="1:12" x14ac:dyDescent="0.35">
      <c r="A107" s="6" t="s">
        <v>624</v>
      </c>
      <c r="B107" s="1" t="str">
        <f t="shared" si="2"/>
        <v>Corumba IV</v>
      </c>
      <c r="C107" s="1">
        <f t="shared" si="3"/>
        <v>-2169</v>
      </c>
      <c r="D107" s="1">
        <v>0</v>
      </c>
      <c r="E107" s="1">
        <v>0</v>
      </c>
      <c r="F107" s="1">
        <v>0</v>
      </c>
      <c r="G107" s="1">
        <v>2.2660999999999998</v>
      </c>
      <c r="H107" s="1">
        <v>103.9971</v>
      </c>
      <c r="I107" s="1">
        <v>3.4422000000000001</v>
      </c>
      <c r="J107" s="1">
        <v>102.821</v>
      </c>
      <c r="K107" s="1">
        <v>0</v>
      </c>
      <c r="L107" s="1">
        <v>0</v>
      </c>
    </row>
    <row r="108" spans="1:12" hidden="1" x14ac:dyDescent="0.35">
      <c r="A108" s="6" t="s">
        <v>625</v>
      </c>
      <c r="B108" s="1" t="str">
        <f t="shared" si="2"/>
        <v>Lago Paranoa</v>
      </c>
      <c r="C108" s="1">
        <f t="shared" si="3"/>
        <v>-2169</v>
      </c>
      <c r="D108" s="1">
        <v>0</v>
      </c>
      <c r="E108" s="1">
        <v>2302.4499999999998</v>
      </c>
      <c r="F108" s="1">
        <v>0.35610000000000003</v>
      </c>
      <c r="G108" s="1">
        <v>4.1562000000000001</v>
      </c>
      <c r="H108" s="1">
        <v>12.8874</v>
      </c>
      <c r="I108" s="1">
        <v>1.0294000000000001</v>
      </c>
      <c r="J108" s="1">
        <v>15.658200000000001</v>
      </c>
      <c r="K108" s="1">
        <v>2302.4499999999998</v>
      </c>
      <c r="L108" s="1">
        <v>0</v>
      </c>
    </row>
    <row r="109" spans="1:12" x14ac:dyDescent="0.35">
      <c r="A109" s="6" t="s">
        <v>626</v>
      </c>
      <c r="B109" s="1" t="str">
        <f t="shared" si="2"/>
        <v>Corumba IV</v>
      </c>
      <c r="C109" s="1">
        <f t="shared" si="3"/>
        <v>-2168</v>
      </c>
      <c r="D109" s="1">
        <v>0</v>
      </c>
      <c r="E109" s="1">
        <v>0</v>
      </c>
      <c r="F109" s="1">
        <v>0</v>
      </c>
      <c r="G109" s="1">
        <v>1.5664</v>
      </c>
      <c r="H109" s="1">
        <v>101.32389999999999</v>
      </c>
      <c r="I109" s="1">
        <v>3.4866999999999999</v>
      </c>
      <c r="J109" s="1">
        <v>99.403499999999994</v>
      </c>
      <c r="K109" s="1">
        <v>0</v>
      </c>
      <c r="L109" s="1">
        <v>0</v>
      </c>
    </row>
    <row r="110" spans="1:12" hidden="1" x14ac:dyDescent="0.35">
      <c r="A110" s="6" t="s">
        <v>627</v>
      </c>
      <c r="B110" s="1" t="str">
        <f t="shared" si="2"/>
        <v>Lago Paranoa</v>
      </c>
      <c r="C110" s="1">
        <f t="shared" si="3"/>
        <v>-2168</v>
      </c>
      <c r="D110" s="1">
        <v>0</v>
      </c>
      <c r="E110" s="1">
        <v>2302.4499999999998</v>
      </c>
      <c r="F110" s="1">
        <v>0.35639999999999999</v>
      </c>
      <c r="G110" s="1">
        <v>3.9660000000000002</v>
      </c>
      <c r="H110" s="1">
        <v>11.456</v>
      </c>
      <c r="I110" s="1">
        <v>0.98670000000000002</v>
      </c>
      <c r="J110" s="1">
        <v>14.078900000000001</v>
      </c>
      <c r="K110" s="1">
        <v>2302.4499999999998</v>
      </c>
      <c r="L110" s="1">
        <v>0</v>
      </c>
    </row>
    <row r="111" spans="1:12" x14ac:dyDescent="0.35">
      <c r="A111" s="6" t="s">
        <v>628</v>
      </c>
      <c r="B111" s="1" t="str">
        <f t="shared" si="2"/>
        <v>Corumba IV</v>
      </c>
      <c r="C111" s="1">
        <f t="shared" si="3"/>
        <v>-2167</v>
      </c>
      <c r="D111" s="1">
        <v>0</v>
      </c>
      <c r="E111" s="1">
        <v>0</v>
      </c>
      <c r="F111" s="1">
        <v>0</v>
      </c>
      <c r="G111" s="1">
        <v>1.8633999999999999</v>
      </c>
      <c r="H111" s="1">
        <v>91.8596</v>
      </c>
      <c r="I111" s="1">
        <v>3.8529</v>
      </c>
      <c r="J111" s="1">
        <v>89.870199999999997</v>
      </c>
      <c r="K111" s="1">
        <v>0</v>
      </c>
      <c r="L111" s="1">
        <v>0</v>
      </c>
    </row>
    <row r="112" spans="1:12" hidden="1" x14ac:dyDescent="0.35">
      <c r="A112" s="6" t="s">
        <v>629</v>
      </c>
      <c r="B112" s="1" t="str">
        <f t="shared" si="2"/>
        <v>Lago Paranoa</v>
      </c>
      <c r="C112" s="1">
        <f t="shared" si="3"/>
        <v>-2167</v>
      </c>
      <c r="D112" s="1">
        <v>0</v>
      </c>
      <c r="E112" s="1">
        <v>2302.4499999999998</v>
      </c>
      <c r="F112" s="1">
        <v>0.33789999999999998</v>
      </c>
      <c r="G112" s="1">
        <v>4.0842000000000001</v>
      </c>
      <c r="H112" s="1">
        <v>10.464700000000001</v>
      </c>
      <c r="I112" s="1">
        <v>0.95130000000000003</v>
      </c>
      <c r="J112" s="1">
        <v>13.2597</v>
      </c>
      <c r="K112" s="1">
        <v>2302.4499999999998</v>
      </c>
      <c r="L112" s="1">
        <v>0</v>
      </c>
    </row>
    <row r="113" spans="1:12" x14ac:dyDescent="0.35">
      <c r="A113" s="6" t="s">
        <v>630</v>
      </c>
      <c r="B113" s="1" t="str">
        <f t="shared" si="2"/>
        <v>Corumba IV</v>
      </c>
      <c r="C113" s="1">
        <f t="shared" si="3"/>
        <v>-2166</v>
      </c>
      <c r="D113" s="1">
        <v>0</v>
      </c>
      <c r="E113" s="1">
        <v>0</v>
      </c>
      <c r="F113" s="1">
        <v>0</v>
      </c>
      <c r="G113" s="1">
        <v>1.4539</v>
      </c>
      <c r="H113" s="1">
        <v>83.069299999999998</v>
      </c>
      <c r="I113" s="1">
        <v>4.4898999999999996</v>
      </c>
      <c r="J113" s="1">
        <v>80.033299999999997</v>
      </c>
      <c r="K113" s="1">
        <v>0</v>
      </c>
      <c r="L113" s="1">
        <v>0</v>
      </c>
    </row>
    <row r="114" spans="1:12" hidden="1" x14ac:dyDescent="0.35">
      <c r="A114" s="6" t="s">
        <v>631</v>
      </c>
      <c r="B114" s="1" t="str">
        <f t="shared" si="2"/>
        <v>Lago Paranoa</v>
      </c>
      <c r="C114" s="1">
        <f t="shared" si="3"/>
        <v>-2166</v>
      </c>
      <c r="D114" s="1">
        <v>0</v>
      </c>
      <c r="E114" s="1">
        <v>2302.4499999999998</v>
      </c>
      <c r="F114" s="1">
        <v>0.3382</v>
      </c>
      <c r="G114" s="1">
        <v>3.7267999999999999</v>
      </c>
      <c r="H114" s="1">
        <v>9.2088999999999999</v>
      </c>
      <c r="I114" s="1">
        <v>1.1294999999999999</v>
      </c>
      <c r="J114" s="1">
        <v>11.468</v>
      </c>
      <c r="K114" s="1">
        <v>2302.4499999999998</v>
      </c>
      <c r="L114" s="1">
        <v>0</v>
      </c>
    </row>
    <row r="115" spans="1:12" x14ac:dyDescent="0.35">
      <c r="A115" s="6" t="s">
        <v>632</v>
      </c>
      <c r="B115" s="1" t="str">
        <f t="shared" si="2"/>
        <v>Corumba IV</v>
      </c>
      <c r="C115" s="1">
        <f t="shared" si="3"/>
        <v>-2165</v>
      </c>
      <c r="D115" s="1">
        <v>0</v>
      </c>
      <c r="E115" s="1">
        <v>0</v>
      </c>
      <c r="F115" s="1">
        <v>0</v>
      </c>
      <c r="G115" s="1">
        <v>1.2482</v>
      </c>
      <c r="H115" s="1">
        <v>74.500100000000003</v>
      </c>
      <c r="I115" s="1">
        <v>4.4898999999999996</v>
      </c>
      <c r="J115" s="1">
        <v>71.258399999999995</v>
      </c>
      <c r="K115" s="1">
        <v>0</v>
      </c>
      <c r="L115" s="1">
        <v>0</v>
      </c>
    </row>
    <row r="116" spans="1:12" hidden="1" x14ac:dyDescent="0.35">
      <c r="A116" s="6" t="s">
        <v>633</v>
      </c>
      <c r="B116" s="1" t="str">
        <f t="shared" si="2"/>
        <v>Lago Paranoa</v>
      </c>
      <c r="C116" s="1">
        <f t="shared" si="3"/>
        <v>-2165</v>
      </c>
      <c r="D116" s="1">
        <v>0</v>
      </c>
      <c r="E116" s="1">
        <v>2302.4499999999998</v>
      </c>
      <c r="F116" s="1">
        <v>0.33850000000000002</v>
      </c>
      <c r="G116" s="1">
        <v>3.6646000000000001</v>
      </c>
      <c r="H116" s="1">
        <v>8.6014999999999997</v>
      </c>
      <c r="I116" s="1">
        <v>1.1294999999999999</v>
      </c>
      <c r="J116" s="1">
        <v>10.798</v>
      </c>
      <c r="K116" s="1">
        <v>2302.4499999999998</v>
      </c>
      <c r="L116" s="1">
        <v>0</v>
      </c>
    </row>
    <row r="117" spans="1:12" x14ac:dyDescent="0.35">
      <c r="A117" s="6" t="s">
        <v>634</v>
      </c>
      <c r="B117" s="1" t="str">
        <f t="shared" si="2"/>
        <v>Corumba IV</v>
      </c>
      <c r="C117" s="1">
        <f t="shared" si="3"/>
        <v>-2164</v>
      </c>
      <c r="D117" s="1">
        <v>0</v>
      </c>
      <c r="E117" s="1">
        <v>0</v>
      </c>
      <c r="F117" s="1">
        <v>0</v>
      </c>
      <c r="G117" s="1">
        <v>1.0918000000000001</v>
      </c>
      <c r="H117" s="1">
        <v>67.912999999999997</v>
      </c>
      <c r="I117" s="1">
        <v>4.4898999999999996</v>
      </c>
      <c r="J117" s="1">
        <v>64.514899999999997</v>
      </c>
      <c r="K117" s="1">
        <v>0</v>
      </c>
      <c r="L117" s="1">
        <v>0</v>
      </c>
    </row>
    <row r="118" spans="1:12" hidden="1" x14ac:dyDescent="0.35">
      <c r="A118" s="6" t="s">
        <v>635</v>
      </c>
      <c r="B118" s="1" t="str">
        <f t="shared" si="2"/>
        <v>Lago Paranoa</v>
      </c>
      <c r="C118" s="1">
        <f t="shared" si="3"/>
        <v>-2164</v>
      </c>
      <c r="D118" s="1">
        <v>0</v>
      </c>
      <c r="E118" s="1">
        <v>2302.4499999999998</v>
      </c>
      <c r="F118" s="1">
        <v>0.33879999999999999</v>
      </c>
      <c r="G118" s="1">
        <v>3.5807000000000002</v>
      </c>
      <c r="H118" s="1">
        <v>8.4847999999999999</v>
      </c>
      <c r="I118" s="1">
        <v>1.1294999999999999</v>
      </c>
      <c r="J118" s="1">
        <v>10.597099999999999</v>
      </c>
      <c r="K118" s="1">
        <v>2302.4499999999998</v>
      </c>
      <c r="L118" s="1">
        <v>0</v>
      </c>
    </row>
    <row r="119" spans="1:12" x14ac:dyDescent="0.35">
      <c r="A119" s="6" t="s">
        <v>636</v>
      </c>
      <c r="B119" s="1" t="str">
        <f t="shared" si="2"/>
        <v>Corumba IV</v>
      </c>
      <c r="C119" s="1">
        <f t="shared" si="3"/>
        <v>-2163</v>
      </c>
      <c r="D119" s="1">
        <v>0</v>
      </c>
      <c r="E119" s="1">
        <v>0</v>
      </c>
      <c r="F119" s="1">
        <v>0</v>
      </c>
      <c r="G119" s="1">
        <v>1.5936999999999999</v>
      </c>
      <c r="H119" s="1">
        <v>69.256500000000003</v>
      </c>
      <c r="I119" s="1">
        <v>4.0606999999999998</v>
      </c>
      <c r="J119" s="1">
        <v>66.789500000000004</v>
      </c>
      <c r="K119" s="1">
        <v>0</v>
      </c>
      <c r="L119" s="1">
        <v>0</v>
      </c>
    </row>
    <row r="120" spans="1:12" hidden="1" x14ac:dyDescent="0.35">
      <c r="A120" s="6" t="s">
        <v>637</v>
      </c>
      <c r="B120" s="1" t="str">
        <f t="shared" si="2"/>
        <v>Lago Paranoa</v>
      </c>
      <c r="C120" s="1">
        <f t="shared" si="3"/>
        <v>-2163</v>
      </c>
      <c r="D120" s="1">
        <v>0</v>
      </c>
      <c r="E120" s="1">
        <v>2302.4499999999998</v>
      </c>
      <c r="F120" s="1">
        <v>0.40600000000000003</v>
      </c>
      <c r="G120" s="1">
        <v>3.7046000000000001</v>
      </c>
      <c r="H120" s="1">
        <v>9.4061000000000003</v>
      </c>
      <c r="I120" s="1">
        <v>1.0861000000000001</v>
      </c>
      <c r="J120" s="1">
        <v>11.618600000000001</v>
      </c>
      <c r="K120" s="1">
        <v>2302.4499999999998</v>
      </c>
      <c r="L120" s="1">
        <v>0</v>
      </c>
    </row>
    <row r="121" spans="1:12" x14ac:dyDescent="0.35">
      <c r="A121" s="6" t="s">
        <v>638</v>
      </c>
      <c r="B121" s="1" t="str">
        <f t="shared" si="2"/>
        <v>Corumba IV</v>
      </c>
      <c r="C121" s="1">
        <f t="shared" si="3"/>
        <v>-2162</v>
      </c>
      <c r="D121" s="1">
        <v>0</v>
      </c>
      <c r="E121" s="1">
        <v>0</v>
      </c>
      <c r="F121" s="1">
        <v>0</v>
      </c>
      <c r="G121" s="1">
        <v>0.99519999999999997</v>
      </c>
      <c r="H121" s="1">
        <v>63.714799999999997</v>
      </c>
      <c r="I121" s="1">
        <v>4.3141999999999996</v>
      </c>
      <c r="J121" s="1">
        <v>60.395800000000001</v>
      </c>
      <c r="K121" s="1">
        <v>0</v>
      </c>
      <c r="L121" s="1">
        <v>0</v>
      </c>
    </row>
    <row r="122" spans="1:12" hidden="1" x14ac:dyDescent="0.35">
      <c r="A122" s="6" t="s">
        <v>639</v>
      </c>
      <c r="B122" s="1" t="str">
        <f t="shared" si="2"/>
        <v>Lago Paranoa</v>
      </c>
      <c r="C122" s="1">
        <f t="shared" si="3"/>
        <v>-2162</v>
      </c>
      <c r="D122" s="1">
        <v>0</v>
      </c>
      <c r="E122" s="1">
        <v>2302.4499999999998</v>
      </c>
      <c r="F122" s="1">
        <v>0.40629999999999999</v>
      </c>
      <c r="G122" s="1">
        <v>3.2406000000000001</v>
      </c>
      <c r="H122" s="1">
        <v>7.5622999999999996</v>
      </c>
      <c r="I122" s="1">
        <v>1.0186999999999999</v>
      </c>
      <c r="J122" s="1">
        <v>9.3779000000000003</v>
      </c>
      <c r="K122" s="1">
        <v>2302.4499999999998</v>
      </c>
      <c r="L122" s="1">
        <v>0</v>
      </c>
    </row>
    <row r="123" spans="1:12" x14ac:dyDescent="0.35">
      <c r="A123" s="6" t="s">
        <v>640</v>
      </c>
      <c r="B123" s="1" t="str">
        <f t="shared" si="2"/>
        <v>Corumba IV</v>
      </c>
      <c r="C123" s="1">
        <f t="shared" si="3"/>
        <v>-2161</v>
      </c>
      <c r="D123" s="1">
        <v>0</v>
      </c>
      <c r="E123" s="1">
        <v>0</v>
      </c>
      <c r="F123" s="1">
        <v>0</v>
      </c>
      <c r="G123" s="1">
        <v>0.85370000000000001</v>
      </c>
      <c r="H123" s="1">
        <v>59.268700000000003</v>
      </c>
      <c r="I123" s="1">
        <v>4.3684000000000003</v>
      </c>
      <c r="J123" s="1">
        <v>55.753999999999998</v>
      </c>
      <c r="K123" s="1">
        <v>0</v>
      </c>
      <c r="L123" s="1">
        <v>0</v>
      </c>
    </row>
    <row r="124" spans="1:12" hidden="1" x14ac:dyDescent="0.35">
      <c r="A124" s="6" t="s">
        <v>641</v>
      </c>
      <c r="B124" s="1" t="str">
        <f t="shared" si="2"/>
        <v>Lago Paranoa</v>
      </c>
      <c r="C124" s="1">
        <f t="shared" si="3"/>
        <v>-2161</v>
      </c>
      <c r="D124" s="1">
        <v>0</v>
      </c>
      <c r="E124" s="1">
        <v>2302.4499999999998</v>
      </c>
      <c r="F124" s="1">
        <v>0.40670000000000001</v>
      </c>
      <c r="G124" s="1">
        <v>3.2231999999999998</v>
      </c>
      <c r="H124" s="1">
        <v>7.29</v>
      </c>
      <c r="I124" s="1">
        <v>1.0086999999999999</v>
      </c>
      <c r="J124" s="1">
        <v>9.0978999999999992</v>
      </c>
      <c r="K124" s="1">
        <v>2302.4499999999998</v>
      </c>
      <c r="L124" s="1">
        <v>0</v>
      </c>
    </row>
    <row r="125" spans="1:12" x14ac:dyDescent="0.35">
      <c r="A125" s="6" t="s">
        <v>642</v>
      </c>
      <c r="B125" s="1" t="str">
        <f t="shared" si="2"/>
        <v>Corumba IV</v>
      </c>
      <c r="C125" s="1">
        <f t="shared" si="3"/>
        <v>-2160</v>
      </c>
      <c r="D125" s="1">
        <v>0</v>
      </c>
      <c r="E125" s="1">
        <v>0</v>
      </c>
      <c r="F125" s="1">
        <v>0</v>
      </c>
      <c r="G125" s="1">
        <v>0.81030000000000002</v>
      </c>
      <c r="H125" s="1">
        <v>55.658000000000001</v>
      </c>
      <c r="I125" s="1">
        <v>4.3684000000000003</v>
      </c>
      <c r="J125" s="1">
        <v>52.099899999999998</v>
      </c>
      <c r="K125" s="1">
        <v>0</v>
      </c>
      <c r="L125" s="1">
        <v>0</v>
      </c>
    </row>
    <row r="126" spans="1:12" hidden="1" x14ac:dyDescent="0.35">
      <c r="A126" s="6" t="s">
        <v>643</v>
      </c>
      <c r="B126" s="1" t="str">
        <f t="shared" si="2"/>
        <v>Lago Paranoa</v>
      </c>
      <c r="C126" s="1">
        <f t="shared" si="3"/>
        <v>-2160</v>
      </c>
      <c r="D126" s="1">
        <v>0</v>
      </c>
      <c r="E126" s="1">
        <v>2302.4499999999998</v>
      </c>
      <c r="F126" s="1">
        <v>0.40699999999999997</v>
      </c>
      <c r="G126" s="1">
        <v>3.2101000000000002</v>
      </c>
      <c r="H126" s="1">
        <v>7.1207000000000003</v>
      </c>
      <c r="I126" s="1">
        <v>1.0086999999999999</v>
      </c>
      <c r="J126" s="1">
        <v>8.9152000000000005</v>
      </c>
      <c r="K126" s="1">
        <v>2302.4499999999998</v>
      </c>
      <c r="L126" s="1">
        <v>0</v>
      </c>
    </row>
    <row r="127" spans="1:12" x14ac:dyDescent="0.35">
      <c r="A127" s="6" t="s">
        <v>644</v>
      </c>
      <c r="B127" s="1" t="str">
        <f t="shared" si="2"/>
        <v>Corumba IV</v>
      </c>
      <c r="C127" s="1">
        <f t="shared" si="3"/>
        <v>-2159</v>
      </c>
      <c r="D127" s="1">
        <v>0</v>
      </c>
      <c r="E127" s="1">
        <v>0</v>
      </c>
      <c r="F127" s="1">
        <v>0</v>
      </c>
      <c r="G127" s="1">
        <v>0.63370000000000004</v>
      </c>
      <c r="H127" s="1">
        <v>52.6297</v>
      </c>
      <c r="I127" s="1">
        <v>4.8056000000000001</v>
      </c>
      <c r="J127" s="1">
        <v>48.457799999999999</v>
      </c>
      <c r="K127" s="1">
        <v>0</v>
      </c>
      <c r="L127" s="1">
        <v>0</v>
      </c>
    </row>
    <row r="128" spans="1:12" hidden="1" x14ac:dyDescent="0.35">
      <c r="A128" s="6" t="s">
        <v>645</v>
      </c>
      <c r="B128" s="1" t="str">
        <f t="shared" si="2"/>
        <v>Lago Paranoa</v>
      </c>
      <c r="C128" s="1">
        <f t="shared" si="3"/>
        <v>-2159</v>
      </c>
      <c r="D128" s="1">
        <v>0</v>
      </c>
      <c r="E128" s="1">
        <v>2302.4499999999998</v>
      </c>
      <c r="F128" s="1">
        <v>0.4073</v>
      </c>
      <c r="G128" s="1">
        <v>3.1772999999999998</v>
      </c>
      <c r="H128" s="1">
        <v>6.9638</v>
      </c>
      <c r="I128" s="1">
        <v>1.1152</v>
      </c>
      <c r="J128" s="1">
        <v>8.6186000000000007</v>
      </c>
      <c r="K128" s="1">
        <v>2302.4499999999998</v>
      </c>
      <c r="L128" s="1">
        <v>0</v>
      </c>
    </row>
    <row r="129" spans="1:12" x14ac:dyDescent="0.35">
      <c r="A129" s="6" t="s">
        <v>646</v>
      </c>
      <c r="B129" s="1" t="str">
        <f t="shared" si="2"/>
        <v>Corumba IV</v>
      </c>
      <c r="C129" s="1">
        <f t="shared" si="3"/>
        <v>-2158</v>
      </c>
      <c r="D129" s="1">
        <v>0</v>
      </c>
      <c r="E129" s="1">
        <v>0</v>
      </c>
      <c r="F129" s="1">
        <v>0</v>
      </c>
      <c r="G129" s="1">
        <v>0.63290000000000002</v>
      </c>
      <c r="H129" s="1">
        <v>49.726700000000001</v>
      </c>
      <c r="I129" s="1">
        <v>5.1336000000000004</v>
      </c>
      <c r="J129" s="1">
        <v>45.225999999999999</v>
      </c>
      <c r="K129" s="1">
        <v>0</v>
      </c>
      <c r="L129" s="1">
        <v>0</v>
      </c>
    </row>
    <row r="130" spans="1:12" hidden="1" x14ac:dyDescent="0.35">
      <c r="A130" s="6" t="s">
        <v>647</v>
      </c>
      <c r="B130" s="1" t="str">
        <f t="shared" ref="B130:B187" si="4">_xlfn.TEXTBEFORE(_xlfn.TEXTAFTER(A130,"["),"]")</f>
        <v>Lago Paranoa</v>
      </c>
      <c r="C130" s="1">
        <f t="shared" ref="C130:C187" si="5">--_xlfn.TEXTBEFORE(_xlfn.TEXTAFTER(A130,"Week "),":")</f>
        <v>-2158</v>
      </c>
      <c r="D130" s="1">
        <v>0</v>
      </c>
      <c r="E130" s="1">
        <v>2302.4499999999998</v>
      </c>
      <c r="F130" s="1">
        <v>0.4234</v>
      </c>
      <c r="G130" s="1">
        <v>3.0907</v>
      </c>
      <c r="H130" s="1">
        <v>6.8005000000000004</v>
      </c>
      <c r="I130" s="1">
        <v>1.1951000000000001</v>
      </c>
      <c r="J130" s="1">
        <v>8.2727000000000004</v>
      </c>
      <c r="K130" s="1">
        <v>2302.4499999999998</v>
      </c>
      <c r="L130" s="1">
        <v>0</v>
      </c>
    </row>
    <row r="131" spans="1:12" x14ac:dyDescent="0.35">
      <c r="A131" s="6" t="s">
        <v>648</v>
      </c>
      <c r="B131" s="1" t="str">
        <f t="shared" si="4"/>
        <v>Corumba IV</v>
      </c>
      <c r="C131" s="1">
        <f t="shared" si="5"/>
        <v>-2157</v>
      </c>
      <c r="D131" s="1">
        <v>0</v>
      </c>
      <c r="E131" s="1">
        <v>0</v>
      </c>
      <c r="F131" s="1">
        <v>0</v>
      </c>
      <c r="G131" s="1">
        <v>0.46879999999999999</v>
      </c>
      <c r="H131" s="1">
        <v>47.7239</v>
      </c>
      <c r="I131" s="1">
        <v>5.1336000000000004</v>
      </c>
      <c r="J131" s="1">
        <v>43.059100000000001</v>
      </c>
      <c r="K131" s="1">
        <v>0</v>
      </c>
      <c r="L131" s="1">
        <v>0</v>
      </c>
    </row>
    <row r="132" spans="1:12" hidden="1" x14ac:dyDescent="0.35">
      <c r="A132" s="6" t="s">
        <v>649</v>
      </c>
      <c r="B132" s="1" t="str">
        <f t="shared" si="4"/>
        <v>Lago Paranoa</v>
      </c>
      <c r="C132" s="1">
        <f t="shared" si="5"/>
        <v>-2157</v>
      </c>
      <c r="D132" s="1">
        <v>0</v>
      </c>
      <c r="E132" s="1">
        <v>2302.4499999999998</v>
      </c>
      <c r="F132" s="1">
        <v>0.4234</v>
      </c>
      <c r="G132" s="1">
        <v>3.1261000000000001</v>
      </c>
      <c r="H132" s="1">
        <v>6.7481999999999998</v>
      </c>
      <c r="I132" s="1">
        <v>1.1951000000000001</v>
      </c>
      <c r="J132" s="1">
        <v>8.2559000000000005</v>
      </c>
      <c r="K132" s="1">
        <v>2302.4499999999998</v>
      </c>
      <c r="L132" s="1">
        <v>0</v>
      </c>
    </row>
    <row r="133" spans="1:12" x14ac:dyDescent="0.35">
      <c r="A133" s="6" t="s">
        <v>650</v>
      </c>
      <c r="B133" s="1" t="str">
        <f t="shared" si="4"/>
        <v>Corumba IV</v>
      </c>
      <c r="C133" s="1">
        <f t="shared" si="5"/>
        <v>-2156</v>
      </c>
      <c r="D133" s="1">
        <v>0</v>
      </c>
      <c r="E133" s="1">
        <v>0</v>
      </c>
      <c r="F133" s="1">
        <v>0</v>
      </c>
      <c r="G133" s="1">
        <v>0.45479999999999998</v>
      </c>
      <c r="H133" s="1">
        <v>46.274099999999997</v>
      </c>
      <c r="I133" s="1">
        <v>5.1336000000000004</v>
      </c>
      <c r="J133" s="1">
        <v>41.595300000000002</v>
      </c>
      <c r="K133" s="1">
        <v>0</v>
      </c>
      <c r="L133" s="1">
        <v>0</v>
      </c>
    </row>
    <row r="134" spans="1:12" hidden="1" x14ac:dyDescent="0.35">
      <c r="A134" s="6" t="s">
        <v>651</v>
      </c>
      <c r="B134" s="1" t="str">
        <f t="shared" si="4"/>
        <v>Lago Paranoa</v>
      </c>
      <c r="C134" s="1">
        <f t="shared" si="5"/>
        <v>-2156</v>
      </c>
      <c r="D134" s="1">
        <v>0</v>
      </c>
      <c r="E134" s="1">
        <v>2302.4499999999998</v>
      </c>
      <c r="F134" s="1">
        <v>0.4234</v>
      </c>
      <c r="G134" s="1">
        <v>3.0030000000000001</v>
      </c>
      <c r="H134" s="1">
        <v>6.6657999999999999</v>
      </c>
      <c r="I134" s="1">
        <v>1.1951000000000001</v>
      </c>
      <c r="J134" s="1">
        <v>8.0503</v>
      </c>
      <c r="K134" s="1">
        <v>2302.4499999999998</v>
      </c>
      <c r="L134" s="1">
        <v>0</v>
      </c>
    </row>
    <row r="135" spans="1:12" x14ac:dyDescent="0.35">
      <c r="A135" s="6" t="s">
        <v>652</v>
      </c>
      <c r="B135" s="1" t="str">
        <f t="shared" si="4"/>
        <v>Corumba IV</v>
      </c>
      <c r="C135" s="1">
        <f t="shared" si="5"/>
        <v>-2155</v>
      </c>
      <c r="D135" s="1">
        <v>0</v>
      </c>
      <c r="E135" s="1">
        <v>0</v>
      </c>
      <c r="F135" s="1">
        <v>0</v>
      </c>
      <c r="G135" s="1">
        <v>0.43030000000000002</v>
      </c>
      <c r="H135" s="1">
        <v>44.370699999999999</v>
      </c>
      <c r="I135" s="1">
        <v>5.2717999999999998</v>
      </c>
      <c r="J135" s="1">
        <v>39.529200000000003</v>
      </c>
      <c r="K135" s="1">
        <v>0</v>
      </c>
      <c r="L135" s="1">
        <v>0</v>
      </c>
    </row>
    <row r="136" spans="1:12" hidden="1" x14ac:dyDescent="0.35">
      <c r="A136" s="6" t="s">
        <v>653</v>
      </c>
      <c r="B136" s="1" t="str">
        <f t="shared" si="4"/>
        <v>Lago Paranoa</v>
      </c>
      <c r="C136" s="1">
        <f t="shared" si="5"/>
        <v>-2155</v>
      </c>
      <c r="D136" s="1">
        <v>0</v>
      </c>
      <c r="E136" s="1">
        <v>2302.4499999999998</v>
      </c>
      <c r="F136" s="1">
        <v>0.4234</v>
      </c>
      <c r="G136" s="1">
        <v>2.8786999999999998</v>
      </c>
      <c r="H136" s="1">
        <v>6.5484999999999998</v>
      </c>
      <c r="I136" s="1">
        <v>1.2522</v>
      </c>
      <c r="J136" s="1">
        <v>7.7516999999999996</v>
      </c>
      <c r="K136" s="1">
        <v>2302.4499999999998</v>
      </c>
      <c r="L136" s="1">
        <v>0</v>
      </c>
    </row>
    <row r="137" spans="1:12" x14ac:dyDescent="0.35">
      <c r="A137" s="6" t="s">
        <v>654</v>
      </c>
      <c r="B137" s="1" t="str">
        <f t="shared" si="4"/>
        <v>Corumba IV</v>
      </c>
      <c r="C137" s="1">
        <f t="shared" si="5"/>
        <v>-2154</v>
      </c>
      <c r="D137" s="1">
        <v>0</v>
      </c>
      <c r="E137" s="1">
        <v>0</v>
      </c>
      <c r="F137" s="1">
        <v>0</v>
      </c>
      <c r="G137" s="1">
        <v>0.42959999999999998</v>
      </c>
      <c r="H137" s="1">
        <v>41.778700000000001</v>
      </c>
      <c r="I137" s="1">
        <v>5.8844000000000003</v>
      </c>
      <c r="J137" s="1">
        <v>36.323999999999998</v>
      </c>
      <c r="K137" s="1">
        <v>0</v>
      </c>
      <c r="L137" s="1">
        <v>0</v>
      </c>
    </row>
    <row r="138" spans="1:12" hidden="1" x14ac:dyDescent="0.35">
      <c r="A138" s="6" t="s">
        <v>655</v>
      </c>
      <c r="B138" s="1" t="str">
        <f t="shared" si="4"/>
        <v>Lago Paranoa</v>
      </c>
      <c r="C138" s="1">
        <f t="shared" si="5"/>
        <v>-2154</v>
      </c>
      <c r="D138" s="1">
        <v>0</v>
      </c>
      <c r="E138" s="1">
        <v>2302.4499999999998</v>
      </c>
      <c r="F138" s="1">
        <v>0.4234</v>
      </c>
      <c r="G138" s="1">
        <v>2.8502000000000001</v>
      </c>
      <c r="H138" s="1">
        <v>6.1454000000000004</v>
      </c>
      <c r="I138" s="1">
        <v>1.5214000000000001</v>
      </c>
      <c r="J138" s="1">
        <v>7.0507999999999997</v>
      </c>
      <c r="K138" s="1">
        <v>2302.4499999999998</v>
      </c>
      <c r="L138" s="1">
        <v>0</v>
      </c>
    </row>
    <row r="139" spans="1:12" x14ac:dyDescent="0.35">
      <c r="A139" s="6" t="s">
        <v>656</v>
      </c>
      <c r="B139" s="1" t="str">
        <f t="shared" si="4"/>
        <v>Corumba IV</v>
      </c>
      <c r="C139" s="1">
        <f t="shared" si="5"/>
        <v>-2153</v>
      </c>
      <c r="D139" s="1">
        <v>0</v>
      </c>
      <c r="E139" s="1">
        <v>0</v>
      </c>
      <c r="F139" s="1">
        <v>0</v>
      </c>
      <c r="G139" s="1">
        <v>0.3629</v>
      </c>
      <c r="H139" s="1">
        <v>39.5608</v>
      </c>
      <c r="I139" s="1">
        <v>6.1016000000000004</v>
      </c>
      <c r="J139" s="1">
        <v>33.822200000000002</v>
      </c>
      <c r="K139" s="1">
        <v>0</v>
      </c>
      <c r="L139" s="1">
        <v>0</v>
      </c>
    </row>
    <row r="140" spans="1:12" hidden="1" x14ac:dyDescent="0.35">
      <c r="A140" s="6" t="s">
        <v>657</v>
      </c>
      <c r="B140" s="1" t="str">
        <f t="shared" si="4"/>
        <v>Lago Paranoa</v>
      </c>
      <c r="C140" s="1">
        <f t="shared" si="5"/>
        <v>-2153</v>
      </c>
      <c r="D140" s="1">
        <v>0</v>
      </c>
      <c r="E140" s="1">
        <v>2302.4499999999998</v>
      </c>
      <c r="F140" s="1">
        <v>0.4234</v>
      </c>
      <c r="G140" s="1">
        <v>2.8401000000000001</v>
      </c>
      <c r="H140" s="1">
        <v>5.8059000000000003</v>
      </c>
      <c r="I140" s="1">
        <v>1.5949</v>
      </c>
      <c r="J140" s="1">
        <v>6.6276999999999999</v>
      </c>
      <c r="K140" s="1">
        <v>2302.4499999999998</v>
      </c>
      <c r="L140" s="1">
        <v>0</v>
      </c>
    </row>
    <row r="141" spans="1:12" x14ac:dyDescent="0.35">
      <c r="A141" s="6" t="s">
        <v>658</v>
      </c>
      <c r="B141" s="1" t="str">
        <f t="shared" si="4"/>
        <v>Corumba IV</v>
      </c>
      <c r="C141" s="1">
        <f t="shared" si="5"/>
        <v>-2152</v>
      </c>
      <c r="D141" s="1">
        <v>0</v>
      </c>
      <c r="E141" s="1">
        <v>0</v>
      </c>
      <c r="F141" s="1">
        <v>0</v>
      </c>
      <c r="G141" s="1">
        <v>0.3629</v>
      </c>
      <c r="H141" s="1">
        <v>37.6462</v>
      </c>
      <c r="I141" s="1">
        <v>6.1016000000000004</v>
      </c>
      <c r="J141" s="1">
        <v>31.907499999999999</v>
      </c>
      <c r="K141" s="1">
        <v>0</v>
      </c>
      <c r="L141" s="1">
        <v>0</v>
      </c>
    </row>
    <row r="142" spans="1:12" hidden="1" x14ac:dyDescent="0.35">
      <c r="A142" s="6" t="s">
        <v>659</v>
      </c>
      <c r="B142" s="1" t="str">
        <f t="shared" si="4"/>
        <v>Lago Paranoa</v>
      </c>
      <c r="C142" s="1">
        <f t="shared" si="5"/>
        <v>-2152</v>
      </c>
      <c r="D142" s="1">
        <v>0</v>
      </c>
      <c r="E142" s="1">
        <v>2302.4499999999998</v>
      </c>
      <c r="F142" s="1">
        <v>0.4234</v>
      </c>
      <c r="G142" s="1">
        <v>2.7486000000000002</v>
      </c>
      <c r="H142" s="1">
        <v>5.6955</v>
      </c>
      <c r="I142" s="1">
        <v>1.5949</v>
      </c>
      <c r="J142" s="1">
        <v>6.4257999999999997</v>
      </c>
      <c r="K142" s="1">
        <v>2302.4499999999998</v>
      </c>
      <c r="L142" s="1">
        <v>0</v>
      </c>
    </row>
    <row r="143" spans="1:12" x14ac:dyDescent="0.35">
      <c r="A143" s="6" t="s">
        <v>660</v>
      </c>
      <c r="B143" s="1" t="str">
        <f t="shared" si="4"/>
        <v>Corumba IV</v>
      </c>
      <c r="C143" s="1">
        <f t="shared" si="5"/>
        <v>-2151</v>
      </c>
      <c r="D143" s="1">
        <v>0</v>
      </c>
      <c r="E143" s="1">
        <v>0</v>
      </c>
      <c r="F143" s="1">
        <v>0</v>
      </c>
      <c r="G143" s="1">
        <v>0.3629</v>
      </c>
      <c r="H143" s="1">
        <v>32.490699999999997</v>
      </c>
      <c r="I143" s="1">
        <v>6.1016000000000004</v>
      </c>
      <c r="J143" s="1">
        <v>26.751999999999999</v>
      </c>
      <c r="K143" s="1">
        <v>0</v>
      </c>
      <c r="L143" s="1">
        <v>0</v>
      </c>
    </row>
    <row r="144" spans="1:12" hidden="1" x14ac:dyDescent="0.35">
      <c r="A144" s="6" t="s">
        <v>661</v>
      </c>
      <c r="B144" s="1" t="str">
        <f t="shared" si="4"/>
        <v>Lago Paranoa</v>
      </c>
      <c r="C144" s="1">
        <f t="shared" si="5"/>
        <v>-2151</v>
      </c>
      <c r="D144" s="1">
        <v>0</v>
      </c>
      <c r="E144" s="1">
        <v>2302.4499999999998</v>
      </c>
      <c r="F144" s="1">
        <v>0.4234</v>
      </c>
      <c r="G144" s="1">
        <v>2.5499000000000001</v>
      </c>
      <c r="H144" s="1">
        <v>5.4535999999999998</v>
      </c>
      <c r="I144" s="1">
        <v>1.5949</v>
      </c>
      <c r="J144" s="1">
        <v>5.9852999999999996</v>
      </c>
      <c r="K144" s="1">
        <v>2302.4499999999998</v>
      </c>
      <c r="L144" s="1">
        <v>0</v>
      </c>
    </row>
    <row r="145" spans="1:12" x14ac:dyDescent="0.35">
      <c r="A145" s="6" t="s">
        <v>662</v>
      </c>
      <c r="B145" s="1" t="str">
        <f t="shared" si="4"/>
        <v>Corumba IV</v>
      </c>
      <c r="C145" s="1">
        <f t="shared" si="5"/>
        <v>-2150</v>
      </c>
      <c r="D145" s="1">
        <v>0</v>
      </c>
      <c r="E145" s="1">
        <v>0</v>
      </c>
      <c r="F145" s="1">
        <v>0</v>
      </c>
      <c r="G145" s="1">
        <v>0.3629</v>
      </c>
      <c r="H145" s="1">
        <v>30.859500000000001</v>
      </c>
      <c r="I145" s="1">
        <v>5.7041000000000004</v>
      </c>
      <c r="J145" s="1">
        <v>25.5182</v>
      </c>
      <c r="K145" s="1">
        <v>0</v>
      </c>
      <c r="L145" s="1">
        <v>0</v>
      </c>
    </row>
    <row r="146" spans="1:12" hidden="1" x14ac:dyDescent="0.35">
      <c r="A146" s="6" t="s">
        <v>663</v>
      </c>
      <c r="B146" s="1" t="str">
        <f t="shared" si="4"/>
        <v>Lago Paranoa</v>
      </c>
      <c r="C146" s="1">
        <f t="shared" si="5"/>
        <v>-2150</v>
      </c>
      <c r="D146" s="1">
        <v>0</v>
      </c>
      <c r="E146" s="1">
        <v>2302.4499999999998</v>
      </c>
      <c r="F146" s="1">
        <v>0.4234</v>
      </c>
      <c r="G146" s="1">
        <v>2.8580000000000001</v>
      </c>
      <c r="H146" s="1">
        <v>6.1616</v>
      </c>
      <c r="I146" s="1">
        <v>1.4558</v>
      </c>
      <c r="J146" s="1">
        <v>7.1403999999999996</v>
      </c>
      <c r="K146" s="1">
        <v>2302.4499999999998</v>
      </c>
      <c r="L146" s="1">
        <v>0</v>
      </c>
    </row>
    <row r="147" spans="1:12" x14ac:dyDescent="0.35">
      <c r="A147" s="6" t="s">
        <v>664</v>
      </c>
      <c r="B147" s="1" t="str">
        <f t="shared" si="4"/>
        <v>Corumba IV</v>
      </c>
      <c r="C147" s="1">
        <f t="shared" si="5"/>
        <v>-2149</v>
      </c>
      <c r="D147" s="1">
        <v>0</v>
      </c>
      <c r="E147" s="1">
        <v>0</v>
      </c>
      <c r="F147" s="1">
        <v>0</v>
      </c>
      <c r="G147" s="1">
        <v>0.3629</v>
      </c>
      <c r="H147" s="1">
        <v>31.7606</v>
      </c>
      <c r="I147" s="1">
        <v>5.7545000000000002</v>
      </c>
      <c r="J147" s="1">
        <v>26.369</v>
      </c>
      <c r="K147" s="1">
        <v>0</v>
      </c>
      <c r="L147" s="1">
        <v>0</v>
      </c>
    </row>
    <row r="148" spans="1:12" hidden="1" x14ac:dyDescent="0.35">
      <c r="A148" s="6" t="s">
        <v>665</v>
      </c>
      <c r="B148" s="1" t="str">
        <f t="shared" si="4"/>
        <v>Lago Paranoa</v>
      </c>
      <c r="C148" s="1">
        <f t="shared" si="5"/>
        <v>-2149</v>
      </c>
      <c r="D148" s="1">
        <v>0</v>
      </c>
      <c r="E148" s="1">
        <v>2302.4499999999998</v>
      </c>
      <c r="F148" s="1">
        <v>0.4234</v>
      </c>
      <c r="G148" s="1">
        <v>3.0063</v>
      </c>
      <c r="H148" s="1">
        <v>5.9462000000000002</v>
      </c>
      <c r="I148" s="1">
        <v>1.4420999999999999</v>
      </c>
      <c r="J148" s="1">
        <v>7.0871000000000004</v>
      </c>
      <c r="K148" s="1">
        <v>2302.4499999999998</v>
      </c>
      <c r="L148" s="1">
        <v>0</v>
      </c>
    </row>
    <row r="149" spans="1:12" x14ac:dyDescent="0.35">
      <c r="A149" s="6" t="s">
        <v>666</v>
      </c>
      <c r="B149" s="1" t="str">
        <f t="shared" si="4"/>
        <v>Corumba IV</v>
      </c>
      <c r="C149" s="1">
        <f t="shared" si="5"/>
        <v>-2148</v>
      </c>
      <c r="D149" s="1">
        <v>0</v>
      </c>
      <c r="E149" s="1">
        <v>0</v>
      </c>
      <c r="F149" s="1">
        <v>0</v>
      </c>
      <c r="G149" s="1">
        <v>0.3629</v>
      </c>
      <c r="H149" s="1">
        <v>30.969200000000001</v>
      </c>
      <c r="I149" s="1">
        <v>5.7545000000000002</v>
      </c>
      <c r="J149" s="1">
        <v>25.5776</v>
      </c>
      <c r="K149" s="1">
        <v>0</v>
      </c>
      <c r="L149" s="1">
        <v>0</v>
      </c>
    </row>
    <row r="150" spans="1:12" hidden="1" x14ac:dyDescent="0.35">
      <c r="A150" s="6" t="s">
        <v>667</v>
      </c>
      <c r="B150" s="1" t="str">
        <f t="shared" si="4"/>
        <v>Lago Paranoa</v>
      </c>
      <c r="C150" s="1">
        <f t="shared" si="5"/>
        <v>-2148</v>
      </c>
      <c r="D150" s="1">
        <v>0</v>
      </c>
      <c r="E150" s="1">
        <v>2302.4499999999998</v>
      </c>
      <c r="F150" s="1">
        <v>0.4234</v>
      </c>
      <c r="G150" s="1">
        <v>2.7948</v>
      </c>
      <c r="H150" s="1">
        <v>6.3720999999999997</v>
      </c>
      <c r="I150" s="1">
        <v>1.4420999999999999</v>
      </c>
      <c r="J150" s="1">
        <v>7.3014999999999999</v>
      </c>
      <c r="K150" s="1">
        <v>2302.4499999999998</v>
      </c>
      <c r="L150" s="1">
        <v>0</v>
      </c>
    </row>
    <row r="151" spans="1:12" x14ac:dyDescent="0.35">
      <c r="A151" s="6" t="s">
        <v>668</v>
      </c>
      <c r="B151" s="1" t="str">
        <f t="shared" si="4"/>
        <v>Corumba IV</v>
      </c>
      <c r="C151" s="1">
        <f t="shared" si="5"/>
        <v>-2147</v>
      </c>
      <c r="D151" s="1">
        <v>0</v>
      </c>
      <c r="E151" s="1">
        <v>0</v>
      </c>
      <c r="F151" s="1">
        <v>0</v>
      </c>
      <c r="G151" s="1">
        <v>0.3629</v>
      </c>
      <c r="H151" s="1">
        <v>37.304099999999998</v>
      </c>
      <c r="I151" s="1">
        <v>5.7545000000000002</v>
      </c>
      <c r="J151" s="1">
        <v>31.912400000000002</v>
      </c>
      <c r="K151" s="1">
        <v>0</v>
      </c>
      <c r="L151" s="1">
        <v>0</v>
      </c>
    </row>
    <row r="152" spans="1:12" hidden="1" x14ac:dyDescent="0.35">
      <c r="A152" s="6" t="s">
        <v>669</v>
      </c>
      <c r="B152" s="1" t="str">
        <f t="shared" si="4"/>
        <v>Lago Paranoa</v>
      </c>
      <c r="C152" s="1">
        <f t="shared" si="5"/>
        <v>-2147</v>
      </c>
      <c r="D152" s="1">
        <v>0</v>
      </c>
      <c r="E152" s="1">
        <v>2302.4499999999998</v>
      </c>
      <c r="F152" s="1">
        <v>0.4234</v>
      </c>
      <c r="G152" s="1">
        <v>3.1048</v>
      </c>
      <c r="H152" s="1">
        <v>6.5883000000000003</v>
      </c>
      <c r="I152" s="1">
        <v>1.4420999999999999</v>
      </c>
      <c r="J152" s="1">
        <v>7.8277000000000001</v>
      </c>
      <c r="K152" s="1">
        <v>2302.4499999999998</v>
      </c>
      <c r="L152" s="1">
        <v>0</v>
      </c>
    </row>
    <row r="153" spans="1:12" x14ac:dyDescent="0.35">
      <c r="A153" s="6" t="s">
        <v>670</v>
      </c>
      <c r="B153" s="1" t="str">
        <f t="shared" si="4"/>
        <v>Corumba IV</v>
      </c>
      <c r="C153" s="1">
        <f t="shared" si="5"/>
        <v>-2146</v>
      </c>
      <c r="D153" s="1">
        <v>0</v>
      </c>
      <c r="E153" s="1">
        <v>0</v>
      </c>
      <c r="F153" s="1">
        <v>0</v>
      </c>
      <c r="G153" s="1">
        <v>0.3629</v>
      </c>
      <c r="H153" s="1">
        <v>39.403599999999997</v>
      </c>
      <c r="I153" s="1">
        <v>5.4008000000000003</v>
      </c>
      <c r="J153" s="1">
        <v>34.365699999999997</v>
      </c>
      <c r="K153" s="1">
        <v>0</v>
      </c>
      <c r="L153" s="1">
        <v>0</v>
      </c>
    </row>
    <row r="154" spans="1:12" hidden="1" x14ac:dyDescent="0.35">
      <c r="A154" s="6" t="s">
        <v>671</v>
      </c>
      <c r="B154" s="1" t="str">
        <f t="shared" si="4"/>
        <v>Lago Paranoa</v>
      </c>
      <c r="C154" s="1">
        <f t="shared" si="5"/>
        <v>-2146</v>
      </c>
      <c r="D154" s="1">
        <v>0</v>
      </c>
      <c r="E154" s="1">
        <v>2302.4499999999998</v>
      </c>
      <c r="F154" s="1">
        <v>0.4234</v>
      </c>
      <c r="G154" s="1">
        <v>2.4224999999999999</v>
      </c>
      <c r="H154" s="1">
        <v>4.8152999999999997</v>
      </c>
      <c r="I154" s="1">
        <v>1.3101</v>
      </c>
      <c r="J154" s="1">
        <v>5.5042</v>
      </c>
      <c r="K154" s="1">
        <v>2302.4499999999998</v>
      </c>
      <c r="L154" s="1">
        <v>0</v>
      </c>
    </row>
    <row r="155" spans="1:12" x14ac:dyDescent="0.35">
      <c r="A155" s="6" t="s">
        <v>672</v>
      </c>
      <c r="B155" s="1" t="str">
        <f t="shared" si="4"/>
        <v>Corumba IV</v>
      </c>
      <c r="C155" s="1">
        <f t="shared" si="5"/>
        <v>-2145</v>
      </c>
      <c r="D155" s="1">
        <v>0</v>
      </c>
      <c r="E155" s="1">
        <v>0</v>
      </c>
      <c r="F155" s="1">
        <v>0</v>
      </c>
      <c r="G155" s="1">
        <v>0.3629</v>
      </c>
      <c r="H155" s="1">
        <v>37.805199999999999</v>
      </c>
      <c r="I155" s="1">
        <v>4.8598999999999997</v>
      </c>
      <c r="J155" s="1">
        <v>33.308100000000003</v>
      </c>
      <c r="K155" s="1">
        <v>0</v>
      </c>
      <c r="L155" s="1">
        <v>0</v>
      </c>
    </row>
    <row r="156" spans="1:12" hidden="1" x14ac:dyDescent="0.35">
      <c r="A156" s="6" t="s">
        <v>673</v>
      </c>
      <c r="B156" s="1" t="str">
        <f t="shared" si="4"/>
        <v>Lago Paranoa</v>
      </c>
      <c r="C156" s="1">
        <f t="shared" si="5"/>
        <v>-2145</v>
      </c>
      <c r="D156" s="1">
        <v>0</v>
      </c>
      <c r="E156" s="1">
        <v>2302.4499999999998</v>
      </c>
      <c r="F156" s="1">
        <v>0.4234</v>
      </c>
      <c r="G156" s="1">
        <v>2.4603000000000002</v>
      </c>
      <c r="H156" s="1">
        <v>4.9557000000000002</v>
      </c>
      <c r="I156" s="1">
        <v>1.1257999999999999</v>
      </c>
      <c r="J156" s="1">
        <v>5.8667999999999996</v>
      </c>
      <c r="K156" s="1">
        <v>2302.4499999999998</v>
      </c>
      <c r="L156" s="1">
        <v>0</v>
      </c>
    </row>
    <row r="157" spans="1:12" x14ac:dyDescent="0.35">
      <c r="A157" s="6" t="s">
        <v>674</v>
      </c>
      <c r="B157" s="1" t="str">
        <f t="shared" si="4"/>
        <v>Corumba IV</v>
      </c>
      <c r="C157" s="1">
        <f t="shared" si="5"/>
        <v>-2144</v>
      </c>
      <c r="D157" s="1">
        <v>0</v>
      </c>
      <c r="E157" s="1">
        <v>0</v>
      </c>
      <c r="F157" s="1">
        <v>0</v>
      </c>
      <c r="G157" s="1">
        <v>0.3629</v>
      </c>
      <c r="H157" s="1">
        <v>37.319600000000001</v>
      </c>
      <c r="I157" s="1">
        <v>4.8598999999999997</v>
      </c>
      <c r="J157" s="1">
        <v>32.822600000000001</v>
      </c>
      <c r="K157" s="1">
        <v>0</v>
      </c>
      <c r="L157" s="1">
        <v>0</v>
      </c>
    </row>
    <row r="158" spans="1:12" hidden="1" x14ac:dyDescent="0.35">
      <c r="A158" s="6" t="s">
        <v>675</v>
      </c>
      <c r="B158" s="1" t="str">
        <f t="shared" si="4"/>
        <v>Lago Paranoa</v>
      </c>
      <c r="C158" s="1">
        <f t="shared" si="5"/>
        <v>-2144</v>
      </c>
      <c r="D158" s="1">
        <v>0</v>
      </c>
      <c r="E158" s="1">
        <v>2302.4499999999998</v>
      </c>
      <c r="F158" s="1">
        <v>0.4234</v>
      </c>
      <c r="G158" s="1">
        <v>2.7864</v>
      </c>
      <c r="H158" s="1">
        <v>5.9126000000000003</v>
      </c>
      <c r="I158" s="1">
        <v>1.1257999999999999</v>
      </c>
      <c r="J158" s="1">
        <v>7.1498999999999997</v>
      </c>
      <c r="K158" s="1">
        <v>2302.4499999999998</v>
      </c>
      <c r="L158" s="1">
        <v>0</v>
      </c>
    </row>
    <row r="159" spans="1:12" x14ac:dyDescent="0.35">
      <c r="A159" s="6" t="s">
        <v>676</v>
      </c>
      <c r="B159" s="1" t="str">
        <f t="shared" si="4"/>
        <v>Corumba IV</v>
      </c>
      <c r="C159" s="1">
        <f t="shared" si="5"/>
        <v>-2143</v>
      </c>
      <c r="D159" s="1">
        <v>0</v>
      </c>
      <c r="E159" s="1">
        <v>0</v>
      </c>
      <c r="F159" s="1">
        <v>0</v>
      </c>
      <c r="G159" s="1">
        <v>0.3629</v>
      </c>
      <c r="H159" s="1">
        <v>48.326999999999998</v>
      </c>
      <c r="I159" s="1">
        <v>4.8598999999999997</v>
      </c>
      <c r="J159" s="1">
        <v>43.829900000000002</v>
      </c>
      <c r="K159" s="1">
        <v>0</v>
      </c>
      <c r="L159" s="1">
        <v>0</v>
      </c>
    </row>
    <row r="160" spans="1:12" hidden="1" x14ac:dyDescent="0.35">
      <c r="A160" s="6" t="s">
        <v>677</v>
      </c>
      <c r="B160" s="1" t="str">
        <f t="shared" si="4"/>
        <v>Lago Paranoa</v>
      </c>
      <c r="C160" s="1">
        <f t="shared" si="5"/>
        <v>-2143</v>
      </c>
      <c r="D160" s="1">
        <v>0</v>
      </c>
      <c r="E160" s="1">
        <v>2302.4499999999998</v>
      </c>
      <c r="F160" s="1">
        <v>0.4234</v>
      </c>
      <c r="G160" s="1">
        <v>2.6884000000000001</v>
      </c>
      <c r="H160" s="1">
        <v>5.8253000000000004</v>
      </c>
      <c r="I160" s="1">
        <v>1.1257999999999999</v>
      </c>
      <c r="J160" s="1">
        <v>6.9645999999999999</v>
      </c>
      <c r="K160" s="1">
        <v>2302.4499999999998</v>
      </c>
      <c r="L160" s="1">
        <v>0</v>
      </c>
    </row>
    <row r="161" spans="1:12" x14ac:dyDescent="0.35">
      <c r="A161" s="6" t="s">
        <v>678</v>
      </c>
      <c r="B161" s="1" t="str">
        <f t="shared" si="4"/>
        <v>Corumba IV</v>
      </c>
      <c r="C161" s="1">
        <f t="shared" si="5"/>
        <v>-2142</v>
      </c>
      <c r="D161" s="1">
        <v>0</v>
      </c>
      <c r="E161" s="1">
        <v>0</v>
      </c>
      <c r="F161" s="1">
        <v>0</v>
      </c>
      <c r="G161" s="1">
        <v>0.3629</v>
      </c>
      <c r="H161" s="1">
        <v>41.3735</v>
      </c>
      <c r="I161" s="1">
        <v>4.8598999999999997</v>
      </c>
      <c r="J161" s="1">
        <v>36.8765</v>
      </c>
      <c r="K161" s="1">
        <v>0</v>
      </c>
      <c r="L161" s="1">
        <v>0</v>
      </c>
    </row>
    <row r="162" spans="1:12" hidden="1" x14ac:dyDescent="0.35">
      <c r="A162" s="6" t="s">
        <v>679</v>
      </c>
      <c r="B162" s="1" t="str">
        <f t="shared" si="4"/>
        <v>Lago Paranoa</v>
      </c>
      <c r="C162" s="1">
        <f t="shared" si="5"/>
        <v>-2142</v>
      </c>
      <c r="D162" s="1">
        <v>0</v>
      </c>
      <c r="E162" s="1">
        <v>2302.4499999999998</v>
      </c>
      <c r="F162" s="1">
        <v>0.4234</v>
      </c>
      <c r="G162" s="1">
        <v>2.4371999999999998</v>
      </c>
      <c r="H162" s="1">
        <v>5.0933999999999999</v>
      </c>
      <c r="I162" s="1">
        <v>1.1257999999999999</v>
      </c>
      <c r="J162" s="1">
        <v>5.9814999999999996</v>
      </c>
      <c r="K162" s="1">
        <v>2302.4499999999998</v>
      </c>
      <c r="L162" s="1">
        <v>0</v>
      </c>
    </row>
    <row r="163" spans="1:12" x14ac:dyDescent="0.35">
      <c r="A163" s="6" t="s">
        <v>680</v>
      </c>
      <c r="B163" s="1" t="str">
        <f t="shared" si="4"/>
        <v>Corumba IV</v>
      </c>
      <c r="C163" s="1">
        <f t="shared" si="5"/>
        <v>-2141</v>
      </c>
      <c r="D163" s="1">
        <v>0</v>
      </c>
      <c r="E163" s="1">
        <v>0</v>
      </c>
      <c r="F163" s="1">
        <v>0</v>
      </c>
      <c r="G163" s="1">
        <v>0.3629</v>
      </c>
      <c r="H163" s="1">
        <v>35.929400000000001</v>
      </c>
      <c r="I163" s="1">
        <v>4.7104999999999997</v>
      </c>
      <c r="J163" s="1">
        <v>31.581800000000001</v>
      </c>
      <c r="K163" s="1">
        <v>0</v>
      </c>
      <c r="L163" s="1">
        <v>0</v>
      </c>
    </row>
    <row r="164" spans="1:12" hidden="1" x14ac:dyDescent="0.35">
      <c r="A164" s="6" t="s">
        <v>681</v>
      </c>
      <c r="B164" s="1" t="str">
        <f t="shared" si="4"/>
        <v>Lago Paranoa</v>
      </c>
      <c r="C164" s="1">
        <f t="shared" si="5"/>
        <v>-2141</v>
      </c>
      <c r="D164" s="1">
        <v>0</v>
      </c>
      <c r="E164" s="1">
        <v>2302.4499999999998</v>
      </c>
      <c r="F164" s="1">
        <v>0.4234</v>
      </c>
      <c r="G164" s="1">
        <v>3.3875999999999999</v>
      </c>
      <c r="H164" s="1">
        <v>7.2083000000000004</v>
      </c>
      <c r="I164" s="1">
        <v>1.0278</v>
      </c>
      <c r="J164" s="1">
        <v>9.1447000000000003</v>
      </c>
      <c r="K164" s="1">
        <v>2302.4499999999998</v>
      </c>
      <c r="L164" s="1">
        <v>0</v>
      </c>
    </row>
    <row r="165" spans="1:12" x14ac:dyDescent="0.35">
      <c r="A165" s="6" t="s">
        <v>682</v>
      </c>
      <c r="B165" s="1" t="str">
        <f t="shared" si="4"/>
        <v>Corumba IV</v>
      </c>
      <c r="C165" s="1">
        <f t="shared" si="5"/>
        <v>-2140</v>
      </c>
      <c r="D165" s="1">
        <v>0</v>
      </c>
      <c r="E165" s="1">
        <v>0</v>
      </c>
      <c r="F165" s="1">
        <v>0</v>
      </c>
      <c r="G165" s="1">
        <v>0.3629</v>
      </c>
      <c r="H165" s="1">
        <v>63.0608</v>
      </c>
      <c r="I165" s="1">
        <v>4.7104999999999997</v>
      </c>
      <c r="J165" s="1">
        <v>58.713099999999997</v>
      </c>
      <c r="K165" s="1">
        <v>0</v>
      </c>
      <c r="L165" s="1">
        <v>0</v>
      </c>
    </row>
    <row r="166" spans="1:12" hidden="1" x14ac:dyDescent="0.35">
      <c r="A166" s="6" t="s">
        <v>683</v>
      </c>
      <c r="B166" s="1" t="str">
        <f t="shared" si="4"/>
        <v>Lago Paranoa</v>
      </c>
      <c r="C166" s="1">
        <f t="shared" si="5"/>
        <v>-2140</v>
      </c>
      <c r="D166" s="1">
        <v>0</v>
      </c>
      <c r="E166" s="1">
        <v>2302.4499999999998</v>
      </c>
      <c r="F166" s="1">
        <v>0.4234</v>
      </c>
      <c r="G166" s="1">
        <v>2.6673</v>
      </c>
      <c r="H166" s="1">
        <v>6.1315</v>
      </c>
      <c r="I166" s="1">
        <v>1.0278</v>
      </c>
      <c r="J166" s="1">
        <v>7.3476999999999997</v>
      </c>
      <c r="K166" s="1">
        <v>2302.4499999999998</v>
      </c>
      <c r="L166" s="1">
        <v>0</v>
      </c>
    </row>
    <row r="167" spans="1:12" x14ac:dyDescent="0.35">
      <c r="A167" s="6" t="s">
        <v>684</v>
      </c>
      <c r="B167" s="1" t="str">
        <f t="shared" si="4"/>
        <v>Corumba IV</v>
      </c>
      <c r="C167" s="1">
        <f t="shared" si="5"/>
        <v>-2139</v>
      </c>
      <c r="D167" s="1">
        <v>0</v>
      </c>
      <c r="E167" s="1">
        <v>0</v>
      </c>
      <c r="F167" s="1">
        <v>0</v>
      </c>
      <c r="G167" s="1">
        <v>0.3629</v>
      </c>
      <c r="H167" s="1">
        <v>66.193600000000004</v>
      </c>
      <c r="I167" s="1">
        <v>4.7104999999999997</v>
      </c>
      <c r="J167" s="1">
        <v>61.845999999999997</v>
      </c>
      <c r="K167" s="1">
        <v>0</v>
      </c>
      <c r="L167" s="1">
        <v>0</v>
      </c>
    </row>
    <row r="168" spans="1:12" hidden="1" x14ac:dyDescent="0.35">
      <c r="A168" s="6" t="s">
        <v>685</v>
      </c>
      <c r="B168" s="1" t="str">
        <f t="shared" si="4"/>
        <v>Lago Paranoa</v>
      </c>
      <c r="C168" s="1">
        <f t="shared" si="5"/>
        <v>-2139</v>
      </c>
      <c r="D168" s="1">
        <v>0</v>
      </c>
      <c r="E168" s="1">
        <v>2302.4499999999998</v>
      </c>
      <c r="F168" s="1">
        <v>0.4234</v>
      </c>
      <c r="G168" s="1">
        <v>2.5301999999999998</v>
      </c>
      <c r="H168" s="1">
        <v>5.8083999999999998</v>
      </c>
      <c r="I168" s="1">
        <v>1.0278</v>
      </c>
      <c r="J168" s="1">
        <v>6.8874000000000004</v>
      </c>
      <c r="K168" s="1">
        <v>2302.4499999999998</v>
      </c>
      <c r="L168" s="1">
        <v>0</v>
      </c>
    </row>
    <row r="169" spans="1:12" x14ac:dyDescent="0.35">
      <c r="A169" s="6" t="s">
        <v>686</v>
      </c>
      <c r="B169" s="1" t="str">
        <f t="shared" si="4"/>
        <v>Corumba IV</v>
      </c>
      <c r="C169" s="1">
        <f t="shared" si="5"/>
        <v>-2138</v>
      </c>
      <c r="D169" s="1">
        <v>0</v>
      </c>
      <c r="E169" s="1">
        <v>0</v>
      </c>
      <c r="F169" s="1">
        <v>0</v>
      </c>
      <c r="G169" s="1">
        <v>0.3629</v>
      </c>
      <c r="H169" s="1">
        <v>51.918599999999998</v>
      </c>
      <c r="I169" s="1">
        <v>4.7104999999999997</v>
      </c>
      <c r="J169" s="1">
        <v>47.570999999999998</v>
      </c>
      <c r="K169" s="1">
        <v>0</v>
      </c>
      <c r="L169" s="1">
        <v>0</v>
      </c>
    </row>
    <row r="170" spans="1:12" hidden="1" x14ac:dyDescent="0.35">
      <c r="A170" s="6" t="s">
        <v>687</v>
      </c>
      <c r="B170" s="1" t="str">
        <f t="shared" si="4"/>
        <v>Lago Paranoa</v>
      </c>
      <c r="C170" s="1">
        <f t="shared" si="5"/>
        <v>-2138</v>
      </c>
      <c r="D170" s="1">
        <v>0</v>
      </c>
      <c r="E170" s="1">
        <v>2302.4499999999998</v>
      </c>
      <c r="F170" s="1">
        <v>0.4234</v>
      </c>
      <c r="G170" s="1">
        <v>3.1714000000000002</v>
      </c>
      <c r="H170" s="1">
        <v>6.9537000000000004</v>
      </c>
      <c r="I170" s="1">
        <v>1.0278</v>
      </c>
      <c r="J170" s="1">
        <v>8.6738999999999997</v>
      </c>
      <c r="K170" s="1">
        <v>2302.4499999999998</v>
      </c>
      <c r="L170" s="1">
        <v>0</v>
      </c>
    </row>
    <row r="171" spans="1:12" x14ac:dyDescent="0.35">
      <c r="A171" s="6" t="s">
        <v>688</v>
      </c>
      <c r="B171" s="1" t="str">
        <f t="shared" si="4"/>
        <v>Corumba IV</v>
      </c>
      <c r="C171" s="1">
        <f t="shared" si="5"/>
        <v>-2137</v>
      </c>
      <c r="D171" s="1">
        <v>0</v>
      </c>
      <c r="E171" s="1">
        <v>0</v>
      </c>
      <c r="F171" s="1">
        <v>0</v>
      </c>
      <c r="G171" s="1">
        <v>0.3629</v>
      </c>
      <c r="H171" s="1">
        <v>86.895899999999997</v>
      </c>
      <c r="I171" s="1">
        <v>4.0308999999999999</v>
      </c>
      <c r="J171" s="1">
        <v>83.227900000000005</v>
      </c>
      <c r="K171" s="1">
        <v>0</v>
      </c>
      <c r="L171" s="1">
        <v>0</v>
      </c>
    </row>
    <row r="172" spans="1:12" hidden="1" x14ac:dyDescent="0.35">
      <c r="A172" s="6" t="s">
        <v>689</v>
      </c>
      <c r="B172" s="1" t="str">
        <f t="shared" si="4"/>
        <v>Lago Paranoa</v>
      </c>
      <c r="C172" s="1">
        <f t="shared" si="5"/>
        <v>-2137</v>
      </c>
      <c r="D172" s="1">
        <v>0</v>
      </c>
      <c r="E172" s="1">
        <v>2302.4499999999998</v>
      </c>
      <c r="F172" s="1">
        <v>0.32869999999999999</v>
      </c>
      <c r="G172" s="1">
        <v>3.2694999999999999</v>
      </c>
      <c r="H172" s="1">
        <v>6.9736000000000002</v>
      </c>
      <c r="I172" s="1">
        <v>0.93259999999999998</v>
      </c>
      <c r="J172" s="1">
        <v>8.9817999999999998</v>
      </c>
      <c r="K172" s="1">
        <v>2302.4499999999998</v>
      </c>
      <c r="L172" s="1">
        <v>0</v>
      </c>
    </row>
    <row r="173" spans="1:12" x14ac:dyDescent="0.35">
      <c r="A173" s="6" t="s">
        <v>690</v>
      </c>
      <c r="B173" s="1" t="str">
        <f t="shared" si="4"/>
        <v>Corumba IV</v>
      </c>
      <c r="C173" s="1">
        <f t="shared" si="5"/>
        <v>-2136</v>
      </c>
      <c r="D173" s="1">
        <v>0</v>
      </c>
      <c r="E173" s="1">
        <v>0</v>
      </c>
      <c r="F173" s="1">
        <v>0</v>
      </c>
      <c r="G173" s="1">
        <v>0.3629</v>
      </c>
      <c r="H173" s="1">
        <v>60.762500000000003</v>
      </c>
      <c r="I173" s="1">
        <v>3.5661999999999998</v>
      </c>
      <c r="J173" s="1">
        <v>57.559199999999997</v>
      </c>
      <c r="K173" s="1">
        <v>0</v>
      </c>
      <c r="L173" s="1">
        <v>0</v>
      </c>
    </row>
    <row r="174" spans="1:12" hidden="1" x14ac:dyDescent="0.35">
      <c r="A174" s="6" t="s">
        <v>691</v>
      </c>
      <c r="B174" s="1" t="str">
        <f t="shared" si="4"/>
        <v>Lago Paranoa</v>
      </c>
      <c r="C174" s="1">
        <f t="shared" si="5"/>
        <v>-2136</v>
      </c>
      <c r="D174" s="1">
        <v>0</v>
      </c>
      <c r="E174" s="1">
        <v>2302.4499999999998</v>
      </c>
      <c r="F174" s="1">
        <v>0.32900000000000001</v>
      </c>
      <c r="G174" s="1">
        <v>2.7625999999999999</v>
      </c>
      <c r="H174" s="1">
        <v>6.5736999999999997</v>
      </c>
      <c r="I174" s="1">
        <v>0.84019999999999995</v>
      </c>
      <c r="J174" s="1">
        <v>8.1669999999999998</v>
      </c>
      <c r="K174" s="1">
        <v>2302.4499999999998</v>
      </c>
      <c r="L174" s="1">
        <v>0</v>
      </c>
    </row>
    <row r="175" spans="1:12" x14ac:dyDescent="0.35">
      <c r="A175" s="6" t="s">
        <v>692</v>
      </c>
      <c r="B175" s="1" t="str">
        <f t="shared" si="4"/>
        <v>Corumba IV</v>
      </c>
      <c r="C175" s="1">
        <f t="shared" si="5"/>
        <v>-2135</v>
      </c>
      <c r="D175" s="1">
        <v>0</v>
      </c>
      <c r="E175" s="1">
        <v>0</v>
      </c>
      <c r="F175" s="1">
        <v>0</v>
      </c>
      <c r="G175" s="1">
        <v>0.3629</v>
      </c>
      <c r="H175" s="1">
        <v>66.024299999999997</v>
      </c>
      <c r="I175" s="1">
        <v>3.5661999999999998</v>
      </c>
      <c r="J175" s="1">
        <v>62.820900000000002</v>
      </c>
      <c r="K175" s="1">
        <v>0</v>
      </c>
      <c r="L175" s="1">
        <v>0</v>
      </c>
    </row>
    <row r="176" spans="1:12" hidden="1" x14ac:dyDescent="0.35">
      <c r="A176" s="6" t="s">
        <v>693</v>
      </c>
      <c r="B176" s="1" t="str">
        <f t="shared" si="4"/>
        <v>Lago Paranoa</v>
      </c>
      <c r="C176" s="1">
        <f t="shared" si="5"/>
        <v>-2135</v>
      </c>
      <c r="D176" s="1">
        <v>0</v>
      </c>
      <c r="E176" s="1">
        <v>2302.4499999999998</v>
      </c>
      <c r="F176" s="1">
        <v>0.32929999999999998</v>
      </c>
      <c r="G176" s="1">
        <v>3.4944000000000002</v>
      </c>
      <c r="H176" s="1">
        <v>7.8932000000000002</v>
      </c>
      <c r="I176" s="1">
        <v>0.84019999999999995</v>
      </c>
      <c r="J176" s="1">
        <v>10.2181</v>
      </c>
      <c r="K176" s="1">
        <v>2302.4499999999998</v>
      </c>
      <c r="L176" s="1">
        <v>0</v>
      </c>
    </row>
    <row r="177" spans="1:12" x14ac:dyDescent="0.35">
      <c r="A177" s="6" t="s">
        <v>694</v>
      </c>
      <c r="B177" s="1" t="str">
        <f t="shared" si="4"/>
        <v>Corumba IV</v>
      </c>
      <c r="C177" s="1">
        <f t="shared" si="5"/>
        <v>-2134</v>
      </c>
      <c r="D177" s="1">
        <v>0</v>
      </c>
      <c r="E177" s="1">
        <v>0</v>
      </c>
      <c r="F177" s="1">
        <v>0</v>
      </c>
      <c r="G177" s="1">
        <v>0.3629</v>
      </c>
      <c r="H177" s="1">
        <v>76.870099999999994</v>
      </c>
      <c r="I177" s="1">
        <v>3.5661999999999998</v>
      </c>
      <c r="J177" s="1">
        <v>73.666700000000006</v>
      </c>
      <c r="K177" s="1">
        <v>0</v>
      </c>
      <c r="L177" s="1">
        <v>0</v>
      </c>
    </row>
    <row r="178" spans="1:12" hidden="1" x14ac:dyDescent="0.35">
      <c r="A178" s="6" t="s">
        <v>695</v>
      </c>
      <c r="B178" s="1" t="str">
        <f t="shared" si="4"/>
        <v>Lago Paranoa</v>
      </c>
      <c r="C178" s="1">
        <f t="shared" si="5"/>
        <v>-2134</v>
      </c>
      <c r="D178" s="1">
        <v>0</v>
      </c>
      <c r="E178" s="1">
        <v>2302.4499999999998</v>
      </c>
      <c r="F178" s="1">
        <v>0.3296</v>
      </c>
      <c r="G178" s="1">
        <v>4.1529999999999996</v>
      </c>
      <c r="H178" s="1">
        <v>9.6803000000000008</v>
      </c>
      <c r="I178" s="1">
        <v>0.84019999999999995</v>
      </c>
      <c r="J178" s="1">
        <v>12.663500000000001</v>
      </c>
      <c r="K178" s="1">
        <v>2302.4499999999998</v>
      </c>
      <c r="L178" s="1">
        <v>0</v>
      </c>
    </row>
    <row r="179" spans="1:12" x14ac:dyDescent="0.35">
      <c r="A179" s="6" t="s">
        <v>696</v>
      </c>
      <c r="B179" s="1" t="str">
        <f t="shared" si="4"/>
        <v>Corumba IV</v>
      </c>
      <c r="C179" s="1">
        <f t="shared" si="5"/>
        <v>-2133</v>
      </c>
      <c r="D179" s="1">
        <v>0</v>
      </c>
      <c r="E179" s="1">
        <v>0</v>
      </c>
      <c r="F179" s="1">
        <v>0</v>
      </c>
      <c r="G179" s="1">
        <v>0.3629</v>
      </c>
      <c r="H179" s="1">
        <v>83.497</v>
      </c>
      <c r="I179" s="1">
        <v>3.7115999999999998</v>
      </c>
      <c r="J179" s="1">
        <v>80.148200000000003</v>
      </c>
      <c r="K179" s="1">
        <v>0</v>
      </c>
      <c r="L179" s="1">
        <v>0</v>
      </c>
    </row>
    <row r="180" spans="1:12" hidden="1" x14ac:dyDescent="0.35">
      <c r="A180" s="6" t="s">
        <v>697</v>
      </c>
      <c r="B180" s="1" t="str">
        <f t="shared" si="4"/>
        <v>Lago Paranoa</v>
      </c>
      <c r="C180" s="1">
        <f t="shared" si="5"/>
        <v>-2133</v>
      </c>
      <c r="D180" s="1">
        <v>0</v>
      </c>
      <c r="E180" s="1">
        <v>2302.4499999999998</v>
      </c>
      <c r="F180" s="1">
        <v>0.32990000000000003</v>
      </c>
      <c r="G180" s="1">
        <v>4.2904</v>
      </c>
      <c r="H180" s="1">
        <v>10.821999999999999</v>
      </c>
      <c r="I180" s="1">
        <v>0.8669</v>
      </c>
      <c r="J180" s="1">
        <v>13.915699999999999</v>
      </c>
      <c r="K180" s="1">
        <v>2302.4499999999998</v>
      </c>
      <c r="L180" s="1">
        <v>0</v>
      </c>
    </row>
    <row r="181" spans="1:12" x14ac:dyDescent="0.35">
      <c r="A181" s="6" t="s">
        <v>698</v>
      </c>
      <c r="B181" s="1" t="str">
        <f t="shared" si="4"/>
        <v>Corumba IV</v>
      </c>
      <c r="C181" s="1">
        <f t="shared" si="5"/>
        <v>-2132</v>
      </c>
      <c r="D181" s="1">
        <v>0</v>
      </c>
      <c r="E181" s="1">
        <v>0</v>
      </c>
      <c r="F181" s="1">
        <v>0</v>
      </c>
      <c r="G181" s="1">
        <v>2.7145999999999999</v>
      </c>
      <c r="H181" s="1">
        <v>146.2337</v>
      </c>
      <c r="I181" s="1">
        <v>4.8693</v>
      </c>
      <c r="J181" s="1">
        <v>144.07910000000001</v>
      </c>
      <c r="K181" s="1">
        <v>0</v>
      </c>
      <c r="L181" s="1">
        <v>0</v>
      </c>
    </row>
    <row r="182" spans="1:12" hidden="1" x14ac:dyDescent="0.35">
      <c r="A182" s="6" t="s">
        <v>699</v>
      </c>
      <c r="B182" s="1" t="str">
        <f t="shared" si="4"/>
        <v>Lago Paranoa</v>
      </c>
      <c r="C182" s="1">
        <f t="shared" si="5"/>
        <v>-2132</v>
      </c>
      <c r="D182" s="1">
        <v>0</v>
      </c>
      <c r="E182" s="1">
        <v>2302.4499999999998</v>
      </c>
      <c r="F182" s="1">
        <v>0.36990000000000001</v>
      </c>
      <c r="G182" s="1">
        <v>5.0525000000000002</v>
      </c>
      <c r="H182" s="1">
        <v>16.060600000000001</v>
      </c>
      <c r="I182" s="1">
        <v>1.2178</v>
      </c>
      <c r="J182" s="1">
        <v>19.525300000000001</v>
      </c>
      <c r="K182" s="1">
        <v>2302.4499999999998</v>
      </c>
      <c r="L182" s="1">
        <v>0</v>
      </c>
    </row>
    <row r="183" spans="1:12" x14ac:dyDescent="0.35">
      <c r="A183" s="6" t="s">
        <v>700</v>
      </c>
      <c r="B183" s="1" t="str">
        <f t="shared" si="4"/>
        <v>Corumba IV</v>
      </c>
      <c r="C183" s="1">
        <f t="shared" si="5"/>
        <v>-2131</v>
      </c>
      <c r="D183" s="1">
        <v>0</v>
      </c>
      <c r="E183" s="1">
        <v>0</v>
      </c>
      <c r="F183" s="1">
        <v>0</v>
      </c>
      <c r="G183" s="1">
        <v>7.1689999999999996</v>
      </c>
      <c r="H183" s="1">
        <v>165.98050000000001</v>
      </c>
      <c r="I183" s="1">
        <v>4.8693</v>
      </c>
      <c r="J183" s="1">
        <v>168.28020000000001</v>
      </c>
      <c r="K183" s="1">
        <v>0</v>
      </c>
      <c r="L183" s="1">
        <v>0</v>
      </c>
    </row>
    <row r="184" spans="1:12" hidden="1" x14ac:dyDescent="0.35">
      <c r="A184" s="6" t="s">
        <v>701</v>
      </c>
      <c r="B184" s="1" t="str">
        <f t="shared" si="4"/>
        <v>Lago Paranoa</v>
      </c>
      <c r="C184" s="1">
        <f t="shared" si="5"/>
        <v>-2131</v>
      </c>
      <c r="D184" s="1">
        <v>0</v>
      </c>
      <c r="E184" s="1">
        <v>2302.4499999999998</v>
      </c>
      <c r="F184" s="1">
        <v>0.35360000000000003</v>
      </c>
      <c r="G184" s="1">
        <v>7.3674999999999997</v>
      </c>
      <c r="H184" s="1">
        <v>22.8432</v>
      </c>
      <c r="I184" s="1">
        <v>1.2178</v>
      </c>
      <c r="J184" s="1">
        <v>28.639299999999999</v>
      </c>
      <c r="K184" s="1">
        <v>2302.4499999999998</v>
      </c>
      <c r="L184" s="1">
        <v>0</v>
      </c>
    </row>
    <row r="185" spans="1:12" x14ac:dyDescent="0.35">
      <c r="A185" s="6" t="s">
        <v>702</v>
      </c>
      <c r="B185" s="1" t="str">
        <f t="shared" si="4"/>
        <v>Corumba IV</v>
      </c>
      <c r="C185" s="1">
        <f t="shared" si="5"/>
        <v>-2130</v>
      </c>
      <c r="D185" s="1">
        <v>0</v>
      </c>
      <c r="E185" s="1">
        <v>0</v>
      </c>
      <c r="F185" s="1">
        <v>0</v>
      </c>
      <c r="G185" s="1">
        <v>7.0289000000000001</v>
      </c>
      <c r="H185" s="1">
        <v>316.97739999999999</v>
      </c>
      <c r="I185" s="1">
        <v>4.8693</v>
      </c>
      <c r="J185" s="1">
        <v>319.137</v>
      </c>
      <c r="K185" s="1">
        <v>0</v>
      </c>
      <c r="L185" s="1">
        <v>0</v>
      </c>
    </row>
    <row r="186" spans="1:12" hidden="1" x14ac:dyDescent="0.35">
      <c r="A186" s="6" t="s">
        <v>703</v>
      </c>
      <c r="B186" s="1" t="str">
        <f t="shared" si="4"/>
        <v>Lago Paranoa</v>
      </c>
      <c r="C186" s="1">
        <f t="shared" si="5"/>
        <v>-2130</v>
      </c>
      <c r="D186" s="1">
        <v>0</v>
      </c>
      <c r="E186" s="1">
        <v>2302.4499999999998</v>
      </c>
      <c r="F186" s="1">
        <v>0.35389999999999999</v>
      </c>
      <c r="G186" s="1">
        <v>8.4309999999999992</v>
      </c>
      <c r="H186" s="1">
        <v>24.892700000000001</v>
      </c>
      <c r="I186" s="1">
        <v>1.2178</v>
      </c>
      <c r="J186" s="1">
        <v>31.751899999999999</v>
      </c>
      <c r="K186" s="1">
        <v>2302.4499999999998</v>
      </c>
      <c r="L186" s="1">
        <v>0</v>
      </c>
    </row>
    <row r="187" spans="1:12" x14ac:dyDescent="0.35">
      <c r="A187" s="6" t="s">
        <v>704</v>
      </c>
      <c r="B187" s="1" t="str">
        <f t="shared" si="4"/>
        <v>Corumba IV</v>
      </c>
      <c r="C187" s="1">
        <f t="shared" si="5"/>
        <v>-2233</v>
      </c>
      <c r="D187" s="1">
        <v>0</v>
      </c>
      <c r="E187" s="1">
        <v>0</v>
      </c>
      <c r="F187" s="1">
        <v>0</v>
      </c>
      <c r="G187" s="1">
        <v>2.3578999999999999</v>
      </c>
      <c r="H187" s="1">
        <v>143.0438</v>
      </c>
      <c r="I187" s="1">
        <v>4.7312000000000003</v>
      </c>
      <c r="J187" s="1">
        <v>140.6705</v>
      </c>
      <c r="K187" s="1">
        <v>0</v>
      </c>
      <c r="L187" s="1">
        <v>0</v>
      </c>
    </row>
    <row r="188" spans="1:12" hidden="1" x14ac:dyDescent="0.35">
      <c r="A188" s="6" t="s">
        <v>936</v>
      </c>
      <c r="B188" s="1" t="str">
        <f t="shared" ref="B188:B244" si="6">_xlfn.TEXTBEFORE(_xlfn.TEXTAFTER(A188,"["),"]")</f>
        <v>Lago Paranoa</v>
      </c>
      <c r="C188" s="1">
        <f t="shared" ref="C188:C244" si="7">--_xlfn.TEXTBEFORE(_xlfn.TEXTAFTER(A188,"Week "),":")</f>
        <v>-2233</v>
      </c>
      <c r="D188" s="1">
        <v>0</v>
      </c>
      <c r="E188" s="1">
        <v>2302.4499999999998</v>
      </c>
      <c r="F188" s="1">
        <v>0.3543</v>
      </c>
      <c r="G188" s="1">
        <v>3.8742000000000001</v>
      </c>
      <c r="H188" s="1">
        <v>11.385400000000001</v>
      </c>
      <c r="I188" s="1">
        <v>1.3427</v>
      </c>
      <c r="J188" s="1">
        <v>13.5625</v>
      </c>
      <c r="K188" s="1">
        <v>2302.4499999999998</v>
      </c>
      <c r="L188" s="1">
        <v>0</v>
      </c>
    </row>
    <row r="189" spans="1:12" x14ac:dyDescent="0.35">
      <c r="A189" s="6" t="s">
        <v>714</v>
      </c>
      <c r="B189" s="1" t="str">
        <f t="shared" si="6"/>
        <v>Corumba IV</v>
      </c>
      <c r="C189" s="1">
        <f t="shared" si="7"/>
        <v>-2232</v>
      </c>
      <c r="D189" s="1">
        <v>0</v>
      </c>
      <c r="E189" s="1">
        <v>0</v>
      </c>
      <c r="F189" s="1">
        <v>0</v>
      </c>
      <c r="G189" s="1">
        <v>1.1464000000000001</v>
      </c>
      <c r="H189" s="1">
        <v>104.6002</v>
      </c>
      <c r="I189" s="1">
        <v>4.1196999999999999</v>
      </c>
      <c r="J189" s="1">
        <v>101.62690000000001</v>
      </c>
      <c r="K189" s="1">
        <v>0</v>
      </c>
      <c r="L189" s="1">
        <v>0</v>
      </c>
    </row>
    <row r="190" spans="1:12" hidden="1" x14ac:dyDescent="0.35">
      <c r="A190" s="6" t="s">
        <v>715</v>
      </c>
      <c r="B190" s="1" t="str">
        <f t="shared" si="6"/>
        <v>Lago Paranoa</v>
      </c>
      <c r="C190" s="1">
        <f t="shared" si="7"/>
        <v>-2232</v>
      </c>
      <c r="D190" s="1">
        <v>0</v>
      </c>
      <c r="E190" s="1">
        <v>2302.4499999999998</v>
      </c>
      <c r="F190" s="1">
        <v>0.4234</v>
      </c>
      <c r="G190" s="1">
        <v>3.6374</v>
      </c>
      <c r="H190" s="1">
        <v>9.6661000000000001</v>
      </c>
      <c r="I190" s="1">
        <v>1.0561</v>
      </c>
      <c r="J190" s="1">
        <v>11.824</v>
      </c>
      <c r="K190" s="1">
        <v>2302.4499999999998</v>
      </c>
      <c r="L190" s="1">
        <v>0</v>
      </c>
    </row>
    <row r="191" spans="1:12" x14ac:dyDescent="0.35">
      <c r="A191" s="6" t="s">
        <v>716</v>
      </c>
      <c r="B191" s="1" t="str">
        <f t="shared" si="6"/>
        <v>Corumba IV</v>
      </c>
      <c r="C191" s="1">
        <f t="shared" si="7"/>
        <v>-2231</v>
      </c>
      <c r="D191" s="1">
        <v>0</v>
      </c>
      <c r="E191" s="1">
        <v>0</v>
      </c>
      <c r="F191" s="1">
        <v>0</v>
      </c>
      <c r="G191" s="1">
        <v>1.8665</v>
      </c>
      <c r="H191" s="1">
        <v>98.763800000000003</v>
      </c>
      <c r="I191" s="1">
        <v>4.3551000000000002</v>
      </c>
      <c r="J191" s="1">
        <v>96.275199999999998</v>
      </c>
      <c r="K191" s="1">
        <v>0</v>
      </c>
      <c r="L191" s="1">
        <v>0</v>
      </c>
    </row>
    <row r="192" spans="1:12" hidden="1" x14ac:dyDescent="0.35">
      <c r="A192" s="6" t="s">
        <v>717</v>
      </c>
      <c r="B192" s="1" t="str">
        <f t="shared" si="6"/>
        <v>Lago Paranoa</v>
      </c>
      <c r="C192" s="1">
        <f t="shared" si="7"/>
        <v>-2231</v>
      </c>
      <c r="D192" s="1">
        <v>0</v>
      </c>
      <c r="E192" s="1">
        <v>2302.4499999999998</v>
      </c>
      <c r="F192" s="1">
        <v>0.4234</v>
      </c>
      <c r="G192" s="1">
        <v>4.2340999999999998</v>
      </c>
      <c r="H192" s="1">
        <v>12.392200000000001</v>
      </c>
      <c r="I192" s="1">
        <v>1.1516</v>
      </c>
      <c r="J192" s="1">
        <v>15.051299999999999</v>
      </c>
      <c r="K192" s="1">
        <v>2302.4499999999998</v>
      </c>
      <c r="L192" s="1">
        <v>0</v>
      </c>
    </row>
    <row r="193" spans="1:12" x14ac:dyDescent="0.35">
      <c r="A193" s="6" t="s">
        <v>718</v>
      </c>
      <c r="B193" s="1" t="str">
        <f t="shared" si="6"/>
        <v>Corumba IV</v>
      </c>
      <c r="C193" s="1">
        <f t="shared" si="7"/>
        <v>-2230</v>
      </c>
      <c r="D193" s="1">
        <v>0</v>
      </c>
      <c r="E193" s="1">
        <v>0</v>
      </c>
      <c r="F193" s="1">
        <v>0</v>
      </c>
      <c r="G193" s="1">
        <v>3.7353000000000001</v>
      </c>
      <c r="H193" s="1">
        <v>171.1679</v>
      </c>
      <c r="I193" s="1">
        <v>4.4827000000000004</v>
      </c>
      <c r="J193" s="1">
        <v>170.4205</v>
      </c>
      <c r="K193" s="1">
        <v>0</v>
      </c>
      <c r="L193" s="1">
        <v>0</v>
      </c>
    </row>
    <row r="194" spans="1:12" hidden="1" x14ac:dyDescent="0.35">
      <c r="A194" s="6" t="s">
        <v>719</v>
      </c>
      <c r="B194" s="1" t="str">
        <f t="shared" si="6"/>
        <v>Lago Paranoa</v>
      </c>
      <c r="C194" s="1">
        <f t="shared" si="7"/>
        <v>-2230</v>
      </c>
      <c r="D194" s="1">
        <v>0</v>
      </c>
      <c r="E194" s="1">
        <v>2302.4499999999998</v>
      </c>
      <c r="F194" s="1">
        <v>0.4234</v>
      </c>
      <c r="G194" s="1">
        <v>5.2462999999999997</v>
      </c>
      <c r="H194" s="1">
        <v>21.330300000000001</v>
      </c>
      <c r="I194" s="1">
        <v>1.1960999999999999</v>
      </c>
      <c r="J194" s="1">
        <v>24.957000000000001</v>
      </c>
      <c r="K194" s="1">
        <v>2302.4499999999998</v>
      </c>
      <c r="L194" s="1">
        <v>0</v>
      </c>
    </row>
    <row r="195" spans="1:12" x14ac:dyDescent="0.35">
      <c r="A195" s="6" t="s">
        <v>720</v>
      </c>
      <c r="B195" s="1" t="str">
        <f t="shared" si="6"/>
        <v>Corumba IV</v>
      </c>
      <c r="C195" s="1">
        <f t="shared" si="7"/>
        <v>-2229</v>
      </c>
      <c r="D195" s="1">
        <v>0</v>
      </c>
      <c r="E195" s="1">
        <v>0</v>
      </c>
      <c r="F195" s="1">
        <v>0</v>
      </c>
      <c r="G195" s="1">
        <v>3.4950999999999999</v>
      </c>
      <c r="H195" s="1">
        <v>192.9606</v>
      </c>
      <c r="I195" s="1">
        <v>4.4827000000000004</v>
      </c>
      <c r="J195" s="1">
        <v>191.97300000000001</v>
      </c>
      <c r="K195" s="1">
        <v>0</v>
      </c>
      <c r="L195" s="1">
        <v>0</v>
      </c>
    </row>
    <row r="196" spans="1:12" hidden="1" x14ac:dyDescent="0.35">
      <c r="A196" s="6" t="s">
        <v>721</v>
      </c>
      <c r="B196" s="1" t="str">
        <f t="shared" si="6"/>
        <v>Lago Paranoa</v>
      </c>
      <c r="C196" s="1">
        <f t="shared" si="7"/>
        <v>-2229</v>
      </c>
      <c r="D196" s="1">
        <v>0</v>
      </c>
      <c r="E196" s="1">
        <v>2302.4499999999998</v>
      </c>
      <c r="F196" s="1">
        <v>0.4234</v>
      </c>
      <c r="G196" s="1">
        <v>5.2487000000000004</v>
      </c>
      <c r="H196" s="1">
        <v>16.871500000000001</v>
      </c>
      <c r="I196" s="1">
        <v>1.1960999999999999</v>
      </c>
      <c r="J196" s="1">
        <v>20.500699999999998</v>
      </c>
      <c r="K196" s="1">
        <v>2302.4499999999998</v>
      </c>
      <c r="L196" s="1">
        <v>0</v>
      </c>
    </row>
    <row r="197" spans="1:12" x14ac:dyDescent="0.35">
      <c r="A197" s="6" t="s">
        <v>722</v>
      </c>
      <c r="B197" s="1" t="str">
        <f t="shared" si="6"/>
        <v>Corumba IV</v>
      </c>
      <c r="C197" s="1">
        <f t="shared" si="7"/>
        <v>-2228</v>
      </c>
      <c r="D197" s="1">
        <v>0</v>
      </c>
      <c r="E197" s="1">
        <v>0</v>
      </c>
      <c r="F197" s="1">
        <v>0</v>
      </c>
      <c r="G197" s="1">
        <v>4.0968999999999998</v>
      </c>
      <c r="H197" s="1">
        <v>174.78460000000001</v>
      </c>
      <c r="I197" s="1">
        <v>3.7664</v>
      </c>
      <c r="J197" s="1">
        <v>175.11500000000001</v>
      </c>
      <c r="K197" s="1">
        <v>0</v>
      </c>
      <c r="L197" s="1">
        <v>0</v>
      </c>
    </row>
    <row r="198" spans="1:12" hidden="1" x14ac:dyDescent="0.35">
      <c r="A198" s="6" t="s">
        <v>723</v>
      </c>
      <c r="B198" s="1" t="str">
        <f t="shared" si="6"/>
        <v>Lago Paranoa</v>
      </c>
      <c r="C198" s="1">
        <f t="shared" si="7"/>
        <v>-2228</v>
      </c>
      <c r="D198" s="1">
        <v>0</v>
      </c>
      <c r="E198" s="1">
        <v>2302.4499999999998</v>
      </c>
      <c r="F198" s="1">
        <v>0.3054</v>
      </c>
      <c r="G198" s="1">
        <v>4.8891999999999998</v>
      </c>
      <c r="H198" s="1">
        <v>15.2319</v>
      </c>
      <c r="I198" s="1">
        <v>0.94279999999999997</v>
      </c>
      <c r="J198" s="1">
        <v>18.872900000000001</v>
      </c>
      <c r="K198" s="1">
        <v>2302.4499999999998</v>
      </c>
      <c r="L198" s="1">
        <v>0</v>
      </c>
    </row>
    <row r="199" spans="1:12" x14ac:dyDescent="0.35">
      <c r="A199" s="6" t="s">
        <v>724</v>
      </c>
      <c r="B199" s="1" t="str">
        <f t="shared" si="6"/>
        <v>Corumba IV</v>
      </c>
      <c r="C199" s="1">
        <f t="shared" si="7"/>
        <v>-2227</v>
      </c>
      <c r="D199" s="1">
        <v>0</v>
      </c>
      <c r="E199" s="1">
        <v>0</v>
      </c>
      <c r="F199" s="1">
        <v>0</v>
      </c>
      <c r="G199" s="1">
        <v>6.8090999999999999</v>
      </c>
      <c r="H199" s="1">
        <v>238.40780000000001</v>
      </c>
      <c r="I199" s="1">
        <v>3.6471</v>
      </c>
      <c r="J199" s="1">
        <v>241.56989999999999</v>
      </c>
      <c r="K199" s="1">
        <v>0</v>
      </c>
      <c r="L199" s="1">
        <v>0</v>
      </c>
    </row>
    <row r="200" spans="1:12" hidden="1" x14ac:dyDescent="0.35">
      <c r="A200" s="6" t="s">
        <v>725</v>
      </c>
      <c r="B200" s="1" t="str">
        <f t="shared" si="6"/>
        <v>Lago Paranoa</v>
      </c>
      <c r="C200" s="1">
        <f t="shared" si="7"/>
        <v>-2227</v>
      </c>
      <c r="D200" s="1">
        <v>0</v>
      </c>
      <c r="E200" s="1">
        <v>2302.4499999999998</v>
      </c>
      <c r="F200" s="1">
        <v>0.30570000000000003</v>
      </c>
      <c r="G200" s="1">
        <v>7.1948999999999996</v>
      </c>
      <c r="H200" s="1">
        <v>23.511900000000001</v>
      </c>
      <c r="I200" s="1">
        <v>0.90059999999999996</v>
      </c>
      <c r="J200" s="1">
        <v>29.500399999999999</v>
      </c>
      <c r="K200" s="1">
        <v>2302.4499999999998</v>
      </c>
      <c r="L200" s="1">
        <v>0</v>
      </c>
    </row>
    <row r="201" spans="1:12" x14ac:dyDescent="0.35">
      <c r="A201" s="6" t="s">
        <v>726</v>
      </c>
      <c r="B201" s="1" t="str">
        <f t="shared" si="6"/>
        <v>Corumba IV</v>
      </c>
      <c r="C201" s="1">
        <f t="shared" si="7"/>
        <v>-2226</v>
      </c>
      <c r="D201" s="1">
        <v>0</v>
      </c>
      <c r="E201" s="1">
        <v>0</v>
      </c>
      <c r="F201" s="1">
        <v>0</v>
      </c>
      <c r="G201" s="1">
        <v>3.738</v>
      </c>
      <c r="H201" s="1">
        <v>156.66650000000001</v>
      </c>
      <c r="I201" s="1">
        <v>3.6471</v>
      </c>
      <c r="J201" s="1">
        <v>156.75739999999999</v>
      </c>
      <c r="K201" s="1">
        <v>0</v>
      </c>
      <c r="L201" s="1">
        <v>0</v>
      </c>
    </row>
    <row r="202" spans="1:12" hidden="1" x14ac:dyDescent="0.35">
      <c r="A202" s="6" t="s">
        <v>727</v>
      </c>
      <c r="B202" s="1" t="str">
        <f t="shared" si="6"/>
        <v>Lago Paranoa</v>
      </c>
      <c r="C202" s="1">
        <f t="shared" si="7"/>
        <v>-2226</v>
      </c>
      <c r="D202" s="1">
        <v>0</v>
      </c>
      <c r="E202" s="1">
        <v>2302.4499999999998</v>
      </c>
      <c r="F202" s="1">
        <v>0.30599999999999999</v>
      </c>
      <c r="G202" s="1">
        <v>8.9364000000000008</v>
      </c>
      <c r="H202" s="1">
        <v>16.8507</v>
      </c>
      <c r="I202" s="1">
        <v>0.90059999999999996</v>
      </c>
      <c r="J202" s="1">
        <v>24.580400000000001</v>
      </c>
      <c r="K202" s="1">
        <v>2302.4499999999998</v>
      </c>
      <c r="L202" s="1">
        <v>0</v>
      </c>
    </row>
    <row r="203" spans="1:12" x14ac:dyDescent="0.35">
      <c r="A203" s="6" t="s">
        <v>728</v>
      </c>
      <c r="B203" s="1" t="str">
        <f t="shared" si="6"/>
        <v>Corumba IV</v>
      </c>
      <c r="C203" s="1">
        <f t="shared" si="7"/>
        <v>-2225</v>
      </c>
      <c r="D203" s="1">
        <v>0</v>
      </c>
      <c r="E203" s="1">
        <v>0</v>
      </c>
      <c r="F203" s="1">
        <v>0</v>
      </c>
      <c r="G203" s="1">
        <v>2.3933</v>
      </c>
      <c r="H203" s="1">
        <v>118.6203</v>
      </c>
      <c r="I203" s="1">
        <v>3.5573999999999999</v>
      </c>
      <c r="J203" s="1">
        <v>117.45610000000001</v>
      </c>
      <c r="K203" s="1">
        <v>0</v>
      </c>
      <c r="L203" s="1">
        <v>0</v>
      </c>
    </row>
    <row r="204" spans="1:12" hidden="1" x14ac:dyDescent="0.35">
      <c r="A204" s="6" t="s">
        <v>729</v>
      </c>
      <c r="B204" s="1" t="str">
        <f t="shared" si="6"/>
        <v>Lago Paranoa</v>
      </c>
      <c r="C204" s="1">
        <f t="shared" si="7"/>
        <v>-2225</v>
      </c>
      <c r="D204" s="1">
        <v>0</v>
      </c>
      <c r="E204" s="1">
        <v>2302.4499999999998</v>
      </c>
      <c r="F204" s="1">
        <v>0.30630000000000002</v>
      </c>
      <c r="G204" s="1">
        <v>5.7751999999999999</v>
      </c>
      <c r="H204" s="1">
        <v>11.6694</v>
      </c>
      <c r="I204" s="1">
        <v>0.88519999999999999</v>
      </c>
      <c r="J204" s="1">
        <v>16.253</v>
      </c>
      <c r="K204" s="1">
        <v>2302.4499999999998</v>
      </c>
      <c r="L204" s="1">
        <v>0</v>
      </c>
    </row>
    <row r="205" spans="1:12" x14ac:dyDescent="0.35">
      <c r="A205" s="6" t="s">
        <v>730</v>
      </c>
      <c r="B205" s="1" t="str">
        <f t="shared" si="6"/>
        <v>Corumba IV</v>
      </c>
      <c r="C205" s="1">
        <f t="shared" si="7"/>
        <v>-2224</v>
      </c>
      <c r="D205" s="1">
        <v>0</v>
      </c>
      <c r="E205" s="1">
        <v>0</v>
      </c>
      <c r="F205" s="1">
        <v>0</v>
      </c>
      <c r="G205" s="1">
        <v>2.2686999999999999</v>
      </c>
      <c r="H205" s="1">
        <v>119.3867</v>
      </c>
      <c r="I205" s="1">
        <v>3.0709</v>
      </c>
      <c r="J205" s="1">
        <v>118.58450000000001</v>
      </c>
      <c r="K205" s="1">
        <v>0</v>
      </c>
      <c r="L205" s="1">
        <v>0</v>
      </c>
    </row>
    <row r="206" spans="1:12" hidden="1" x14ac:dyDescent="0.35">
      <c r="A206" s="6" t="s">
        <v>731</v>
      </c>
      <c r="B206" s="1" t="str">
        <f t="shared" si="6"/>
        <v>Lago Paranoa</v>
      </c>
      <c r="C206" s="1">
        <f t="shared" si="7"/>
        <v>-2224</v>
      </c>
      <c r="D206" s="1">
        <v>0</v>
      </c>
      <c r="E206" s="1">
        <v>2302.4499999999998</v>
      </c>
      <c r="F206" s="1">
        <v>0.30669999999999997</v>
      </c>
      <c r="G206" s="1">
        <v>3.9150999999999998</v>
      </c>
      <c r="H206" s="1">
        <v>10.773999999999999</v>
      </c>
      <c r="I206" s="1">
        <v>0.75839999999999996</v>
      </c>
      <c r="J206" s="1">
        <v>13.624000000000001</v>
      </c>
      <c r="K206" s="1">
        <v>2302.4499999999998</v>
      </c>
      <c r="L206" s="1">
        <v>0</v>
      </c>
    </row>
    <row r="207" spans="1:12" x14ac:dyDescent="0.35">
      <c r="A207" s="6" t="s">
        <v>732</v>
      </c>
      <c r="B207" s="1" t="str">
        <f t="shared" si="6"/>
        <v>Corumba IV</v>
      </c>
      <c r="C207" s="1">
        <f t="shared" si="7"/>
        <v>-2223</v>
      </c>
      <c r="D207" s="1">
        <v>0</v>
      </c>
      <c r="E207" s="1">
        <v>0</v>
      </c>
      <c r="F207" s="1">
        <v>0</v>
      </c>
      <c r="G207" s="1">
        <v>3.2317999999999998</v>
      </c>
      <c r="H207" s="1">
        <v>121.4101</v>
      </c>
      <c r="I207" s="1">
        <v>3.1394000000000002</v>
      </c>
      <c r="J207" s="1">
        <v>121.5025</v>
      </c>
      <c r="K207" s="1">
        <v>0</v>
      </c>
      <c r="L207" s="1">
        <v>0</v>
      </c>
    </row>
    <row r="208" spans="1:12" hidden="1" x14ac:dyDescent="0.35">
      <c r="A208" s="6" t="s">
        <v>733</v>
      </c>
      <c r="B208" s="1" t="str">
        <f t="shared" si="6"/>
        <v>Lago Paranoa</v>
      </c>
      <c r="C208" s="1">
        <f t="shared" si="7"/>
        <v>-2223</v>
      </c>
      <c r="D208" s="1">
        <v>0</v>
      </c>
      <c r="E208" s="1">
        <v>2302.4499999999998</v>
      </c>
      <c r="F208" s="1">
        <v>0.35539999999999999</v>
      </c>
      <c r="G208" s="1">
        <v>4.4832000000000001</v>
      </c>
      <c r="H208" s="1">
        <v>13.789199999999999</v>
      </c>
      <c r="I208" s="1">
        <v>0.71220000000000006</v>
      </c>
      <c r="J208" s="1">
        <v>17.204799999999999</v>
      </c>
      <c r="K208" s="1">
        <v>2302.4499999999998</v>
      </c>
      <c r="L208" s="1">
        <v>0</v>
      </c>
    </row>
    <row r="209" spans="1:12" x14ac:dyDescent="0.35">
      <c r="A209" s="6" t="s">
        <v>734</v>
      </c>
      <c r="B209" s="1" t="str">
        <f t="shared" si="6"/>
        <v>Corumba IV</v>
      </c>
      <c r="C209" s="1">
        <f t="shared" si="7"/>
        <v>-2222</v>
      </c>
      <c r="D209" s="1">
        <v>0</v>
      </c>
      <c r="E209" s="1">
        <v>0</v>
      </c>
      <c r="F209" s="1">
        <v>0</v>
      </c>
      <c r="G209" s="1">
        <v>2.593</v>
      </c>
      <c r="H209" s="1">
        <v>117.41930000000001</v>
      </c>
      <c r="I209" s="1">
        <v>3.1394000000000002</v>
      </c>
      <c r="J209" s="1">
        <v>116.8729</v>
      </c>
      <c r="K209" s="1">
        <v>0</v>
      </c>
      <c r="L209" s="1">
        <v>0</v>
      </c>
    </row>
    <row r="210" spans="1:12" hidden="1" x14ac:dyDescent="0.35">
      <c r="A210" s="6" t="s">
        <v>735</v>
      </c>
      <c r="B210" s="1" t="str">
        <f t="shared" si="6"/>
        <v>Lago Paranoa</v>
      </c>
      <c r="C210" s="1">
        <f t="shared" si="7"/>
        <v>-2222</v>
      </c>
      <c r="D210" s="1">
        <v>0</v>
      </c>
      <c r="E210" s="1">
        <v>2302.4499999999998</v>
      </c>
      <c r="F210" s="1">
        <v>0.35570000000000002</v>
      </c>
      <c r="G210" s="1">
        <v>5.3383000000000003</v>
      </c>
      <c r="H210" s="1">
        <v>14.7445</v>
      </c>
      <c r="I210" s="1">
        <v>0.71220000000000006</v>
      </c>
      <c r="J210" s="1">
        <v>19.014900000000001</v>
      </c>
      <c r="K210" s="1">
        <v>2302.4499999999998</v>
      </c>
      <c r="L210" s="1">
        <v>0</v>
      </c>
    </row>
    <row r="211" spans="1:12" x14ac:dyDescent="0.35">
      <c r="A211" s="6" t="s">
        <v>736</v>
      </c>
      <c r="B211" s="1" t="str">
        <f t="shared" si="6"/>
        <v>Corumba IV</v>
      </c>
      <c r="C211" s="1">
        <f t="shared" si="7"/>
        <v>-2221</v>
      </c>
      <c r="D211" s="1">
        <v>0</v>
      </c>
      <c r="E211" s="1">
        <v>0</v>
      </c>
      <c r="F211" s="1">
        <v>0</v>
      </c>
      <c r="G211" s="1">
        <v>1.7638</v>
      </c>
      <c r="H211" s="1">
        <v>103.72669999999999</v>
      </c>
      <c r="I211" s="1">
        <v>3.1394000000000002</v>
      </c>
      <c r="J211" s="1">
        <v>102.3511</v>
      </c>
      <c r="K211" s="1">
        <v>0</v>
      </c>
      <c r="L211" s="1">
        <v>0</v>
      </c>
    </row>
    <row r="212" spans="1:12" hidden="1" x14ac:dyDescent="0.35">
      <c r="A212" s="6" t="s">
        <v>737</v>
      </c>
      <c r="B212" s="1" t="str">
        <f t="shared" si="6"/>
        <v>Lago Paranoa</v>
      </c>
      <c r="C212" s="1">
        <f t="shared" si="7"/>
        <v>-2221</v>
      </c>
      <c r="D212" s="1">
        <v>0</v>
      </c>
      <c r="E212" s="1">
        <v>2302.4499999999998</v>
      </c>
      <c r="F212" s="1">
        <v>0.35610000000000003</v>
      </c>
      <c r="G212" s="1">
        <v>4.5894000000000004</v>
      </c>
      <c r="H212" s="1">
        <v>11.5922</v>
      </c>
      <c r="I212" s="1">
        <v>0.71220000000000006</v>
      </c>
      <c r="J212" s="1">
        <v>15.1134</v>
      </c>
      <c r="K212" s="1">
        <v>2302.4499999999998</v>
      </c>
      <c r="L212" s="1">
        <v>0</v>
      </c>
    </row>
    <row r="213" spans="1:12" x14ac:dyDescent="0.35">
      <c r="A213" s="6" t="s">
        <v>738</v>
      </c>
      <c r="B213" s="1" t="str">
        <f t="shared" si="6"/>
        <v>Corumba IV</v>
      </c>
      <c r="C213" s="1">
        <f t="shared" si="7"/>
        <v>-2220</v>
      </c>
      <c r="D213" s="1">
        <v>0</v>
      </c>
      <c r="E213" s="1">
        <v>0</v>
      </c>
      <c r="F213" s="1">
        <v>0</v>
      </c>
      <c r="G213" s="1">
        <v>1.7581</v>
      </c>
      <c r="H213" s="1">
        <v>102.562</v>
      </c>
      <c r="I213" s="1">
        <v>3.5108999999999999</v>
      </c>
      <c r="J213" s="1">
        <v>100.8092</v>
      </c>
      <c r="K213" s="1">
        <v>0</v>
      </c>
      <c r="L213" s="1">
        <v>0</v>
      </c>
    </row>
    <row r="214" spans="1:12" hidden="1" x14ac:dyDescent="0.35">
      <c r="A214" s="6" t="s">
        <v>739</v>
      </c>
      <c r="B214" s="1" t="str">
        <f t="shared" si="6"/>
        <v>Lago Paranoa</v>
      </c>
      <c r="C214" s="1">
        <f t="shared" si="7"/>
        <v>-2220</v>
      </c>
      <c r="D214" s="1">
        <v>0</v>
      </c>
      <c r="E214" s="1">
        <v>2302.4499999999998</v>
      </c>
      <c r="F214" s="1">
        <v>0.35639999999999999</v>
      </c>
      <c r="G214" s="1">
        <v>4.1024000000000003</v>
      </c>
      <c r="H214" s="1">
        <v>10.382899999999999</v>
      </c>
      <c r="I214" s="1">
        <v>0.78190000000000004</v>
      </c>
      <c r="J214" s="1">
        <v>13.347</v>
      </c>
      <c r="K214" s="1">
        <v>2302.4499999999998</v>
      </c>
      <c r="L214" s="1">
        <v>0</v>
      </c>
    </row>
    <row r="215" spans="1:12" x14ac:dyDescent="0.35">
      <c r="A215" s="6" t="s">
        <v>740</v>
      </c>
      <c r="B215" s="1" t="str">
        <f t="shared" si="6"/>
        <v>Corumba IV</v>
      </c>
      <c r="C215" s="1">
        <f t="shared" si="7"/>
        <v>-2219</v>
      </c>
      <c r="D215" s="1">
        <v>0</v>
      </c>
      <c r="E215" s="1">
        <v>0</v>
      </c>
      <c r="F215" s="1">
        <v>0</v>
      </c>
      <c r="G215" s="1">
        <v>1.0734999999999999</v>
      </c>
      <c r="H215" s="1">
        <v>91.323099999999997</v>
      </c>
      <c r="I215" s="1">
        <v>4.9253</v>
      </c>
      <c r="J215" s="1">
        <v>87.471199999999996</v>
      </c>
      <c r="K215" s="1">
        <v>0</v>
      </c>
      <c r="L215" s="1">
        <v>0</v>
      </c>
    </row>
    <row r="216" spans="1:12" hidden="1" x14ac:dyDescent="0.35">
      <c r="A216" s="6" t="s">
        <v>741</v>
      </c>
      <c r="B216" s="1" t="str">
        <f t="shared" si="6"/>
        <v>Lago Paranoa</v>
      </c>
      <c r="C216" s="1">
        <f t="shared" si="7"/>
        <v>-2219</v>
      </c>
      <c r="D216" s="1">
        <v>0</v>
      </c>
      <c r="E216" s="1">
        <v>2302.4499999999998</v>
      </c>
      <c r="F216" s="1">
        <v>0.33789999999999998</v>
      </c>
      <c r="G216" s="1">
        <v>3.7707999999999999</v>
      </c>
      <c r="H216" s="1">
        <v>10.171200000000001</v>
      </c>
      <c r="I216" s="1">
        <v>1.0399</v>
      </c>
      <c r="J216" s="1">
        <v>12.5642</v>
      </c>
      <c r="K216" s="1">
        <v>2302.4499999999998</v>
      </c>
      <c r="L216" s="1">
        <v>0</v>
      </c>
    </row>
    <row r="217" spans="1:12" x14ac:dyDescent="0.35">
      <c r="A217" s="6" t="s">
        <v>742</v>
      </c>
      <c r="B217" s="1" t="str">
        <f t="shared" si="6"/>
        <v>Corumba IV</v>
      </c>
      <c r="C217" s="1">
        <f t="shared" si="7"/>
        <v>-2218</v>
      </c>
      <c r="D217" s="1">
        <v>0</v>
      </c>
      <c r="E217" s="1">
        <v>0</v>
      </c>
      <c r="F217" s="1">
        <v>0</v>
      </c>
      <c r="G217" s="1">
        <v>0.95960000000000001</v>
      </c>
      <c r="H217" s="1">
        <v>86.216800000000006</v>
      </c>
      <c r="I217" s="1">
        <v>3.6606999999999998</v>
      </c>
      <c r="J217" s="1">
        <v>83.515699999999995</v>
      </c>
      <c r="K217" s="1">
        <v>0</v>
      </c>
      <c r="L217" s="1">
        <v>0</v>
      </c>
    </row>
    <row r="218" spans="1:12" hidden="1" x14ac:dyDescent="0.35">
      <c r="A218" s="6" t="s">
        <v>743</v>
      </c>
      <c r="B218" s="1" t="str">
        <f t="shared" si="6"/>
        <v>Lago Paranoa</v>
      </c>
      <c r="C218" s="1">
        <f t="shared" si="7"/>
        <v>-2218</v>
      </c>
      <c r="D218" s="1">
        <v>0</v>
      </c>
      <c r="E218" s="1">
        <v>2302.4499999999998</v>
      </c>
      <c r="F218" s="1">
        <v>0.3382</v>
      </c>
      <c r="G218" s="1">
        <v>3.1381000000000001</v>
      </c>
      <c r="H218" s="1">
        <v>9.3201000000000001</v>
      </c>
      <c r="I218" s="1">
        <v>0.89439999999999997</v>
      </c>
      <c r="J218" s="1">
        <v>11.2256</v>
      </c>
      <c r="K218" s="1">
        <v>2302.4499999999998</v>
      </c>
      <c r="L218" s="1">
        <v>0</v>
      </c>
    </row>
    <row r="219" spans="1:12" x14ac:dyDescent="0.35">
      <c r="A219" s="6" t="s">
        <v>744</v>
      </c>
      <c r="B219" s="1" t="str">
        <f t="shared" si="6"/>
        <v>Corumba IV</v>
      </c>
      <c r="C219" s="1">
        <f t="shared" si="7"/>
        <v>-2217</v>
      </c>
      <c r="D219" s="1">
        <v>0</v>
      </c>
      <c r="E219" s="1">
        <v>0</v>
      </c>
      <c r="F219" s="1">
        <v>0</v>
      </c>
      <c r="G219" s="1">
        <v>1.0259</v>
      </c>
      <c r="H219" s="1">
        <v>74.517399999999995</v>
      </c>
      <c r="I219" s="1">
        <v>3.6606999999999998</v>
      </c>
      <c r="J219" s="1">
        <v>71.882499999999993</v>
      </c>
      <c r="K219" s="1">
        <v>0</v>
      </c>
      <c r="L219" s="1">
        <v>0</v>
      </c>
    </row>
    <row r="220" spans="1:12" hidden="1" x14ac:dyDescent="0.35">
      <c r="A220" s="6" t="s">
        <v>745</v>
      </c>
      <c r="B220" s="1" t="str">
        <f t="shared" si="6"/>
        <v>Lago Paranoa</v>
      </c>
      <c r="C220" s="1">
        <f t="shared" si="7"/>
        <v>-2217</v>
      </c>
      <c r="D220" s="1">
        <v>0</v>
      </c>
      <c r="E220" s="1">
        <v>2302.4499999999998</v>
      </c>
      <c r="F220" s="1">
        <v>0.33850000000000002</v>
      </c>
      <c r="G220" s="1">
        <v>3.0804</v>
      </c>
      <c r="H220" s="1">
        <v>8.4062000000000001</v>
      </c>
      <c r="I220" s="1">
        <v>0.89439999999999997</v>
      </c>
      <c r="J220" s="1">
        <v>10.2537</v>
      </c>
      <c r="K220" s="1">
        <v>2302.4499999999998</v>
      </c>
      <c r="L220" s="1">
        <v>0</v>
      </c>
    </row>
    <row r="221" spans="1:12" x14ac:dyDescent="0.35">
      <c r="A221" s="6" t="s">
        <v>746</v>
      </c>
      <c r="B221" s="1" t="str">
        <f t="shared" si="6"/>
        <v>Corumba IV</v>
      </c>
      <c r="C221" s="1">
        <f t="shared" si="7"/>
        <v>-2216</v>
      </c>
      <c r="D221" s="1">
        <v>0</v>
      </c>
      <c r="E221" s="1">
        <v>0</v>
      </c>
      <c r="F221" s="1">
        <v>0</v>
      </c>
      <c r="G221" s="1">
        <v>1.3563000000000001</v>
      </c>
      <c r="H221" s="1">
        <v>75.224199999999996</v>
      </c>
      <c r="I221" s="1">
        <v>3.6606999999999998</v>
      </c>
      <c r="J221" s="1">
        <v>72.919799999999995</v>
      </c>
      <c r="K221" s="1">
        <v>0</v>
      </c>
      <c r="L221" s="1">
        <v>0</v>
      </c>
    </row>
    <row r="222" spans="1:12" hidden="1" x14ac:dyDescent="0.35">
      <c r="A222" s="6" t="s">
        <v>747</v>
      </c>
      <c r="B222" s="1" t="str">
        <f t="shared" si="6"/>
        <v>Lago Paranoa</v>
      </c>
      <c r="C222" s="1">
        <f t="shared" si="7"/>
        <v>-2216</v>
      </c>
      <c r="D222" s="1">
        <v>0</v>
      </c>
      <c r="E222" s="1">
        <v>2302.4499999999998</v>
      </c>
      <c r="F222" s="1">
        <v>0.33879999999999999</v>
      </c>
      <c r="G222" s="1">
        <v>3.8658999999999999</v>
      </c>
      <c r="H222" s="1">
        <v>8.9303000000000008</v>
      </c>
      <c r="I222" s="1">
        <v>0.89439999999999997</v>
      </c>
      <c r="J222" s="1">
        <v>11.563000000000001</v>
      </c>
      <c r="K222" s="1">
        <v>2302.4499999999998</v>
      </c>
      <c r="L222" s="1">
        <v>0</v>
      </c>
    </row>
    <row r="223" spans="1:12" x14ac:dyDescent="0.35">
      <c r="A223" s="6" t="s">
        <v>748</v>
      </c>
      <c r="B223" s="1" t="str">
        <f t="shared" si="6"/>
        <v>Corumba IV</v>
      </c>
      <c r="C223" s="1">
        <f t="shared" si="7"/>
        <v>-2215</v>
      </c>
      <c r="D223" s="1">
        <v>0</v>
      </c>
      <c r="E223" s="1">
        <v>0</v>
      </c>
      <c r="F223" s="1">
        <v>0</v>
      </c>
      <c r="G223" s="1">
        <v>0.8085</v>
      </c>
      <c r="H223" s="1">
        <v>67.775599999999997</v>
      </c>
      <c r="I223" s="1">
        <v>3.8348</v>
      </c>
      <c r="J223" s="1">
        <v>64.749300000000005</v>
      </c>
      <c r="K223" s="1">
        <v>0</v>
      </c>
      <c r="L223" s="1">
        <v>0</v>
      </c>
    </row>
    <row r="224" spans="1:12" hidden="1" x14ac:dyDescent="0.35">
      <c r="A224" s="6" t="s">
        <v>749</v>
      </c>
      <c r="B224" s="1" t="str">
        <f t="shared" si="6"/>
        <v>Lago Paranoa</v>
      </c>
      <c r="C224" s="1">
        <f t="shared" si="7"/>
        <v>-2215</v>
      </c>
      <c r="D224" s="1">
        <v>0</v>
      </c>
      <c r="E224" s="1">
        <v>2302.4499999999998</v>
      </c>
      <c r="F224" s="1">
        <v>0.40600000000000003</v>
      </c>
      <c r="G224" s="1">
        <v>2.9163999999999999</v>
      </c>
      <c r="H224" s="1">
        <v>8.9665999999999997</v>
      </c>
      <c r="I224" s="1">
        <v>1.0175000000000001</v>
      </c>
      <c r="J224" s="1">
        <v>10.4595</v>
      </c>
      <c r="K224" s="1">
        <v>2302.4499999999998</v>
      </c>
      <c r="L224" s="1">
        <v>0</v>
      </c>
    </row>
    <row r="225" spans="1:12" x14ac:dyDescent="0.35">
      <c r="A225" s="6" t="s">
        <v>750</v>
      </c>
      <c r="B225" s="1" t="str">
        <f t="shared" si="6"/>
        <v>Corumba IV</v>
      </c>
      <c r="C225" s="1">
        <f t="shared" si="7"/>
        <v>-2214</v>
      </c>
      <c r="D225" s="1">
        <v>0</v>
      </c>
      <c r="E225" s="1">
        <v>0</v>
      </c>
      <c r="F225" s="1">
        <v>0</v>
      </c>
      <c r="G225" s="1">
        <v>0.46029999999999999</v>
      </c>
      <c r="H225" s="1">
        <v>61.210900000000002</v>
      </c>
      <c r="I225" s="1">
        <v>4.2079000000000004</v>
      </c>
      <c r="J225" s="1">
        <v>57.4634</v>
      </c>
      <c r="K225" s="1">
        <v>0</v>
      </c>
      <c r="L225" s="1">
        <v>0</v>
      </c>
    </row>
    <row r="226" spans="1:12" hidden="1" x14ac:dyDescent="0.35">
      <c r="A226" s="6" t="s">
        <v>751</v>
      </c>
      <c r="B226" s="1" t="str">
        <f t="shared" si="6"/>
        <v>Lago Paranoa</v>
      </c>
      <c r="C226" s="1">
        <f t="shared" si="7"/>
        <v>-2214</v>
      </c>
      <c r="D226" s="1">
        <v>0</v>
      </c>
      <c r="E226" s="1">
        <v>2302.4499999999998</v>
      </c>
      <c r="F226" s="1">
        <v>0.40629999999999999</v>
      </c>
      <c r="G226" s="1">
        <v>2.8679999999999999</v>
      </c>
      <c r="H226" s="1">
        <v>8.8202999999999996</v>
      </c>
      <c r="I226" s="1">
        <v>1.0105999999999999</v>
      </c>
      <c r="J226" s="1">
        <v>10.2713</v>
      </c>
      <c r="K226" s="1">
        <v>2302.4499999999998</v>
      </c>
      <c r="L226" s="1">
        <v>0</v>
      </c>
    </row>
    <row r="227" spans="1:12" x14ac:dyDescent="0.35">
      <c r="A227" s="6" t="s">
        <v>752</v>
      </c>
      <c r="B227" s="1" t="str">
        <f t="shared" si="6"/>
        <v>Corumba IV</v>
      </c>
      <c r="C227" s="1">
        <f t="shared" si="7"/>
        <v>-2213</v>
      </c>
      <c r="D227" s="1">
        <v>0</v>
      </c>
      <c r="E227" s="1">
        <v>0</v>
      </c>
      <c r="F227" s="1">
        <v>0</v>
      </c>
      <c r="G227" s="1">
        <v>0.3629</v>
      </c>
      <c r="H227" s="1">
        <v>57.185600000000001</v>
      </c>
      <c r="I227" s="1">
        <v>4.2079000000000004</v>
      </c>
      <c r="J227" s="1">
        <v>53.340600000000002</v>
      </c>
      <c r="K227" s="1">
        <v>0</v>
      </c>
      <c r="L227" s="1">
        <v>0</v>
      </c>
    </row>
    <row r="228" spans="1:12" hidden="1" x14ac:dyDescent="0.35">
      <c r="A228" s="6" t="s">
        <v>753</v>
      </c>
      <c r="B228" s="1" t="str">
        <f t="shared" si="6"/>
        <v>Lago Paranoa</v>
      </c>
      <c r="C228" s="1">
        <f t="shared" si="7"/>
        <v>-2213</v>
      </c>
      <c r="D228" s="1">
        <v>0</v>
      </c>
      <c r="E228" s="1">
        <v>2302.4499999999998</v>
      </c>
      <c r="F228" s="1">
        <v>0.40670000000000001</v>
      </c>
      <c r="G228" s="1">
        <v>2.7374999999999998</v>
      </c>
      <c r="H228" s="1">
        <v>8.6803000000000008</v>
      </c>
      <c r="I228" s="1">
        <v>1.0105999999999999</v>
      </c>
      <c r="J228" s="1">
        <v>10.000500000000001</v>
      </c>
      <c r="K228" s="1">
        <v>2302.4499999999998</v>
      </c>
      <c r="L228" s="1">
        <v>0</v>
      </c>
    </row>
    <row r="229" spans="1:12" x14ac:dyDescent="0.35">
      <c r="A229" s="6" t="s">
        <v>754</v>
      </c>
      <c r="B229" s="1" t="str">
        <f t="shared" si="6"/>
        <v>Corumba IV</v>
      </c>
      <c r="C229" s="1">
        <f t="shared" si="7"/>
        <v>-2212</v>
      </c>
      <c r="D229" s="1">
        <v>0</v>
      </c>
      <c r="E229" s="1">
        <v>0</v>
      </c>
      <c r="F229" s="1">
        <v>0</v>
      </c>
      <c r="G229" s="1">
        <v>0.3629</v>
      </c>
      <c r="H229" s="1">
        <v>52.6738</v>
      </c>
      <c r="I229" s="1">
        <v>4.2079000000000004</v>
      </c>
      <c r="J229" s="1">
        <v>48.828800000000001</v>
      </c>
      <c r="K229" s="1">
        <v>0</v>
      </c>
      <c r="L229" s="1">
        <v>0</v>
      </c>
    </row>
    <row r="230" spans="1:12" hidden="1" x14ac:dyDescent="0.35">
      <c r="A230" s="6" t="s">
        <v>755</v>
      </c>
      <c r="B230" s="1" t="str">
        <f t="shared" si="6"/>
        <v>Lago Paranoa</v>
      </c>
      <c r="C230" s="1">
        <f t="shared" si="7"/>
        <v>-2212</v>
      </c>
      <c r="D230" s="1">
        <v>0</v>
      </c>
      <c r="E230" s="1">
        <v>2302.4499999999998</v>
      </c>
      <c r="F230" s="1">
        <v>0.40699999999999997</v>
      </c>
      <c r="G230" s="1">
        <v>2.6783999999999999</v>
      </c>
      <c r="H230" s="1">
        <v>8.3839000000000006</v>
      </c>
      <c r="I230" s="1">
        <v>1.0105999999999999</v>
      </c>
      <c r="J230" s="1">
        <v>9.6446000000000005</v>
      </c>
      <c r="K230" s="1">
        <v>2302.4499999999998</v>
      </c>
      <c r="L230" s="1">
        <v>0</v>
      </c>
    </row>
    <row r="231" spans="1:12" x14ac:dyDescent="0.35">
      <c r="A231" s="6" t="s">
        <v>756</v>
      </c>
      <c r="B231" s="1" t="str">
        <f t="shared" si="6"/>
        <v>Corumba IV</v>
      </c>
      <c r="C231" s="1">
        <f t="shared" si="7"/>
        <v>-2211</v>
      </c>
      <c r="D231" s="1">
        <v>0</v>
      </c>
      <c r="E231" s="1">
        <v>0</v>
      </c>
      <c r="F231" s="1">
        <v>0</v>
      </c>
      <c r="G231" s="1">
        <v>0.3629</v>
      </c>
      <c r="H231" s="1">
        <v>49.984999999999999</v>
      </c>
      <c r="I231" s="1">
        <v>4.4233000000000002</v>
      </c>
      <c r="J231" s="1">
        <v>45.924500000000002</v>
      </c>
      <c r="K231" s="1">
        <v>0</v>
      </c>
      <c r="L231" s="1">
        <v>0</v>
      </c>
    </row>
    <row r="232" spans="1:12" hidden="1" x14ac:dyDescent="0.35">
      <c r="A232" s="6" t="s">
        <v>757</v>
      </c>
      <c r="B232" s="1" t="str">
        <f t="shared" si="6"/>
        <v>Lago Paranoa</v>
      </c>
      <c r="C232" s="1">
        <f t="shared" si="7"/>
        <v>-2211</v>
      </c>
      <c r="D232" s="1">
        <v>0</v>
      </c>
      <c r="E232" s="1">
        <v>2302.4499999999998</v>
      </c>
      <c r="F232" s="1">
        <v>0.4073</v>
      </c>
      <c r="G232" s="1">
        <v>2.6496</v>
      </c>
      <c r="H232" s="1">
        <v>7.6417000000000002</v>
      </c>
      <c r="I232" s="1">
        <v>1.0564</v>
      </c>
      <c r="J232" s="1">
        <v>8.8275000000000006</v>
      </c>
      <c r="K232" s="1">
        <v>2302.4499999999998</v>
      </c>
      <c r="L232" s="1">
        <v>0</v>
      </c>
    </row>
    <row r="233" spans="1:12" x14ac:dyDescent="0.35">
      <c r="A233" s="6" t="s">
        <v>758</v>
      </c>
      <c r="B233" s="1" t="str">
        <f t="shared" si="6"/>
        <v>Corumba IV</v>
      </c>
      <c r="C233" s="1">
        <f t="shared" si="7"/>
        <v>-2210</v>
      </c>
      <c r="D233" s="1">
        <v>0</v>
      </c>
      <c r="E233" s="1">
        <v>0</v>
      </c>
      <c r="F233" s="1">
        <v>0</v>
      </c>
      <c r="G233" s="1">
        <v>0.3629</v>
      </c>
      <c r="H233" s="1">
        <v>47.082000000000001</v>
      </c>
      <c r="I233" s="1">
        <v>4.8388</v>
      </c>
      <c r="J233" s="1">
        <v>42.606000000000002</v>
      </c>
      <c r="K233" s="1">
        <v>0</v>
      </c>
      <c r="L233" s="1">
        <v>0</v>
      </c>
    </row>
    <row r="234" spans="1:12" hidden="1" x14ac:dyDescent="0.35">
      <c r="A234" s="6" t="s">
        <v>759</v>
      </c>
      <c r="B234" s="1" t="str">
        <f t="shared" si="6"/>
        <v>Lago Paranoa</v>
      </c>
      <c r="C234" s="1">
        <f t="shared" si="7"/>
        <v>-2210</v>
      </c>
      <c r="D234" s="1">
        <v>0</v>
      </c>
      <c r="E234" s="1">
        <v>2302.4499999999998</v>
      </c>
      <c r="F234" s="1">
        <v>0.4234</v>
      </c>
      <c r="G234" s="1">
        <v>2.5623999999999998</v>
      </c>
      <c r="H234" s="1">
        <v>5.7065000000000001</v>
      </c>
      <c r="I234" s="1">
        <v>1.1556</v>
      </c>
      <c r="J234" s="1">
        <v>6.69</v>
      </c>
      <c r="K234" s="1">
        <v>2302.4499999999998</v>
      </c>
      <c r="L234" s="1">
        <v>0</v>
      </c>
    </row>
    <row r="235" spans="1:12" x14ac:dyDescent="0.35">
      <c r="A235" s="6" t="s">
        <v>760</v>
      </c>
      <c r="B235" s="1" t="str">
        <f t="shared" si="6"/>
        <v>Corumba IV</v>
      </c>
      <c r="C235" s="1">
        <f t="shared" si="7"/>
        <v>-2209</v>
      </c>
      <c r="D235" s="1">
        <v>0</v>
      </c>
      <c r="E235" s="1">
        <v>0</v>
      </c>
      <c r="F235" s="1">
        <v>0</v>
      </c>
      <c r="G235" s="1">
        <v>0.3629</v>
      </c>
      <c r="H235" s="1">
        <v>44.264400000000002</v>
      </c>
      <c r="I235" s="1">
        <v>4.9349999999999996</v>
      </c>
      <c r="J235" s="1">
        <v>39.692300000000003</v>
      </c>
      <c r="K235" s="1">
        <v>0</v>
      </c>
      <c r="L235" s="1">
        <v>0</v>
      </c>
    </row>
    <row r="236" spans="1:12" hidden="1" x14ac:dyDescent="0.35">
      <c r="A236" s="6" t="s">
        <v>761</v>
      </c>
      <c r="B236" s="1" t="str">
        <f t="shared" si="6"/>
        <v>Lago Paranoa</v>
      </c>
      <c r="C236" s="1">
        <f t="shared" si="7"/>
        <v>-2209</v>
      </c>
      <c r="D236" s="1">
        <v>0</v>
      </c>
      <c r="E236" s="1">
        <v>2302.4499999999998</v>
      </c>
      <c r="F236" s="1">
        <v>0.4234</v>
      </c>
      <c r="G236" s="1">
        <v>2.4758</v>
      </c>
      <c r="H236" s="1">
        <v>5.3954000000000004</v>
      </c>
      <c r="I236" s="1">
        <v>1.1840999999999999</v>
      </c>
      <c r="J236" s="1">
        <v>6.2636000000000003</v>
      </c>
      <c r="K236" s="1">
        <v>2302.4499999999998</v>
      </c>
      <c r="L236" s="1">
        <v>0</v>
      </c>
    </row>
    <row r="237" spans="1:12" x14ac:dyDescent="0.35">
      <c r="A237" s="6" t="s">
        <v>762</v>
      </c>
      <c r="B237" s="1" t="str">
        <f t="shared" si="6"/>
        <v>Corumba IV</v>
      </c>
      <c r="C237" s="1">
        <f t="shared" si="7"/>
        <v>-2208</v>
      </c>
      <c r="D237" s="1">
        <v>0</v>
      </c>
      <c r="E237" s="1">
        <v>0</v>
      </c>
      <c r="F237" s="1">
        <v>0</v>
      </c>
      <c r="G237" s="1">
        <v>0.3629</v>
      </c>
      <c r="H237" s="1">
        <v>43.257899999999999</v>
      </c>
      <c r="I237" s="1">
        <v>4.9349999999999996</v>
      </c>
      <c r="J237" s="1">
        <v>38.6858</v>
      </c>
      <c r="K237" s="1">
        <v>0</v>
      </c>
      <c r="L237" s="1">
        <v>0</v>
      </c>
    </row>
    <row r="238" spans="1:12" hidden="1" x14ac:dyDescent="0.35">
      <c r="A238" s="6" t="s">
        <v>763</v>
      </c>
      <c r="B238" s="1" t="str">
        <f t="shared" si="6"/>
        <v>Lago Paranoa</v>
      </c>
      <c r="C238" s="1">
        <f t="shared" si="7"/>
        <v>-2208</v>
      </c>
      <c r="D238" s="1">
        <v>0</v>
      </c>
      <c r="E238" s="1">
        <v>2302.4499999999998</v>
      </c>
      <c r="F238" s="1">
        <v>0.4234</v>
      </c>
      <c r="G238" s="1">
        <v>2.3849</v>
      </c>
      <c r="H238" s="1">
        <v>5.2697000000000003</v>
      </c>
      <c r="I238" s="1">
        <v>1.1840999999999999</v>
      </c>
      <c r="J238" s="1">
        <v>6.0471000000000004</v>
      </c>
      <c r="K238" s="1">
        <v>2302.4499999999998</v>
      </c>
      <c r="L238" s="1">
        <v>0</v>
      </c>
    </row>
    <row r="239" spans="1:12" x14ac:dyDescent="0.35">
      <c r="A239" s="6" t="s">
        <v>764</v>
      </c>
      <c r="B239" s="1" t="str">
        <f t="shared" si="6"/>
        <v>Corumba IV</v>
      </c>
      <c r="C239" s="1">
        <f t="shared" si="7"/>
        <v>-2207</v>
      </c>
      <c r="D239" s="1">
        <v>0</v>
      </c>
      <c r="E239" s="1">
        <v>0</v>
      </c>
      <c r="F239" s="1">
        <v>0</v>
      </c>
      <c r="G239" s="1">
        <v>0.3629</v>
      </c>
      <c r="H239" s="1">
        <v>43.835000000000001</v>
      </c>
      <c r="I239" s="1">
        <v>4.9349999999999996</v>
      </c>
      <c r="J239" s="1">
        <v>39.262900000000002</v>
      </c>
      <c r="K239" s="1">
        <v>0</v>
      </c>
      <c r="L239" s="1">
        <v>0</v>
      </c>
    </row>
    <row r="240" spans="1:12" hidden="1" x14ac:dyDescent="0.35">
      <c r="A240" s="6" t="s">
        <v>765</v>
      </c>
      <c r="B240" s="1" t="str">
        <f t="shared" si="6"/>
        <v>Lago Paranoa</v>
      </c>
      <c r="C240" s="1">
        <f t="shared" si="7"/>
        <v>-2207</v>
      </c>
      <c r="D240" s="1">
        <v>0</v>
      </c>
      <c r="E240" s="1">
        <v>2302.4499999999998</v>
      </c>
      <c r="F240" s="1">
        <v>0.4234</v>
      </c>
      <c r="G240" s="1">
        <v>2.3885999999999998</v>
      </c>
      <c r="H240" s="1">
        <v>5.4257</v>
      </c>
      <c r="I240" s="1">
        <v>1.1840999999999999</v>
      </c>
      <c r="J240" s="1">
        <v>6.2069000000000001</v>
      </c>
      <c r="K240" s="1">
        <v>2302.4499999999998</v>
      </c>
      <c r="L240" s="1">
        <v>0</v>
      </c>
    </row>
    <row r="241" spans="1:12" x14ac:dyDescent="0.35">
      <c r="A241" s="6" t="s">
        <v>766</v>
      </c>
      <c r="B241" s="1" t="str">
        <f t="shared" si="6"/>
        <v>Corumba IV</v>
      </c>
      <c r="C241" s="1">
        <f t="shared" si="7"/>
        <v>-2206</v>
      </c>
      <c r="D241" s="1">
        <v>0</v>
      </c>
      <c r="E241" s="1">
        <v>0</v>
      </c>
      <c r="F241" s="1">
        <v>0</v>
      </c>
      <c r="G241" s="1">
        <v>0.3629</v>
      </c>
      <c r="H241" s="1">
        <v>39.414000000000001</v>
      </c>
      <c r="I241" s="1">
        <v>5.9257</v>
      </c>
      <c r="J241" s="1">
        <v>33.851199999999999</v>
      </c>
      <c r="K241" s="1">
        <v>0</v>
      </c>
      <c r="L241" s="1">
        <v>0</v>
      </c>
    </row>
    <row r="242" spans="1:12" hidden="1" x14ac:dyDescent="0.35">
      <c r="A242" s="6" t="s">
        <v>767</v>
      </c>
      <c r="B242" s="1" t="str">
        <f t="shared" si="6"/>
        <v>Lago Paranoa</v>
      </c>
      <c r="C242" s="1">
        <f t="shared" si="7"/>
        <v>-2206</v>
      </c>
      <c r="D242" s="1">
        <v>0</v>
      </c>
      <c r="E242" s="1">
        <v>2302.4499999999998</v>
      </c>
      <c r="F242" s="1">
        <v>0.4234</v>
      </c>
      <c r="G242" s="1">
        <v>2.1055999999999999</v>
      </c>
      <c r="H242" s="1">
        <v>4.9508999999999999</v>
      </c>
      <c r="I242" s="1">
        <v>1.4529000000000001</v>
      </c>
      <c r="J242" s="1">
        <v>5.1802000000000001</v>
      </c>
      <c r="K242" s="1">
        <v>2302.4499999999998</v>
      </c>
      <c r="L242" s="1">
        <v>0</v>
      </c>
    </row>
    <row r="243" spans="1:12" x14ac:dyDescent="0.35">
      <c r="A243" s="6" t="s">
        <v>768</v>
      </c>
      <c r="B243" s="1" t="str">
        <f t="shared" si="6"/>
        <v>Corumba IV</v>
      </c>
      <c r="C243" s="1">
        <f t="shared" si="7"/>
        <v>-2205</v>
      </c>
      <c r="D243" s="1">
        <v>0</v>
      </c>
      <c r="E243" s="1">
        <v>0</v>
      </c>
      <c r="F243" s="1">
        <v>0</v>
      </c>
      <c r="G243" s="1">
        <v>0.3629</v>
      </c>
      <c r="H243" s="1">
        <v>37.273800000000001</v>
      </c>
      <c r="I243" s="1">
        <v>5.9257</v>
      </c>
      <c r="J243" s="1">
        <v>31.710999999999999</v>
      </c>
      <c r="K243" s="1">
        <v>0</v>
      </c>
      <c r="L243" s="1">
        <v>0</v>
      </c>
    </row>
    <row r="244" spans="1:12" hidden="1" x14ac:dyDescent="0.35">
      <c r="A244" s="6" t="s">
        <v>769</v>
      </c>
      <c r="B244" s="1" t="str">
        <f t="shared" si="6"/>
        <v>Lago Paranoa</v>
      </c>
      <c r="C244" s="1">
        <f t="shared" si="7"/>
        <v>-2205</v>
      </c>
      <c r="D244" s="1">
        <v>0</v>
      </c>
      <c r="E244" s="1">
        <v>2302.4499999999998</v>
      </c>
      <c r="F244" s="1">
        <v>0.4234</v>
      </c>
      <c r="G244" s="1">
        <v>2.3319999999999999</v>
      </c>
      <c r="H244" s="1">
        <v>4.8498999999999999</v>
      </c>
      <c r="I244" s="1">
        <v>1.4529000000000001</v>
      </c>
      <c r="J244" s="1">
        <v>5.3056999999999999</v>
      </c>
      <c r="K244" s="1">
        <v>2302.4499999999998</v>
      </c>
      <c r="L244" s="1">
        <v>0</v>
      </c>
    </row>
    <row r="245" spans="1:12" x14ac:dyDescent="0.35">
      <c r="A245" s="6" t="s">
        <v>770</v>
      </c>
      <c r="B245" s="1" t="str">
        <f t="shared" ref="B245:B308" si="8">_xlfn.TEXTBEFORE(_xlfn.TEXTAFTER(A245,"["),"]")</f>
        <v>Corumba IV</v>
      </c>
      <c r="C245" s="1">
        <f t="shared" ref="C245:C308" si="9">--_xlfn.TEXTBEFORE(_xlfn.TEXTAFTER(A245,"Week "),":")</f>
        <v>-2204</v>
      </c>
      <c r="D245" s="1">
        <v>0</v>
      </c>
      <c r="E245" s="1">
        <v>0</v>
      </c>
      <c r="F245" s="1">
        <v>0</v>
      </c>
      <c r="G245" s="1">
        <v>0.3629</v>
      </c>
      <c r="H245" s="1">
        <v>34.7864</v>
      </c>
      <c r="I245" s="1">
        <v>5.9257</v>
      </c>
      <c r="J245" s="1">
        <v>29.223600000000001</v>
      </c>
      <c r="K245" s="1">
        <v>0</v>
      </c>
      <c r="L245" s="1">
        <v>0</v>
      </c>
    </row>
    <row r="246" spans="1:12" hidden="1" x14ac:dyDescent="0.35">
      <c r="A246" s="6" t="s">
        <v>771</v>
      </c>
      <c r="B246" s="1" t="str">
        <f t="shared" si="8"/>
        <v>Lago Paranoa</v>
      </c>
      <c r="C246" s="1">
        <f t="shared" si="9"/>
        <v>-2204</v>
      </c>
      <c r="D246" s="1">
        <v>0</v>
      </c>
      <c r="E246" s="1">
        <v>2302.4499999999998</v>
      </c>
      <c r="F246" s="1">
        <v>0.4234</v>
      </c>
      <c r="G246" s="1">
        <v>2.4958</v>
      </c>
      <c r="H246" s="1">
        <v>4.6772</v>
      </c>
      <c r="I246" s="1">
        <v>1.4529000000000001</v>
      </c>
      <c r="J246" s="1">
        <v>5.2968000000000002</v>
      </c>
      <c r="K246" s="1">
        <v>2302.4499999999998</v>
      </c>
      <c r="L246" s="1">
        <v>0</v>
      </c>
    </row>
    <row r="247" spans="1:12" x14ac:dyDescent="0.35">
      <c r="A247" s="6" t="s">
        <v>772</v>
      </c>
      <c r="B247" s="1" t="str">
        <f t="shared" si="8"/>
        <v>Corumba IV</v>
      </c>
      <c r="C247" s="1">
        <f t="shared" si="9"/>
        <v>-2203</v>
      </c>
      <c r="D247" s="1">
        <v>0</v>
      </c>
      <c r="E247" s="1">
        <v>0</v>
      </c>
      <c r="F247" s="1">
        <v>0</v>
      </c>
      <c r="G247" s="1">
        <v>0.3629</v>
      </c>
      <c r="H247" s="1">
        <v>33.027299999999997</v>
      </c>
      <c r="I247" s="1">
        <v>5.9257</v>
      </c>
      <c r="J247" s="1">
        <v>27.464500000000001</v>
      </c>
      <c r="K247" s="1">
        <v>0</v>
      </c>
      <c r="L247" s="1">
        <v>0</v>
      </c>
    </row>
    <row r="248" spans="1:12" hidden="1" x14ac:dyDescent="0.35">
      <c r="A248" s="6" t="s">
        <v>773</v>
      </c>
      <c r="B248" s="1" t="str">
        <f t="shared" si="8"/>
        <v>Lago Paranoa</v>
      </c>
      <c r="C248" s="1">
        <f t="shared" si="9"/>
        <v>-2203</v>
      </c>
      <c r="D248" s="1">
        <v>0</v>
      </c>
      <c r="E248" s="1">
        <v>2302.4499999999998</v>
      </c>
      <c r="F248" s="1">
        <v>0.4234</v>
      </c>
      <c r="G248" s="1">
        <v>2.3563000000000001</v>
      </c>
      <c r="H248" s="1">
        <v>4.5155000000000003</v>
      </c>
      <c r="I248" s="1">
        <v>1.4529000000000001</v>
      </c>
      <c r="J248" s="1">
        <v>4.9955999999999996</v>
      </c>
      <c r="K248" s="1">
        <v>2302.4499999999998</v>
      </c>
      <c r="L248" s="1">
        <v>0</v>
      </c>
    </row>
    <row r="249" spans="1:12" x14ac:dyDescent="0.35">
      <c r="A249" s="6" t="s">
        <v>774</v>
      </c>
      <c r="B249" s="1" t="str">
        <f t="shared" si="8"/>
        <v>Corumba IV</v>
      </c>
      <c r="C249" s="1">
        <f t="shared" si="9"/>
        <v>-2202</v>
      </c>
      <c r="D249" s="1">
        <v>0</v>
      </c>
      <c r="E249" s="1">
        <v>0</v>
      </c>
      <c r="F249" s="1">
        <v>0</v>
      </c>
      <c r="G249" s="1">
        <v>0.3629</v>
      </c>
      <c r="H249" s="1">
        <v>31.0824</v>
      </c>
      <c r="I249" s="1">
        <v>6.0128000000000004</v>
      </c>
      <c r="J249" s="1">
        <v>25.432500000000001</v>
      </c>
      <c r="K249" s="1">
        <v>0</v>
      </c>
      <c r="L249" s="1">
        <v>0</v>
      </c>
    </row>
    <row r="250" spans="1:12" hidden="1" x14ac:dyDescent="0.35">
      <c r="A250" s="6" t="s">
        <v>775</v>
      </c>
      <c r="B250" s="1" t="str">
        <f t="shared" si="8"/>
        <v>Lago Paranoa</v>
      </c>
      <c r="C250" s="1">
        <f t="shared" si="9"/>
        <v>-2202</v>
      </c>
      <c r="D250" s="1">
        <v>0</v>
      </c>
      <c r="E250" s="1">
        <v>2302.4499999999998</v>
      </c>
      <c r="F250" s="1">
        <v>0.4234</v>
      </c>
      <c r="G250" s="1">
        <v>2.3005</v>
      </c>
      <c r="H250" s="1">
        <v>4.1997999999999998</v>
      </c>
      <c r="I250" s="1">
        <v>1.4888999999999999</v>
      </c>
      <c r="J250" s="1">
        <v>4.5880000000000001</v>
      </c>
      <c r="K250" s="1">
        <v>2302.4499999999998</v>
      </c>
      <c r="L250" s="1">
        <v>0</v>
      </c>
    </row>
    <row r="251" spans="1:12" x14ac:dyDescent="0.35">
      <c r="A251" s="6" t="s">
        <v>776</v>
      </c>
      <c r="B251" s="1" t="str">
        <f t="shared" si="8"/>
        <v>Corumba IV</v>
      </c>
      <c r="C251" s="1">
        <f t="shared" si="9"/>
        <v>-2201</v>
      </c>
      <c r="D251" s="1">
        <v>0</v>
      </c>
      <c r="E251" s="1">
        <v>0</v>
      </c>
      <c r="F251" s="1">
        <v>0</v>
      </c>
      <c r="G251" s="1">
        <v>0.3629</v>
      </c>
      <c r="H251" s="1">
        <v>30.8811</v>
      </c>
      <c r="I251" s="1">
        <v>5.8163999999999998</v>
      </c>
      <c r="J251" s="1">
        <v>25.427600000000002</v>
      </c>
      <c r="K251" s="1">
        <v>0</v>
      </c>
      <c r="L251" s="1">
        <v>0</v>
      </c>
    </row>
    <row r="252" spans="1:12" hidden="1" x14ac:dyDescent="0.35">
      <c r="A252" s="6" t="s">
        <v>777</v>
      </c>
      <c r="B252" s="1" t="str">
        <f t="shared" si="8"/>
        <v>Lago Paranoa</v>
      </c>
      <c r="C252" s="1">
        <f t="shared" si="9"/>
        <v>-2201</v>
      </c>
      <c r="D252" s="1">
        <v>0</v>
      </c>
      <c r="E252" s="1">
        <v>2302.4499999999998</v>
      </c>
      <c r="F252" s="1">
        <v>0.4234</v>
      </c>
      <c r="G252" s="1">
        <v>2.1030000000000002</v>
      </c>
      <c r="H252" s="1">
        <v>3.6777000000000002</v>
      </c>
      <c r="I252" s="1">
        <v>1.4637</v>
      </c>
      <c r="J252" s="1">
        <v>3.8936999999999999</v>
      </c>
      <c r="K252" s="1">
        <v>2302.4499999999998</v>
      </c>
      <c r="L252" s="1">
        <v>0</v>
      </c>
    </row>
    <row r="253" spans="1:12" x14ac:dyDescent="0.35">
      <c r="A253" s="6" t="s">
        <v>778</v>
      </c>
      <c r="B253" s="1" t="str">
        <f t="shared" si="8"/>
        <v>Corumba IV</v>
      </c>
      <c r="C253" s="1">
        <f t="shared" si="9"/>
        <v>-2200</v>
      </c>
      <c r="D253" s="1">
        <v>0</v>
      </c>
      <c r="E253" s="1">
        <v>0</v>
      </c>
      <c r="F253" s="1">
        <v>0</v>
      </c>
      <c r="G253" s="1">
        <v>0.3629</v>
      </c>
      <c r="H253" s="1">
        <v>30.939</v>
      </c>
      <c r="I253" s="1">
        <v>5.8163999999999998</v>
      </c>
      <c r="J253" s="1">
        <v>25.485499999999998</v>
      </c>
      <c r="K253" s="1">
        <v>0</v>
      </c>
      <c r="L253" s="1">
        <v>0</v>
      </c>
    </row>
    <row r="254" spans="1:12" hidden="1" x14ac:dyDescent="0.35">
      <c r="A254" s="6" t="s">
        <v>779</v>
      </c>
      <c r="B254" s="1" t="str">
        <f t="shared" si="8"/>
        <v>Lago Paranoa</v>
      </c>
      <c r="C254" s="1">
        <f t="shared" si="9"/>
        <v>-2200</v>
      </c>
      <c r="D254" s="1">
        <v>0</v>
      </c>
      <c r="E254" s="1">
        <v>2302.4499999999998</v>
      </c>
      <c r="F254" s="1">
        <v>0.4234</v>
      </c>
      <c r="G254" s="1">
        <v>2.2113999999999998</v>
      </c>
      <c r="H254" s="1">
        <v>3.6772999999999998</v>
      </c>
      <c r="I254" s="1">
        <v>1.4637</v>
      </c>
      <c r="J254" s="1">
        <v>4.0015999999999998</v>
      </c>
      <c r="K254" s="1">
        <v>2302.4499999999998</v>
      </c>
      <c r="L254" s="1">
        <v>0</v>
      </c>
    </row>
    <row r="255" spans="1:12" x14ac:dyDescent="0.35">
      <c r="A255" s="6" t="s">
        <v>780</v>
      </c>
      <c r="B255" s="1" t="str">
        <f t="shared" si="8"/>
        <v>Corumba IV</v>
      </c>
      <c r="C255" s="1">
        <f t="shared" si="9"/>
        <v>-2199</v>
      </c>
      <c r="D255" s="1">
        <v>0</v>
      </c>
      <c r="E255" s="1">
        <v>0</v>
      </c>
      <c r="F255" s="1">
        <v>0</v>
      </c>
      <c r="G255" s="1">
        <v>0.3629</v>
      </c>
      <c r="H255" s="1">
        <v>30.646100000000001</v>
      </c>
      <c r="I255" s="1">
        <v>5.8163999999999998</v>
      </c>
      <c r="J255" s="1">
        <v>25.192599999999999</v>
      </c>
      <c r="K255" s="1">
        <v>0</v>
      </c>
      <c r="L255" s="1">
        <v>0</v>
      </c>
    </row>
    <row r="256" spans="1:12" hidden="1" x14ac:dyDescent="0.35">
      <c r="A256" s="6" t="s">
        <v>781</v>
      </c>
      <c r="B256" s="1" t="str">
        <f t="shared" si="8"/>
        <v>Lago Paranoa</v>
      </c>
      <c r="C256" s="1">
        <f t="shared" si="9"/>
        <v>-2199</v>
      </c>
      <c r="D256" s="1">
        <v>0</v>
      </c>
      <c r="E256" s="1">
        <v>2302.4499999999998</v>
      </c>
      <c r="F256" s="1">
        <v>0.4234</v>
      </c>
      <c r="G256" s="1">
        <v>2.3601000000000001</v>
      </c>
      <c r="H256" s="1">
        <v>3.5790999999999999</v>
      </c>
      <c r="I256" s="1">
        <v>1.4637</v>
      </c>
      <c r="J256" s="1">
        <v>4.0521000000000003</v>
      </c>
      <c r="K256" s="1">
        <v>2302.4499999999998</v>
      </c>
      <c r="L256" s="1">
        <v>0</v>
      </c>
    </row>
    <row r="257" spans="1:12" x14ac:dyDescent="0.35">
      <c r="A257" s="6" t="s">
        <v>782</v>
      </c>
      <c r="B257" s="1" t="str">
        <f t="shared" si="8"/>
        <v>Corumba IV</v>
      </c>
      <c r="C257" s="1">
        <f t="shared" si="9"/>
        <v>-2198</v>
      </c>
      <c r="D257" s="1">
        <v>0</v>
      </c>
      <c r="E257" s="1">
        <v>0</v>
      </c>
      <c r="F257" s="1">
        <v>0</v>
      </c>
      <c r="G257" s="1">
        <v>0.3629</v>
      </c>
      <c r="H257" s="1">
        <v>27.4908</v>
      </c>
      <c r="I257" s="1">
        <v>5.6574</v>
      </c>
      <c r="J257" s="1">
        <v>22.196200000000001</v>
      </c>
      <c r="K257" s="1">
        <v>0</v>
      </c>
      <c r="L257" s="1">
        <v>0</v>
      </c>
    </row>
    <row r="258" spans="1:12" hidden="1" x14ac:dyDescent="0.35">
      <c r="A258" s="6" t="s">
        <v>783</v>
      </c>
      <c r="B258" s="1" t="str">
        <f t="shared" si="8"/>
        <v>Lago Paranoa</v>
      </c>
      <c r="C258" s="1">
        <f t="shared" si="9"/>
        <v>-2198</v>
      </c>
      <c r="D258" s="1">
        <v>0</v>
      </c>
      <c r="E258" s="1">
        <v>2302.4499999999998</v>
      </c>
      <c r="F258" s="1">
        <v>0.4234</v>
      </c>
      <c r="G258" s="1">
        <v>2.6936</v>
      </c>
      <c r="H258" s="1">
        <v>3.4371999999999998</v>
      </c>
      <c r="I258" s="1">
        <v>1.4321999999999999</v>
      </c>
      <c r="J258" s="1">
        <v>4.2751999999999999</v>
      </c>
      <c r="K258" s="1">
        <v>2302.4499999999998</v>
      </c>
      <c r="L258" s="1">
        <v>0</v>
      </c>
    </row>
    <row r="259" spans="1:12" x14ac:dyDescent="0.35">
      <c r="A259" s="6" t="s">
        <v>784</v>
      </c>
      <c r="B259" s="1" t="str">
        <f t="shared" si="8"/>
        <v>Corumba IV</v>
      </c>
      <c r="C259" s="1">
        <f t="shared" si="9"/>
        <v>-2197</v>
      </c>
      <c r="D259" s="1">
        <v>0</v>
      </c>
      <c r="E259" s="1">
        <v>0</v>
      </c>
      <c r="F259" s="1">
        <v>0</v>
      </c>
      <c r="G259" s="1">
        <v>0.3629</v>
      </c>
      <c r="H259" s="1">
        <v>25.256399999999999</v>
      </c>
      <c r="I259" s="1">
        <v>5.1562000000000001</v>
      </c>
      <c r="J259" s="1">
        <v>20.463100000000001</v>
      </c>
      <c r="K259" s="1">
        <v>0</v>
      </c>
      <c r="L259" s="1">
        <v>0</v>
      </c>
    </row>
    <row r="260" spans="1:12" hidden="1" x14ac:dyDescent="0.35">
      <c r="A260" s="6" t="s">
        <v>785</v>
      </c>
      <c r="B260" s="1" t="str">
        <f t="shared" si="8"/>
        <v>Lago Paranoa</v>
      </c>
      <c r="C260" s="1">
        <f t="shared" si="9"/>
        <v>-2197</v>
      </c>
      <c r="D260" s="1">
        <v>0</v>
      </c>
      <c r="E260" s="1">
        <v>2302.4499999999998</v>
      </c>
      <c r="F260" s="1">
        <v>0.4234</v>
      </c>
      <c r="G260" s="1">
        <v>3.1246999999999998</v>
      </c>
      <c r="H260" s="1">
        <v>3.5486</v>
      </c>
      <c r="I260" s="1">
        <v>1.3406</v>
      </c>
      <c r="J260" s="1">
        <v>4.9093</v>
      </c>
      <c r="K260" s="1">
        <v>2302.4499999999998</v>
      </c>
      <c r="L260" s="1">
        <v>0</v>
      </c>
    </row>
    <row r="261" spans="1:12" x14ac:dyDescent="0.35">
      <c r="A261" s="6" t="s">
        <v>786</v>
      </c>
      <c r="B261" s="1" t="str">
        <f t="shared" si="8"/>
        <v>Corumba IV</v>
      </c>
      <c r="C261" s="1">
        <f t="shared" si="9"/>
        <v>-2196</v>
      </c>
      <c r="D261" s="1">
        <v>0</v>
      </c>
      <c r="E261" s="1">
        <v>0</v>
      </c>
      <c r="F261" s="1">
        <v>0</v>
      </c>
      <c r="G261" s="1">
        <v>0.3629</v>
      </c>
      <c r="H261" s="1">
        <v>26.246600000000001</v>
      </c>
      <c r="I261" s="1">
        <v>5.1562000000000001</v>
      </c>
      <c r="J261" s="1">
        <v>21.453199999999999</v>
      </c>
      <c r="K261" s="1">
        <v>0</v>
      </c>
      <c r="L261" s="1">
        <v>0</v>
      </c>
    </row>
    <row r="262" spans="1:12" hidden="1" x14ac:dyDescent="0.35">
      <c r="A262" s="6" t="s">
        <v>787</v>
      </c>
      <c r="B262" s="1" t="str">
        <f t="shared" si="8"/>
        <v>Lago Paranoa</v>
      </c>
      <c r="C262" s="1">
        <f t="shared" si="9"/>
        <v>-2196</v>
      </c>
      <c r="D262" s="1">
        <v>0</v>
      </c>
      <c r="E262" s="1">
        <v>2302.4499999999998</v>
      </c>
      <c r="F262" s="1">
        <v>0.4234</v>
      </c>
      <c r="G262" s="1">
        <v>2.9784000000000002</v>
      </c>
      <c r="H262" s="1">
        <v>3.9962</v>
      </c>
      <c r="I262" s="1">
        <v>1.3406</v>
      </c>
      <c r="J262" s="1">
        <v>5.2107000000000001</v>
      </c>
      <c r="K262" s="1">
        <v>2302.4499999999998</v>
      </c>
      <c r="L262" s="1">
        <v>0</v>
      </c>
    </row>
    <row r="263" spans="1:12" x14ac:dyDescent="0.35">
      <c r="A263" s="6" t="s">
        <v>788</v>
      </c>
      <c r="B263" s="1" t="str">
        <f t="shared" si="8"/>
        <v>Corumba IV</v>
      </c>
      <c r="C263" s="1">
        <f t="shared" si="9"/>
        <v>-2195</v>
      </c>
      <c r="D263" s="1">
        <v>0</v>
      </c>
      <c r="E263" s="1">
        <v>0</v>
      </c>
      <c r="F263" s="1">
        <v>0</v>
      </c>
      <c r="G263" s="1">
        <v>0.3629</v>
      </c>
      <c r="H263" s="1">
        <v>49.204799999999999</v>
      </c>
      <c r="I263" s="1">
        <v>5.1562000000000001</v>
      </c>
      <c r="J263" s="1">
        <v>44.4114</v>
      </c>
      <c r="K263" s="1">
        <v>0</v>
      </c>
      <c r="L263" s="1">
        <v>0</v>
      </c>
    </row>
    <row r="264" spans="1:12" hidden="1" x14ac:dyDescent="0.35">
      <c r="A264" s="6" t="s">
        <v>789</v>
      </c>
      <c r="B264" s="1" t="str">
        <f t="shared" si="8"/>
        <v>Lago Paranoa</v>
      </c>
      <c r="C264" s="1">
        <f t="shared" si="9"/>
        <v>-2195</v>
      </c>
      <c r="D264" s="1">
        <v>0</v>
      </c>
      <c r="E264" s="1">
        <v>2302.4499999999998</v>
      </c>
      <c r="F264" s="1">
        <v>0.4234</v>
      </c>
      <c r="G264" s="1">
        <v>3.5449000000000002</v>
      </c>
      <c r="H264" s="1">
        <v>4.8727999999999998</v>
      </c>
      <c r="I264" s="1">
        <v>1.3406</v>
      </c>
      <c r="J264" s="1">
        <v>6.6536999999999997</v>
      </c>
      <c r="K264" s="1">
        <v>2302.4499999999998</v>
      </c>
      <c r="L264" s="1">
        <v>0</v>
      </c>
    </row>
    <row r="265" spans="1:12" x14ac:dyDescent="0.35">
      <c r="A265" s="6" t="s">
        <v>790</v>
      </c>
      <c r="B265" s="1" t="str">
        <f t="shared" si="8"/>
        <v>Corumba IV</v>
      </c>
      <c r="C265" s="1">
        <f t="shared" si="9"/>
        <v>-2194</v>
      </c>
      <c r="D265" s="1">
        <v>0</v>
      </c>
      <c r="E265" s="1">
        <v>0</v>
      </c>
      <c r="F265" s="1">
        <v>0</v>
      </c>
      <c r="G265" s="1">
        <v>0.3629</v>
      </c>
      <c r="H265" s="1">
        <v>37.481999999999999</v>
      </c>
      <c r="I265" s="1">
        <v>5.1562000000000001</v>
      </c>
      <c r="J265" s="1">
        <v>32.688699999999997</v>
      </c>
      <c r="K265" s="1">
        <v>0</v>
      </c>
      <c r="L265" s="1">
        <v>0</v>
      </c>
    </row>
    <row r="266" spans="1:12" hidden="1" x14ac:dyDescent="0.35">
      <c r="A266" s="6" t="s">
        <v>791</v>
      </c>
      <c r="B266" s="1" t="str">
        <f t="shared" si="8"/>
        <v>Lago Paranoa</v>
      </c>
      <c r="C266" s="1">
        <f t="shared" si="9"/>
        <v>-2194</v>
      </c>
      <c r="D266" s="1">
        <v>0</v>
      </c>
      <c r="E266" s="1">
        <v>2302.4499999999998</v>
      </c>
      <c r="F266" s="1">
        <v>0.4234</v>
      </c>
      <c r="G266" s="1">
        <v>3.1116000000000001</v>
      </c>
      <c r="H266" s="1">
        <v>4.5210999999999997</v>
      </c>
      <c r="I266" s="1">
        <v>1.3406</v>
      </c>
      <c r="J266" s="1">
        <v>5.8688000000000002</v>
      </c>
      <c r="K266" s="1">
        <v>2302.4499999999998</v>
      </c>
      <c r="L266" s="1">
        <v>0</v>
      </c>
    </row>
    <row r="267" spans="1:12" x14ac:dyDescent="0.35">
      <c r="A267" s="6" t="s">
        <v>792</v>
      </c>
      <c r="B267" s="1" t="str">
        <f t="shared" si="8"/>
        <v>Corumba IV</v>
      </c>
      <c r="C267" s="1">
        <f t="shared" si="9"/>
        <v>-2193</v>
      </c>
      <c r="D267" s="1">
        <v>0</v>
      </c>
      <c r="E267" s="1">
        <v>0</v>
      </c>
      <c r="F267" s="1">
        <v>0</v>
      </c>
      <c r="G267" s="1">
        <v>0.3629</v>
      </c>
      <c r="H267" s="1">
        <v>36.312199999999997</v>
      </c>
      <c r="I267" s="1">
        <v>4.6254999999999997</v>
      </c>
      <c r="J267" s="1">
        <v>32.049599999999998</v>
      </c>
      <c r="K267" s="1">
        <v>0</v>
      </c>
      <c r="L267" s="1">
        <v>0</v>
      </c>
    </row>
    <row r="268" spans="1:12" hidden="1" x14ac:dyDescent="0.35">
      <c r="A268" s="6" t="s">
        <v>793</v>
      </c>
      <c r="B268" s="1" t="str">
        <f t="shared" si="8"/>
        <v>Lago Paranoa</v>
      </c>
      <c r="C268" s="1">
        <f t="shared" si="9"/>
        <v>-2193</v>
      </c>
      <c r="D268" s="1">
        <v>0</v>
      </c>
      <c r="E268" s="1">
        <v>2302.4499999999998</v>
      </c>
      <c r="F268" s="1">
        <v>0.4234</v>
      </c>
      <c r="G268" s="1">
        <v>2.5259</v>
      </c>
      <c r="H268" s="1">
        <v>4.0384000000000002</v>
      </c>
      <c r="I268" s="1">
        <v>1.2406999999999999</v>
      </c>
      <c r="J268" s="1">
        <v>4.9002999999999997</v>
      </c>
      <c r="K268" s="1">
        <v>2302.4499999999998</v>
      </c>
      <c r="L268" s="1">
        <v>0</v>
      </c>
    </row>
    <row r="269" spans="1:12" x14ac:dyDescent="0.35">
      <c r="A269" s="6" t="s">
        <v>794</v>
      </c>
      <c r="B269" s="1" t="str">
        <f t="shared" si="8"/>
        <v>Corumba IV</v>
      </c>
      <c r="C269" s="1">
        <f t="shared" si="9"/>
        <v>-2192</v>
      </c>
      <c r="D269" s="1">
        <v>0</v>
      </c>
      <c r="E269" s="1">
        <v>0</v>
      </c>
      <c r="F269" s="1">
        <v>0</v>
      </c>
      <c r="G269" s="1">
        <v>0.3629</v>
      </c>
      <c r="H269" s="1">
        <v>41.816699999999997</v>
      </c>
      <c r="I269" s="1">
        <v>4.5369999999999999</v>
      </c>
      <c r="J269" s="1">
        <v>37.642600000000002</v>
      </c>
      <c r="K269" s="1">
        <v>0</v>
      </c>
      <c r="L269" s="1">
        <v>0</v>
      </c>
    </row>
    <row r="270" spans="1:12" hidden="1" x14ac:dyDescent="0.35">
      <c r="A270" s="6" t="s">
        <v>795</v>
      </c>
      <c r="B270" s="1" t="str">
        <f t="shared" si="8"/>
        <v>Lago Paranoa</v>
      </c>
      <c r="C270" s="1">
        <f t="shared" si="9"/>
        <v>-2192</v>
      </c>
      <c r="D270" s="1">
        <v>0</v>
      </c>
      <c r="E270" s="1">
        <v>2302.4499999999998</v>
      </c>
      <c r="F270" s="1">
        <v>0.4234</v>
      </c>
      <c r="G270" s="1">
        <v>1.9874000000000001</v>
      </c>
      <c r="H270" s="1">
        <v>4.2929000000000004</v>
      </c>
      <c r="I270" s="1">
        <v>1.224</v>
      </c>
      <c r="J270" s="1">
        <v>4.6329000000000002</v>
      </c>
      <c r="K270" s="1">
        <v>2302.4499999999998</v>
      </c>
      <c r="L270" s="1">
        <v>0</v>
      </c>
    </row>
    <row r="271" spans="1:12" x14ac:dyDescent="0.35">
      <c r="A271" s="6" t="s">
        <v>796</v>
      </c>
      <c r="B271" s="1" t="str">
        <f t="shared" si="8"/>
        <v>Corumba IV</v>
      </c>
      <c r="C271" s="1">
        <f t="shared" si="9"/>
        <v>-2191</v>
      </c>
      <c r="D271" s="1">
        <v>0</v>
      </c>
      <c r="E271" s="1">
        <v>0</v>
      </c>
      <c r="F271" s="1">
        <v>0</v>
      </c>
      <c r="G271" s="1">
        <v>0.3629</v>
      </c>
      <c r="H271" s="1">
        <v>54.0199</v>
      </c>
      <c r="I271" s="1">
        <v>4.5369999999999999</v>
      </c>
      <c r="J271" s="1">
        <v>49.845700000000001</v>
      </c>
      <c r="K271" s="1">
        <v>0</v>
      </c>
      <c r="L271" s="1">
        <v>0</v>
      </c>
    </row>
    <row r="272" spans="1:12" hidden="1" x14ac:dyDescent="0.35">
      <c r="A272" s="6" t="s">
        <v>797</v>
      </c>
      <c r="B272" s="1" t="str">
        <f t="shared" si="8"/>
        <v>Lago Paranoa</v>
      </c>
      <c r="C272" s="1">
        <f t="shared" si="9"/>
        <v>-2191</v>
      </c>
      <c r="D272" s="1">
        <v>0</v>
      </c>
      <c r="E272" s="1">
        <v>2302.4499999999998</v>
      </c>
      <c r="F272" s="1">
        <v>0.4234</v>
      </c>
      <c r="G272" s="1">
        <v>2.2265999999999999</v>
      </c>
      <c r="H272" s="1">
        <v>4.3555000000000001</v>
      </c>
      <c r="I272" s="1">
        <v>1.224</v>
      </c>
      <c r="J272" s="1">
        <v>4.9347000000000003</v>
      </c>
      <c r="K272" s="1">
        <v>2302.4499999999998</v>
      </c>
      <c r="L272" s="1">
        <v>0</v>
      </c>
    </row>
    <row r="273" spans="1:12" x14ac:dyDescent="0.35">
      <c r="A273" s="6" t="s">
        <v>798</v>
      </c>
      <c r="B273" s="1" t="str">
        <f t="shared" si="8"/>
        <v>Corumba IV</v>
      </c>
      <c r="C273" s="1">
        <f t="shared" si="9"/>
        <v>-2190</v>
      </c>
      <c r="D273" s="1">
        <v>0</v>
      </c>
      <c r="E273" s="1">
        <v>0</v>
      </c>
      <c r="F273" s="1">
        <v>0</v>
      </c>
      <c r="G273" s="1">
        <v>0.3629</v>
      </c>
      <c r="H273" s="1">
        <v>36.803800000000003</v>
      </c>
      <c r="I273" s="1">
        <v>4.5369999999999999</v>
      </c>
      <c r="J273" s="1">
        <v>32.629600000000003</v>
      </c>
      <c r="K273" s="1">
        <v>0</v>
      </c>
      <c r="L273" s="1">
        <v>0</v>
      </c>
    </row>
    <row r="274" spans="1:12" hidden="1" x14ac:dyDescent="0.35">
      <c r="A274" s="6" t="s">
        <v>799</v>
      </c>
      <c r="B274" s="1" t="str">
        <f t="shared" si="8"/>
        <v>Lago Paranoa</v>
      </c>
      <c r="C274" s="1">
        <f t="shared" si="9"/>
        <v>-2190</v>
      </c>
      <c r="D274" s="1">
        <v>0</v>
      </c>
      <c r="E274" s="1">
        <v>2302.4499999999998</v>
      </c>
      <c r="F274" s="1">
        <v>0.4234</v>
      </c>
      <c r="G274" s="1">
        <v>2.0251000000000001</v>
      </c>
      <c r="H274" s="1">
        <v>4.1985000000000001</v>
      </c>
      <c r="I274" s="1">
        <v>1.224</v>
      </c>
      <c r="J274" s="1">
        <v>4.5762</v>
      </c>
      <c r="K274" s="1">
        <v>2302.4499999999998</v>
      </c>
      <c r="L274" s="1">
        <v>0</v>
      </c>
    </row>
    <row r="275" spans="1:12" x14ac:dyDescent="0.35">
      <c r="A275" s="6" t="s">
        <v>800</v>
      </c>
      <c r="B275" s="1" t="str">
        <f t="shared" si="8"/>
        <v>Corumba IV</v>
      </c>
      <c r="C275" s="1">
        <f t="shared" si="9"/>
        <v>-2189</v>
      </c>
      <c r="D275" s="1">
        <v>0</v>
      </c>
      <c r="E275" s="1">
        <v>0</v>
      </c>
      <c r="F275" s="1">
        <v>0</v>
      </c>
      <c r="G275" s="1">
        <v>0.3629</v>
      </c>
      <c r="H275" s="1">
        <v>60.804000000000002</v>
      </c>
      <c r="I275" s="1">
        <v>4.1109</v>
      </c>
      <c r="J275" s="1">
        <v>57.055999999999997</v>
      </c>
      <c r="K275" s="1">
        <v>0</v>
      </c>
      <c r="L275" s="1">
        <v>0</v>
      </c>
    </row>
    <row r="276" spans="1:12" hidden="1" x14ac:dyDescent="0.35">
      <c r="A276" s="6" t="s">
        <v>801</v>
      </c>
      <c r="B276" s="1" t="str">
        <f t="shared" si="8"/>
        <v>Lago Paranoa</v>
      </c>
      <c r="C276" s="1">
        <f t="shared" si="9"/>
        <v>-2189</v>
      </c>
      <c r="D276" s="1">
        <v>0</v>
      </c>
      <c r="E276" s="1">
        <v>2302.4499999999998</v>
      </c>
      <c r="F276" s="1">
        <v>0.32869999999999999</v>
      </c>
      <c r="G276" s="1">
        <v>2.6419999999999999</v>
      </c>
      <c r="H276" s="1">
        <v>6.6169000000000002</v>
      </c>
      <c r="I276" s="1">
        <v>1.1204000000000001</v>
      </c>
      <c r="J276" s="1">
        <v>7.8098999999999998</v>
      </c>
      <c r="K276" s="1">
        <v>2302.4499999999998</v>
      </c>
      <c r="L276" s="1">
        <v>0</v>
      </c>
    </row>
    <row r="277" spans="1:12" x14ac:dyDescent="0.35">
      <c r="A277" s="6" t="s">
        <v>802</v>
      </c>
      <c r="B277" s="1" t="str">
        <f t="shared" si="8"/>
        <v>Corumba IV</v>
      </c>
      <c r="C277" s="1">
        <f t="shared" si="9"/>
        <v>-2188</v>
      </c>
      <c r="D277" s="1">
        <v>0</v>
      </c>
      <c r="E277" s="1">
        <v>0</v>
      </c>
      <c r="F277" s="1">
        <v>0</v>
      </c>
      <c r="G277" s="1">
        <v>0.3629</v>
      </c>
      <c r="H277" s="1">
        <v>49.844999999999999</v>
      </c>
      <c r="I277" s="1">
        <v>3.8622000000000001</v>
      </c>
      <c r="J277" s="1">
        <v>46.345700000000001</v>
      </c>
      <c r="K277" s="1">
        <v>0</v>
      </c>
      <c r="L277" s="1">
        <v>0</v>
      </c>
    </row>
    <row r="278" spans="1:12" hidden="1" x14ac:dyDescent="0.35">
      <c r="A278" s="6" t="s">
        <v>803</v>
      </c>
      <c r="B278" s="1" t="str">
        <f t="shared" si="8"/>
        <v>Lago Paranoa</v>
      </c>
      <c r="C278" s="1">
        <f t="shared" si="9"/>
        <v>-2188</v>
      </c>
      <c r="D278" s="1">
        <v>0</v>
      </c>
      <c r="E278" s="1">
        <v>2302.4499999999998</v>
      </c>
      <c r="F278" s="1">
        <v>0.32900000000000001</v>
      </c>
      <c r="G278" s="1">
        <v>1.8917999999999999</v>
      </c>
      <c r="H278" s="1">
        <v>5.5041000000000002</v>
      </c>
      <c r="I278" s="1">
        <v>1.0087999999999999</v>
      </c>
      <c r="J278" s="1">
        <v>6.0582000000000003</v>
      </c>
      <c r="K278" s="1">
        <v>2302.4499999999998</v>
      </c>
      <c r="L278" s="1">
        <v>0</v>
      </c>
    </row>
    <row r="279" spans="1:12" x14ac:dyDescent="0.35">
      <c r="A279" s="6" t="s">
        <v>804</v>
      </c>
      <c r="B279" s="1" t="str">
        <f t="shared" si="8"/>
        <v>Corumba IV</v>
      </c>
      <c r="C279" s="1">
        <f t="shared" si="9"/>
        <v>-2187</v>
      </c>
      <c r="D279" s="1">
        <v>0</v>
      </c>
      <c r="E279" s="1">
        <v>0</v>
      </c>
      <c r="F279" s="1">
        <v>0</v>
      </c>
      <c r="G279" s="1">
        <v>0.3629</v>
      </c>
      <c r="H279" s="1">
        <v>93.916799999999995</v>
      </c>
      <c r="I279" s="1">
        <v>3.8445999999999998</v>
      </c>
      <c r="J279" s="1">
        <v>90.435100000000006</v>
      </c>
      <c r="K279" s="1">
        <v>0</v>
      </c>
      <c r="L279" s="1">
        <v>0</v>
      </c>
    </row>
    <row r="280" spans="1:12" hidden="1" x14ac:dyDescent="0.35">
      <c r="A280" s="6" t="s">
        <v>805</v>
      </c>
      <c r="B280" s="1" t="str">
        <f t="shared" si="8"/>
        <v>Lago Paranoa</v>
      </c>
      <c r="C280" s="1">
        <f t="shared" si="9"/>
        <v>-2187</v>
      </c>
      <c r="D280" s="1">
        <v>0</v>
      </c>
      <c r="E280" s="1">
        <v>2302.4499999999998</v>
      </c>
      <c r="F280" s="1">
        <v>0.32929999999999998</v>
      </c>
      <c r="G280" s="1">
        <v>2.8203999999999998</v>
      </c>
      <c r="H280" s="1">
        <v>6.9621000000000004</v>
      </c>
      <c r="I280" s="1">
        <v>0.98880000000000001</v>
      </c>
      <c r="J280" s="1">
        <v>8.4644999999999992</v>
      </c>
      <c r="K280" s="1">
        <v>2302.4499999999998</v>
      </c>
      <c r="L280" s="1">
        <v>0</v>
      </c>
    </row>
    <row r="281" spans="1:12" x14ac:dyDescent="0.35">
      <c r="A281" s="6" t="s">
        <v>806</v>
      </c>
      <c r="B281" s="1" t="str">
        <f t="shared" si="8"/>
        <v>Corumba IV</v>
      </c>
      <c r="C281" s="1">
        <f t="shared" si="9"/>
        <v>-2186</v>
      </c>
      <c r="D281" s="1">
        <v>0</v>
      </c>
      <c r="E281" s="1">
        <v>0</v>
      </c>
      <c r="F281" s="1">
        <v>0</v>
      </c>
      <c r="G281" s="1">
        <v>0.3629</v>
      </c>
      <c r="H281" s="1">
        <v>93.255799999999994</v>
      </c>
      <c r="I281" s="1">
        <v>3.8445999999999998</v>
      </c>
      <c r="J281" s="1">
        <v>89.774100000000004</v>
      </c>
      <c r="K281" s="1">
        <v>0</v>
      </c>
      <c r="L281" s="1">
        <v>0</v>
      </c>
    </row>
    <row r="282" spans="1:12" hidden="1" x14ac:dyDescent="0.35">
      <c r="A282" s="6" t="s">
        <v>807</v>
      </c>
      <c r="B282" s="1" t="str">
        <f t="shared" si="8"/>
        <v>Lago Paranoa</v>
      </c>
      <c r="C282" s="1">
        <f t="shared" si="9"/>
        <v>-2186</v>
      </c>
      <c r="D282" s="1">
        <v>0</v>
      </c>
      <c r="E282" s="1">
        <v>2302.4499999999998</v>
      </c>
      <c r="F282" s="1">
        <v>0.3296</v>
      </c>
      <c r="G282" s="1">
        <v>3.2823000000000002</v>
      </c>
      <c r="H282" s="1">
        <v>8.8779000000000003</v>
      </c>
      <c r="I282" s="1">
        <v>0.98880000000000001</v>
      </c>
      <c r="J282" s="1">
        <v>10.841900000000001</v>
      </c>
      <c r="K282" s="1">
        <v>2302.4499999999998</v>
      </c>
      <c r="L282" s="1">
        <v>0</v>
      </c>
    </row>
    <row r="283" spans="1:12" x14ac:dyDescent="0.35">
      <c r="A283" s="6" t="s">
        <v>808</v>
      </c>
      <c r="B283" s="1" t="str">
        <f t="shared" si="8"/>
        <v>Corumba IV</v>
      </c>
      <c r="C283" s="1">
        <f t="shared" si="9"/>
        <v>-2185</v>
      </c>
      <c r="D283" s="1">
        <v>0</v>
      </c>
      <c r="E283" s="1">
        <v>0</v>
      </c>
      <c r="F283" s="1">
        <v>0</v>
      </c>
      <c r="G283" s="1">
        <v>0.3629</v>
      </c>
      <c r="H283" s="1">
        <v>170.64689999999999</v>
      </c>
      <c r="I283" s="1">
        <v>3.8672</v>
      </c>
      <c r="J283" s="1">
        <v>167.14259999999999</v>
      </c>
      <c r="K283" s="1">
        <v>0</v>
      </c>
      <c r="L283" s="1">
        <v>0</v>
      </c>
    </row>
    <row r="284" spans="1:12" hidden="1" x14ac:dyDescent="0.35">
      <c r="A284" s="6" t="s">
        <v>809</v>
      </c>
      <c r="B284" s="1" t="str">
        <f t="shared" si="8"/>
        <v>Lago Paranoa</v>
      </c>
      <c r="C284" s="1">
        <f t="shared" si="9"/>
        <v>-2185</v>
      </c>
      <c r="D284" s="1">
        <v>0</v>
      </c>
      <c r="E284" s="1">
        <v>2302.4499999999998</v>
      </c>
      <c r="F284" s="1">
        <v>0.32990000000000003</v>
      </c>
      <c r="G284" s="1">
        <v>2.7212000000000001</v>
      </c>
      <c r="H284" s="1">
        <v>7.8133999999999997</v>
      </c>
      <c r="I284" s="1">
        <v>0.96950000000000003</v>
      </c>
      <c r="J284" s="1">
        <v>9.2352000000000007</v>
      </c>
      <c r="K284" s="1">
        <v>2302.4499999999998</v>
      </c>
      <c r="L284" s="1">
        <v>0</v>
      </c>
    </row>
    <row r="285" spans="1:12" x14ac:dyDescent="0.35">
      <c r="A285" s="6" t="s">
        <v>810</v>
      </c>
      <c r="B285" s="1" t="str">
        <f t="shared" si="8"/>
        <v>Corumba IV</v>
      </c>
      <c r="C285" s="1">
        <f t="shared" si="9"/>
        <v>-2184</v>
      </c>
      <c r="D285" s="1">
        <v>0</v>
      </c>
      <c r="E285" s="1">
        <v>0</v>
      </c>
      <c r="F285" s="1">
        <v>0</v>
      </c>
      <c r="G285" s="1">
        <v>0.3629</v>
      </c>
      <c r="H285" s="1">
        <v>104.3617</v>
      </c>
      <c r="I285" s="1">
        <v>4.1234999999999999</v>
      </c>
      <c r="J285" s="1">
        <v>100.6011</v>
      </c>
      <c r="K285" s="1">
        <v>0</v>
      </c>
      <c r="L285" s="1">
        <v>0</v>
      </c>
    </row>
    <row r="286" spans="1:12" hidden="1" x14ac:dyDescent="0.35">
      <c r="A286" s="6" t="s">
        <v>811</v>
      </c>
      <c r="B286" s="1" t="str">
        <f t="shared" si="8"/>
        <v>Lago Paranoa</v>
      </c>
      <c r="C286" s="1">
        <f t="shared" si="9"/>
        <v>-2184</v>
      </c>
      <c r="D286" s="1">
        <v>0</v>
      </c>
      <c r="E286" s="1">
        <v>2302.4499999999998</v>
      </c>
      <c r="F286" s="1">
        <v>0.36990000000000001</v>
      </c>
      <c r="G286" s="1">
        <v>2.8138999999999998</v>
      </c>
      <c r="H286" s="1">
        <v>8.4748000000000001</v>
      </c>
      <c r="I286" s="1">
        <v>0.90149999999999997</v>
      </c>
      <c r="J286" s="1">
        <v>10.0174</v>
      </c>
      <c r="K286" s="1">
        <v>2302.4499999999998</v>
      </c>
      <c r="L286" s="1">
        <v>0</v>
      </c>
    </row>
    <row r="287" spans="1:12" x14ac:dyDescent="0.35">
      <c r="A287" s="6" t="s">
        <v>812</v>
      </c>
      <c r="B287" s="1" t="str">
        <f t="shared" si="8"/>
        <v>Corumba IV</v>
      </c>
      <c r="C287" s="1">
        <f t="shared" si="9"/>
        <v>-2183</v>
      </c>
      <c r="D287" s="1">
        <v>0</v>
      </c>
      <c r="E287" s="1">
        <v>0</v>
      </c>
      <c r="F287" s="1">
        <v>0</v>
      </c>
      <c r="G287" s="1">
        <v>0.3629</v>
      </c>
      <c r="H287" s="1">
        <v>235.99119999999999</v>
      </c>
      <c r="I287" s="1">
        <v>4.8460999999999999</v>
      </c>
      <c r="J287" s="1">
        <v>231.50800000000001</v>
      </c>
      <c r="K287" s="1">
        <v>0</v>
      </c>
      <c r="L287" s="1">
        <v>0</v>
      </c>
    </row>
    <row r="288" spans="1:12" hidden="1" x14ac:dyDescent="0.35">
      <c r="A288" s="6" t="s">
        <v>813</v>
      </c>
      <c r="B288" s="1" t="str">
        <f t="shared" si="8"/>
        <v>Lago Paranoa</v>
      </c>
      <c r="C288" s="1">
        <f t="shared" si="9"/>
        <v>-2183</v>
      </c>
      <c r="D288" s="1">
        <v>0</v>
      </c>
      <c r="E288" s="1">
        <v>2302.4499999999998</v>
      </c>
      <c r="F288" s="1">
        <v>0.35360000000000003</v>
      </c>
      <c r="G288" s="1">
        <v>7.2826000000000004</v>
      </c>
      <c r="H288" s="1">
        <v>31.590800000000002</v>
      </c>
      <c r="I288" s="1">
        <v>1.1865000000000001</v>
      </c>
      <c r="J288" s="1">
        <v>37.333300000000001</v>
      </c>
      <c r="K288" s="1">
        <v>2302.4499999999998</v>
      </c>
      <c r="L288" s="1">
        <v>0</v>
      </c>
    </row>
    <row r="289" spans="1:12" x14ac:dyDescent="0.35">
      <c r="A289" s="6" t="s">
        <v>814</v>
      </c>
      <c r="B289" s="1" t="str">
        <f t="shared" si="8"/>
        <v>Corumba IV</v>
      </c>
      <c r="C289" s="1">
        <f t="shared" si="9"/>
        <v>-2182</v>
      </c>
      <c r="D289" s="1">
        <v>0</v>
      </c>
      <c r="E289" s="1">
        <v>0</v>
      </c>
      <c r="F289" s="1">
        <v>0</v>
      </c>
      <c r="G289" s="1">
        <v>10.5703</v>
      </c>
      <c r="H289" s="1">
        <v>358.2835</v>
      </c>
      <c r="I289" s="1">
        <v>4.8460999999999999</v>
      </c>
      <c r="J289" s="1">
        <v>364.00779999999997</v>
      </c>
      <c r="K289" s="1">
        <v>0</v>
      </c>
      <c r="L289" s="1">
        <v>0</v>
      </c>
    </row>
    <row r="290" spans="1:12" hidden="1" x14ac:dyDescent="0.35">
      <c r="A290" s="6" t="s">
        <v>815</v>
      </c>
      <c r="B290" s="1" t="str">
        <f t="shared" si="8"/>
        <v>Lago Paranoa</v>
      </c>
      <c r="C290" s="1">
        <f t="shared" si="9"/>
        <v>-2182</v>
      </c>
      <c r="D290" s="1">
        <v>0</v>
      </c>
      <c r="E290" s="1">
        <v>2302.4499999999998</v>
      </c>
      <c r="F290" s="1">
        <v>0.35389999999999999</v>
      </c>
      <c r="G290" s="1">
        <v>10.8401</v>
      </c>
      <c r="H290" s="1">
        <v>39.002299999999998</v>
      </c>
      <c r="I290" s="1">
        <v>1.1865000000000001</v>
      </c>
      <c r="J290" s="1">
        <v>48.301900000000003</v>
      </c>
      <c r="K290" s="1">
        <v>2302.4499999999998</v>
      </c>
      <c r="L290" s="1">
        <v>0</v>
      </c>
    </row>
    <row r="291" spans="1:12" x14ac:dyDescent="0.35">
      <c r="A291" s="6" t="s">
        <v>816</v>
      </c>
      <c r="B291" s="1" t="str">
        <f t="shared" si="8"/>
        <v>Corumba IV</v>
      </c>
      <c r="C291" s="1">
        <f t="shared" si="9"/>
        <v>-2285</v>
      </c>
      <c r="D291" s="1">
        <v>0</v>
      </c>
      <c r="E291" s="1">
        <v>0</v>
      </c>
      <c r="F291" s="1">
        <v>0</v>
      </c>
      <c r="G291" s="1">
        <v>7.1001000000000003</v>
      </c>
      <c r="H291" s="1">
        <v>198.75800000000001</v>
      </c>
      <c r="I291" s="1">
        <v>2.9394</v>
      </c>
      <c r="J291" s="1">
        <v>202.9187</v>
      </c>
      <c r="K291" s="1">
        <v>0</v>
      </c>
      <c r="L291" s="1">
        <v>0</v>
      </c>
    </row>
    <row r="292" spans="1:12" hidden="1" x14ac:dyDescent="0.35">
      <c r="A292" s="6" t="s">
        <v>817</v>
      </c>
      <c r="B292" s="1" t="str">
        <f t="shared" si="8"/>
        <v>Lago Paranoa</v>
      </c>
      <c r="C292" s="1">
        <f t="shared" si="9"/>
        <v>-2285</v>
      </c>
      <c r="D292" s="1">
        <v>0</v>
      </c>
      <c r="E292" s="1">
        <v>2302.4499999999998</v>
      </c>
      <c r="F292" s="1">
        <v>0.3543</v>
      </c>
      <c r="G292" s="1">
        <v>4.7394999999999996</v>
      </c>
      <c r="H292" s="1">
        <v>17.9499</v>
      </c>
      <c r="I292" s="1">
        <v>0.79059999999999997</v>
      </c>
      <c r="J292" s="1">
        <v>21.544599999999999</v>
      </c>
      <c r="K292" s="1">
        <v>2302.4499999999998</v>
      </c>
      <c r="L292" s="1">
        <v>0</v>
      </c>
    </row>
    <row r="293" spans="1:12" x14ac:dyDescent="0.35">
      <c r="A293" s="6" t="s">
        <v>818</v>
      </c>
      <c r="B293" s="1" t="str">
        <f t="shared" si="8"/>
        <v>Corumba IV</v>
      </c>
      <c r="C293" s="1">
        <f t="shared" si="9"/>
        <v>-2284</v>
      </c>
      <c r="D293" s="1">
        <v>0</v>
      </c>
      <c r="E293" s="1">
        <v>0</v>
      </c>
      <c r="F293" s="1">
        <v>0</v>
      </c>
      <c r="G293" s="1">
        <v>9.4770000000000003</v>
      </c>
      <c r="H293" s="1">
        <v>319.79140000000001</v>
      </c>
      <c r="I293" s="1">
        <v>3.9895999999999998</v>
      </c>
      <c r="J293" s="1">
        <v>325.27890000000002</v>
      </c>
      <c r="K293" s="1">
        <v>0</v>
      </c>
      <c r="L293" s="1">
        <v>0</v>
      </c>
    </row>
    <row r="294" spans="1:12" hidden="1" x14ac:dyDescent="0.35">
      <c r="A294" s="6" t="s">
        <v>819</v>
      </c>
      <c r="B294" s="1" t="str">
        <f t="shared" si="8"/>
        <v>Lago Paranoa</v>
      </c>
      <c r="C294" s="1">
        <f t="shared" si="9"/>
        <v>-2284</v>
      </c>
      <c r="D294" s="1">
        <v>0</v>
      </c>
      <c r="E294" s="1">
        <v>2302.4499999999998</v>
      </c>
      <c r="F294" s="1">
        <v>0.4234</v>
      </c>
      <c r="G294" s="1">
        <v>6.0182000000000002</v>
      </c>
      <c r="H294" s="1">
        <v>24.6525</v>
      </c>
      <c r="I294" s="1">
        <v>1.0388999999999999</v>
      </c>
      <c r="J294" s="1">
        <v>29.208500000000001</v>
      </c>
      <c r="K294" s="1">
        <v>2302.4499999999998</v>
      </c>
      <c r="L294" s="1">
        <v>0</v>
      </c>
    </row>
    <row r="295" spans="1:12" x14ac:dyDescent="0.35">
      <c r="A295" s="6" t="s">
        <v>820</v>
      </c>
      <c r="B295" s="1" t="str">
        <f t="shared" si="8"/>
        <v>Corumba IV</v>
      </c>
      <c r="C295" s="1">
        <f t="shared" si="9"/>
        <v>-2283</v>
      </c>
      <c r="D295" s="1">
        <v>0</v>
      </c>
      <c r="E295" s="1">
        <v>0</v>
      </c>
      <c r="F295" s="1">
        <v>0</v>
      </c>
      <c r="G295" s="1">
        <v>4.4272999999999998</v>
      </c>
      <c r="H295" s="1">
        <v>202.28139999999999</v>
      </c>
      <c r="I295" s="1">
        <v>4.1646000000000001</v>
      </c>
      <c r="J295" s="1">
        <v>202.54409999999999</v>
      </c>
      <c r="K295" s="1">
        <v>0</v>
      </c>
      <c r="L295" s="1">
        <v>0</v>
      </c>
    </row>
    <row r="296" spans="1:12" hidden="1" x14ac:dyDescent="0.35">
      <c r="A296" s="6" t="s">
        <v>821</v>
      </c>
      <c r="B296" s="1" t="str">
        <f t="shared" si="8"/>
        <v>Lago Paranoa</v>
      </c>
      <c r="C296" s="1">
        <f t="shared" si="9"/>
        <v>-2283</v>
      </c>
      <c r="D296" s="1">
        <v>0</v>
      </c>
      <c r="E296" s="1">
        <v>2302.4499999999998</v>
      </c>
      <c r="F296" s="1">
        <v>0.4234</v>
      </c>
      <c r="G296" s="1">
        <v>3.7686999999999999</v>
      </c>
      <c r="H296" s="1">
        <v>14.2934</v>
      </c>
      <c r="I296" s="1">
        <v>1.0802</v>
      </c>
      <c r="J296" s="1">
        <v>16.558499999999999</v>
      </c>
      <c r="K296" s="1">
        <v>2302.4499999999998</v>
      </c>
      <c r="L296" s="1">
        <v>0</v>
      </c>
    </row>
    <row r="297" spans="1:12" x14ac:dyDescent="0.35">
      <c r="A297" s="6" t="s">
        <v>822</v>
      </c>
      <c r="B297" s="1" t="str">
        <f t="shared" si="8"/>
        <v>Corumba IV</v>
      </c>
      <c r="C297" s="1">
        <f t="shared" si="9"/>
        <v>-2282</v>
      </c>
      <c r="D297" s="1">
        <v>0</v>
      </c>
      <c r="E297" s="1">
        <v>0</v>
      </c>
      <c r="F297" s="1">
        <v>0</v>
      </c>
      <c r="G297" s="1">
        <v>2.3529</v>
      </c>
      <c r="H297" s="1">
        <v>129.9015</v>
      </c>
      <c r="I297" s="1">
        <v>4.1646000000000001</v>
      </c>
      <c r="J297" s="1">
        <v>128.0898</v>
      </c>
      <c r="K297" s="1">
        <v>0</v>
      </c>
      <c r="L297" s="1">
        <v>0</v>
      </c>
    </row>
    <row r="298" spans="1:12" hidden="1" x14ac:dyDescent="0.35">
      <c r="A298" s="6" t="s">
        <v>823</v>
      </c>
      <c r="B298" s="1" t="str">
        <f t="shared" si="8"/>
        <v>Lago Paranoa</v>
      </c>
      <c r="C298" s="1">
        <f t="shared" si="9"/>
        <v>-2282</v>
      </c>
      <c r="D298" s="1">
        <v>0</v>
      </c>
      <c r="E298" s="1">
        <v>2302.4499999999998</v>
      </c>
      <c r="F298" s="1">
        <v>0.4234</v>
      </c>
      <c r="G298" s="1">
        <v>3.0769000000000002</v>
      </c>
      <c r="H298" s="1">
        <v>10.3574</v>
      </c>
      <c r="I298" s="1">
        <v>1.0802</v>
      </c>
      <c r="J298" s="1">
        <v>11.9307</v>
      </c>
      <c r="K298" s="1">
        <v>2302.4499999999998</v>
      </c>
      <c r="L298" s="1">
        <v>0</v>
      </c>
    </row>
    <row r="299" spans="1:12" x14ac:dyDescent="0.35">
      <c r="A299" s="6" t="s">
        <v>824</v>
      </c>
      <c r="B299" s="1" t="str">
        <f t="shared" si="8"/>
        <v>Corumba IV</v>
      </c>
      <c r="C299" s="1">
        <f t="shared" si="9"/>
        <v>-2281</v>
      </c>
      <c r="D299" s="1">
        <v>0</v>
      </c>
      <c r="E299" s="1">
        <v>0</v>
      </c>
      <c r="F299" s="1">
        <v>0</v>
      </c>
      <c r="G299" s="1">
        <v>1.6832</v>
      </c>
      <c r="H299" s="1">
        <v>110.9238</v>
      </c>
      <c r="I299" s="1">
        <v>3.8622000000000001</v>
      </c>
      <c r="J299" s="1">
        <v>108.7448</v>
      </c>
      <c r="K299" s="1">
        <v>0</v>
      </c>
      <c r="L299" s="1">
        <v>0</v>
      </c>
    </row>
    <row r="300" spans="1:12" hidden="1" x14ac:dyDescent="0.35">
      <c r="A300" s="6" t="s">
        <v>825</v>
      </c>
      <c r="B300" s="1" t="str">
        <f t="shared" si="8"/>
        <v>Lago Paranoa</v>
      </c>
      <c r="C300" s="1">
        <f t="shared" si="9"/>
        <v>-2281</v>
      </c>
      <c r="D300" s="1">
        <v>0</v>
      </c>
      <c r="E300" s="1">
        <v>2302.4499999999998</v>
      </c>
      <c r="F300" s="1">
        <v>0.4234</v>
      </c>
      <c r="G300" s="1">
        <v>3.4096000000000002</v>
      </c>
      <c r="H300" s="1">
        <v>10.0678</v>
      </c>
      <c r="I300" s="1">
        <v>0.99350000000000005</v>
      </c>
      <c r="J300" s="1">
        <v>12.060600000000001</v>
      </c>
      <c r="K300" s="1">
        <v>2302.4499999999998</v>
      </c>
      <c r="L300" s="1">
        <v>0</v>
      </c>
    </row>
    <row r="301" spans="1:12" x14ac:dyDescent="0.35">
      <c r="A301" s="6" t="s">
        <v>826</v>
      </c>
      <c r="B301" s="1" t="str">
        <f t="shared" si="8"/>
        <v>Corumba IV</v>
      </c>
      <c r="C301" s="1">
        <f t="shared" si="9"/>
        <v>-2280</v>
      </c>
      <c r="D301" s="1">
        <v>0</v>
      </c>
      <c r="E301" s="1">
        <v>0</v>
      </c>
      <c r="F301" s="1">
        <v>0</v>
      </c>
      <c r="G301" s="1">
        <v>1.4792000000000001</v>
      </c>
      <c r="H301" s="1">
        <v>102.22499999999999</v>
      </c>
      <c r="I301" s="1">
        <v>3.7919999999999998</v>
      </c>
      <c r="J301" s="1">
        <v>99.912199999999999</v>
      </c>
      <c r="K301" s="1">
        <v>0</v>
      </c>
      <c r="L301" s="1">
        <v>0</v>
      </c>
    </row>
    <row r="302" spans="1:12" hidden="1" x14ac:dyDescent="0.35">
      <c r="A302" s="6" t="s">
        <v>827</v>
      </c>
      <c r="B302" s="1" t="str">
        <f t="shared" si="8"/>
        <v>Lago Paranoa</v>
      </c>
      <c r="C302" s="1">
        <f t="shared" si="9"/>
        <v>-2280</v>
      </c>
      <c r="D302" s="1">
        <v>0</v>
      </c>
      <c r="E302" s="1">
        <v>2302.4499999999998</v>
      </c>
      <c r="F302" s="1">
        <v>0.3054</v>
      </c>
      <c r="G302" s="1">
        <v>3.1446000000000001</v>
      </c>
      <c r="H302" s="1">
        <v>8.9326000000000008</v>
      </c>
      <c r="I302" s="1">
        <v>0.91879999999999995</v>
      </c>
      <c r="J302" s="1">
        <v>10.8531</v>
      </c>
      <c r="K302" s="1">
        <v>2302.4499999999998</v>
      </c>
      <c r="L302" s="1">
        <v>0</v>
      </c>
    </row>
    <row r="303" spans="1:12" x14ac:dyDescent="0.35">
      <c r="A303" s="6" t="s">
        <v>828</v>
      </c>
      <c r="B303" s="1" t="str">
        <f t="shared" si="8"/>
        <v>Corumba IV</v>
      </c>
      <c r="C303" s="1">
        <f t="shared" si="9"/>
        <v>-2279</v>
      </c>
      <c r="D303" s="1">
        <v>0</v>
      </c>
      <c r="E303" s="1">
        <v>0</v>
      </c>
      <c r="F303" s="1">
        <v>0</v>
      </c>
      <c r="G303" s="1">
        <v>0.79269999999999996</v>
      </c>
      <c r="H303" s="1">
        <v>79.253900000000002</v>
      </c>
      <c r="I303" s="1">
        <v>3.8180999999999998</v>
      </c>
      <c r="J303" s="1">
        <v>76.228399999999993</v>
      </c>
      <c r="K303" s="1">
        <v>0</v>
      </c>
      <c r="L303" s="1">
        <v>0</v>
      </c>
    </row>
    <row r="304" spans="1:12" hidden="1" x14ac:dyDescent="0.35">
      <c r="A304" s="6" t="s">
        <v>829</v>
      </c>
      <c r="B304" s="1" t="str">
        <f t="shared" si="8"/>
        <v>Lago Paranoa</v>
      </c>
      <c r="C304" s="1">
        <f t="shared" si="9"/>
        <v>-2279</v>
      </c>
      <c r="D304" s="1">
        <v>0</v>
      </c>
      <c r="E304" s="1">
        <v>2302.4499999999998</v>
      </c>
      <c r="F304" s="1">
        <v>0.30570000000000003</v>
      </c>
      <c r="G304" s="1">
        <v>2.5605000000000002</v>
      </c>
      <c r="H304" s="1">
        <v>7.5693000000000001</v>
      </c>
      <c r="I304" s="1">
        <v>0.91720000000000002</v>
      </c>
      <c r="J304" s="1">
        <v>8.907</v>
      </c>
      <c r="K304" s="1">
        <v>2302.4499999999998</v>
      </c>
      <c r="L304" s="1">
        <v>0</v>
      </c>
    </row>
    <row r="305" spans="1:12" x14ac:dyDescent="0.35">
      <c r="A305" s="6" t="s">
        <v>830</v>
      </c>
      <c r="B305" s="1" t="str">
        <f t="shared" si="8"/>
        <v>Corumba IV</v>
      </c>
      <c r="C305" s="1">
        <f t="shared" si="9"/>
        <v>-2278</v>
      </c>
      <c r="D305" s="1">
        <v>0</v>
      </c>
      <c r="E305" s="1">
        <v>0</v>
      </c>
      <c r="F305" s="1">
        <v>0</v>
      </c>
      <c r="G305" s="1">
        <v>0.59509999999999996</v>
      </c>
      <c r="H305" s="1">
        <v>72.703000000000003</v>
      </c>
      <c r="I305" s="1">
        <v>3.8180999999999998</v>
      </c>
      <c r="J305" s="1">
        <v>69.48</v>
      </c>
      <c r="K305" s="1">
        <v>0</v>
      </c>
      <c r="L305" s="1">
        <v>0</v>
      </c>
    </row>
    <row r="306" spans="1:12" hidden="1" x14ac:dyDescent="0.35">
      <c r="A306" s="6" t="s">
        <v>831</v>
      </c>
      <c r="B306" s="1" t="str">
        <f t="shared" si="8"/>
        <v>Lago Paranoa</v>
      </c>
      <c r="C306" s="1">
        <f t="shared" si="9"/>
        <v>-2278</v>
      </c>
      <c r="D306" s="1">
        <v>0</v>
      </c>
      <c r="E306" s="1">
        <v>2302.4499999999998</v>
      </c>
      <c r="F306" s="1">
        <v>0.30599999999999999</v>
      </c>
      <c r="G306" s="1">
        <v>2.8542999999999998</v>
      </c>
      <c r="H306" s="1">
        <v>7.6966999999999999</v>
      </c>
      <c r="I306" s="1">
        <v>0.91720000000000002</v>
      </c>
      <c r="J306" s="1">
        <v>9.3277999999999999</v>
      </c>
      <c r="K306" s="1">
        <v>2302.4499999999998</v>
      </c>
      <c r="L306" s="1">
        <v>0</v>
      </c>
    </row>
    <row r="307" spans="1:12" x14ac:dyDescent="0.35">
      <c r="A307" s="6" t="s">
        <v>832</v>
      </c>
      <c r="B307" s="1" t="str">
        <f t="shared" si="8"/>
        <v>Corumba IV</v>
      </c>
      <c r="C307" s="1">
        <f t="shared" si="9"/>
        <v>-2277</v>
      </c>
      <c r="D307" s="1">
        <v>0</v>
      </c>
      <c r="E307" s="1">
        <v>0</v>
      </c>
      <c r="F307" s="1">
        <v>0</v>
      </c>
      <c r="G307" s="1">
        <v>2.1006</v>
      </c>
      <c r="H307" s="1">
        <v>104.7514</v>
      </c>
      <c r="I307" s="1">
        <v>3.8180999999999998</v>
      </c>
      <c r="J307" s="1">
        <v>103.0339</v>
      </c>
      <c r="K307" s="1">
        <v>0</v>
      </c>
      <c r="L307" s="1">
        <v>0</v>
      </c>
    </row>
    <row r="308" spans="1:12" hidden="1" x14ac:dyDescent="0.35">
      <c r="A308" s="6" t="s">
        <v>833</v>
      </c>
      <c r="B308" s="1" t="str">
        <f t="shared" si="8"/>
        <v>Lago Paranoa</v>
      </c>
      <c r="C308" s="1">
        <f t="shared" si="9"/>
        <v>-2277</v>
      </c>
      <c r="D308" s="1">
        <v>0</v>
      </c>
      <c r="E308" s="1">
        <v>2302.4499999999998</v>
      </c>
      <c r="F308" s="1">
        <v>0.30630000000000002</v>
      </c>
      <c r="G308" s="1">
        <v>3.0590999999999999</v>
      </c>
      <c r="H308" s="1">
        <v>9.8999000000000006</v>
      </c>
      <c r="I308" s="1">
        <v>0.91720000000000002</v>
      </c>
      <c r="J308" s="1">
        <v>11.7354</v>
      </c>
      <c r="K308" s="1">
        <v>2302.4499999999998</v>
      </c>
      <c r="L308" s="1">
        <v>0</v>
      </c>
    </row>
    <row r="309" spans="1:12" x14ac:dyDescent="0.35">
      <c r="A309" s="6" t="s">
        <v>834</v>
      </c>
      <c r="B309" s="1" t="str">
        <f t="shared" ref="B309:B372" si="10">_xlfn.TEXTBEFORE(_xlfn.TEXTAFTER(A309,"["),"]")</f>
        <v>Corumba IV</v>
      </c>
      <c r="C309" s="1">
        <f t="shared" ref="C309:C372" si="11">--_xlfn.TEXTBEFORE(_xlfn.TEXTAFTER(A309,"Week "),":")</f>
        <v>-2276</v>
      </c>
      <c r="D309" s="1">
        <v>0</v>
      </c>
      <c r="E309" s="1">
        <v>0</v>
      </c>
      <c r="F309" s="1">
        <v>0</v>
      </c>
      <c r="G309" s="1">
        <v>1.9862</v>
      </c>
      <c r="H309" s="1">
        <v>105.3138</v>
      </c>
      <c r="I309" s="1">
        <v>3.8942999999999999</v>
      </c>
      <c r="J309" s="1">
        <v>103.4058</v>
      </c>
      <c r="K309" s="1">
        <v>0</v>
      </c>
      <c r="L309" s="1">
        <v>0</v>
      </c>
    </row>
    <row r="310" spans="1:12" hidden="1" x14ac:dyDescent="0.35">
      <c r="A310" s="6" t="s">
        <v>835</v>
      </c>
      <c r="B310" s="1" t="str">
        <f t="shared" si="10"/>
        <v>Lago Paranoa</v>
      </c>
      <c r="C310" s="1">
        <f t="shared" si="11"/>
        <v>-2276</v>
      </c>
      <c r="D310" s="1">
        <v>0</v>
      </c>
      <c r="E310" s="1">
        <v>2302.4499999999998</v>
      </c>
      <c r="F310" s="1">
        <v>0.30669999999999997</v>
      </c>
      <c r="G310" s="1">
        <v>3.0103</v>
      </c>
      <c r="H310" s="1">
        <v>10.9869</v>
      </c>
      <c r="I310" s="1">
        <v>0.95479999999999998</v>
      </c>
      <c r="J310" s="1">
        <v>12.735799999999999</v>
      </c>
      <c r="K310" s="1">
        <v>2302.4499999999998</v>
      </c>
      <c r="L310" s="1">
        <v>0</v>
      </c>
    </row>
    <row r="311" spans="1:12" x14ac:dyDescent="0.35">
      <c r="A311" s="6" t="s">
        <v>836</v>
      </c>
      <c r="B311" s="1" t="str">
        <f t="shared" si="10"/>
        <v>Corumba IV</v>
      </c>
      <c r="C311" s="1">
        <f t="shared" si="11"/>
        <v>-2275</v>
      </c>
      <c r="D311" s="1">
        <v>0</v>
      </c>
      <c r="E311" s="1">
        <v>0</v>
      </c>
      <c r="F311" s="1">
        <v>0</v>
      </c>
      <c r="G311" s="1">
        <v>3.8376999999999999</v>
      </c>
      <c r="H311" s="1">
        <v>159.6516</v>
      </c>
      <c r="I311" s="1">
        <v>4.5928000000000004</v>
      </c>
      <c r="J311" s="1">
        <v>158.89660000000001</v>
      </c>
      <c r="K311" s="1">
        <v>0</v>
      </c>
      <c r="L311" s="1">
        <v>0</v>
      </c>
    </row>
    <row r="312" spans="1:12" hidden="1" x14ac:dyDescent="0.35">
      <c r="A312" s="6" t="s">
        <v>837</v>
      </c>
      <c r="B312" s="1" t="str">
        <f t="shared" si="10"/>
        <v>Lago Paranoa</v>
      </c>
      <c r="C312" s="1">
        <f t="shared" si="11"/>
        <v>-2275</v>
      </c>
      <c r="D312" s="1">
        <v>0</v>
      </c>
      <c r="E312" s="1">
        <v>2302.4499999999998</v>
      </c>
      <c r="F312" s="1">
        <v>0.35539999999999999</v>
      </c>
      <c r="G312" s="1">
        <v>3.5428999999999999</v>
      </c>
      <c r="H312" s="1">
        <v>13.2303</v>
      </c>
      <c r="I312" s="1">
        <v>1.1112</v>
      </c>
      <c r="J312" s="1">
        <v>15.3065</v>
      </c>
      <c r="K312" s="1">
        <v>2302.4499999999998</v>
      </c>
      <c r="L312" s="1">
        <v>0</v>
      </c>
    </row>
    <row r="313" spans="1:12" x14ac:dyDescent="0.35">
      <c r="A313" s="6" t="s">
        <v>838</v>
      </c>
      <c r="B313" s="1" t="str">
        <f t="shared" si="10"/>
        <v>Corumba IV</v>
      </c>
      <c r="C313" s="1">
        <f t="shared" si="11"/>
        <v>-2274</v>
      </c>
      <c r="D313" s="1">
        <v>0</v>
      </c>
      <c r="E313" s="1">
        <v>0</v>
      </c>
      <c r="F313" s="1">
        <v>0</v>
      </c>
      <c r="G313" s="1">
        <v>1.9781</v>
      </c>
      <c r="H313" s="1">
        <v>111.69450000000001</v>
      </c>
      <c r="I313" s="1">
        <v>4.8308</v>
      </c>
      <c r="J313" s="1">
        <v>108.84180000000001</v>
      </c>
      <c r="K313" s="1">
        <v>0</v>
      </c>
      <c r="L313" s="1">
        <v>0</v>
      </c>
    </row>
    <row r="314" spans="1:12" hidden="1" x14ac:dyDescent="0.35">
      <c r="A314" s="6" t="s">
        <v>839</v>
      </c>
      <c r="B314" s="1" t="str">
        <f t="shared" si="10"/>
        <v>Lago Paranoa</v>
      </c>
      <c r="C314" s="1">
        <f t="shared" si="11"/>
        <v>-2274</v>
      </c>
      <c r="D314" s="1">
        <v>0</v>
      </c>
      <c r="E314" s="1">
        <v>2302.4499999999998</v>
      </c>
      <c r="F314" s="1">
        <v>0.35570000000000002</v>
      </c>
      <c r="G314" s="1">
        <v>3.0486</v>
      </c>
      <c r="H314" s="1">
        <v>9.3438999999999997</v>
      </c>
      <c r="I314" s="1">
        <v>1.1575</v>
      </c>
      <c r="J314" s="1">
        <v>10.879300000000001</v>
      </c>
      <c r="K314" s="1">
        <v>2302.4499999999998</v>
      </c>
      <c r="L314" s="1">
        <v>0</v>
      </c>
    </row>
    <row r="315" spans="1:12" x14ac:dyDescent="0.35">
      <c r="A315" s="6" t="s">
        <v>840</v>
      </c>
      <c r="B315" s="1" t="str">
        <f t="shared" si="10"/>
        <v>Corumba IV</v>
      </c>
      <c r="C315" s="1">
        <f t="shared" si="11"/>
        <v>-2273</v>
      </c>
      <c r="D315" s="1">
        <v>0</v>
      </c>
      <c r="E315" s="1">
        <v>0</v>
      </c>
      <c r="F315" s="1">
        <v>0</v>
      </c>
      <c r="G315" s="1">
        <v>1.1600999999999999</v>
      </c>
      <c r="H315" s="1">
        <v>91.340400000000002</v>
      </c>
      <c r="I315" s="1">
        <v>4.8308</v>
      </c>
      <c r="J315" s="1">
        <v>87.669600000000003</v>
      </c>
      <c r="K315" s="1">
        <v>0</v>
      </c>
      <c r="L315" s="1">
        <v>0</v>
      </c>
    </row>
    <row r="316" spans="1:12" hidden="1" x14ac:dyDescent="0.35">
      <c r="A316" s="6" t="s">
        <v>841</v>
      </c>
      <c r="B316" s="1" t="str">
        <f t="shared" si="10"/>
        <v>Lago Paranoa</v>
      </c>
      <c r="C316" s="1">
        <f t="shared" si="11"/>
        <v>-2273</v>
      </c>
      <c r="D316" s="1">
        <v>0</v>
      </c>
      <c r="E316" s="1">
        <v>2302.4499999999998</v>
      </c>
      <c r="F316" s="1">
        <v>0.35610000000000003</v>
      </c>
      <c r="G316" s="1">
        <v>2.8212999999999999</v>
      </c>
      <c r="H316" s="1">
        <v>8.3754000000000008</v>
      </c>
      <c r="I316" s="1">
        <v>1.1575</v>
      </c>
      <c r="J316" s="1">
        <v>9.6831999999999994</v>
      </c>
      <c r="K316" s="1">
        <v>2302.4499999999998</v>
      </c>
      <c r="L316" s="1">
        <v>0</v>
      </c>
    </row>
    <row r="317" spans="1:12" x14ac:dyDescent="0.35">
      <c r="A317" s="6" t="s">
        <v>842</v>
      </c>
      <c r="B317" s="1" t="str">
        <f t="shared" si="10"/>
        <v>Corumba IV</v>
      </c>
      <c r="C317" s="1">
        <f t="shared" si="11"/>
        <v>-2272</v>
      </c>
      <c r="D317" s="1">
        <v>0</v>
      </c>
      <c r="E317" s="1">
        <v>0</v>
      </c>
      <c r="F317" s="1">
        <v>0</v>
      </c>
      <c r="G317" s="1">
        <v>0.85119999999999996</v>
      </c>
      <c r="H317" s="1">
        <v>89.551900000000003</v>
      </c>
      <c r="I317" s="1">
        <v>4.7784000000000004</v>
      </c>
      <c r="J317" s="1">
        <v>85.624700000000004</v>
      </c>
      <c r="K317" s="1">
        <v>0</v>
      </c>
      <c r="L317" s="1">
        <v>0</v>
      </c>
    </row>
    <row r="318" spans="1:12" hidden="1" x14ac:dyDescent="0.35">
      <c r="A318" s="6" t="s">
        <v>843</v>
      </c>
      <c r="B318" s="1" t="str">
        <f t="shared" si="10"/>
        <v>Lago Paranoa</v>
      </c>
      <c r="C318" s="1">
        <f t="shared" si="11"/>
        <v>-2272</v>
      </c>
      <c r="D318" s="1">
        <v>0</v>
      </c>
      <c r="E318" s="1">
        <v>2302.4499999999998</v>
      </c>
      <c r="F318" s="1">
        <v>0.35639999999999999</v>
      </c>
      <c r="G318" s="1">
        <v>2.7968000000000002</v>
      </c>
      <c r="H318" s="1">
        <v>10.539199999999999</v>
      </c>
      <c r="I318" s="1">
        <v>1.1506000000000001</v>
      </c>
      <c r="J318" s="1">
        <v>11.829000000000001</v>
      </c>
      <c r="K318" s="1">
        <v>2302.4499999999998</v>
      </c>
      <c r="L318" s="1">
        <v>0</v>
      </c>
    </row>
    <row r="319" spans="1:12" x14ac:dyDescent="0.35">
      <c r="A319" s="6" t="s">
        <v>844</v>
      </c>
      <c r="B319" s="1" t="str">
        <f t="shared" si="10"/>
        <v>Corumba IV</v>
      </c>
      <c r="C319" s="1">
        <f t="shared" si="11"/>
        <v>-2271</v>
      </c>
      <c r="D319" s="1">
        <v>0</v>
      </c>
      <c r="E319" s="1">
        <v>0</v>
      </c>
      <c r="F319" s="1">
        <v>0</v>
      </c>
      <c r="G319" s="1">
        <v>0.95140000000000002</v>
      </c>
      <c r="H319" s="1">
        <v>77.158699999999996</v>
      </c>
      <c r="I319" s="1">
        <v>4.8855000000000004</v>
      </c>
      <c r="J319" s="1">
        <v>73.224500000000006</v>
      </c>
      <c r="K319" s="1">
        <v>0</v>
      </c>
      <c r="L319" s="1">
        <v>0</v>
      </c>
    </row>
    <row r="320" spans="1:12" hidden="1" x14ac:dyDescent="0.35">
      <c r="A320" s="6" t="s">
        <v>845</v>
      </c>
      <c r="B320" s="1" t="str">
        <f t="shared" si="10"/>
        <v>Lago Paranoa</v>
      </c>
      <c r="C320" s="1">
        <f t="shared" si="11"/>
        <v>-2271</v>
      </c>
      <c r="D320" s="1">
        <v>0</v>
      </c>
      <c r="E320" s="1">
        <v>2302.4499999999998</v>
      </c>
      <c r="F320" s="1">
        <v>0.33789999999999998</v>
      </c>
      <c r="G320" s="1">
        <v>2.9037000000000002</v>
      </c>
      <c r="H320" s="1">
        <v>8.3208000000000002</v>
      </c>
      <c r="I320" s="1">
        <v>1.1682999999999999</v>
      </c>
      <c r="J320" s="1">
        <v>9.7182999999999993</v>
      </c>
      <c r="K320" s="1">
        <v>2302.4499999999998</v>
      </c>
      <c r="L320" s="1">
        <v>0</v>
      </c>
    </row>
    <row r="321" spans="1:12" x14ac:dyDescent="0.35">
      <c r="A321" s="6" t="s">
        <v>846</v>
      </c>
      <c r="B321" s="1" t="str">
        <f t="shared" si="10"/>
        <v>Corumba IV</v>
      </c>
      <c r="C321" s="1">
        <f t="shared" si="11"/>
        <v>-2270</v>
      </c>
      <c r="D321" s="1">
        <v>0</v>
      </c>
      <c r="E321" s="1">
        <v>0</v>
      </c>
      <c r="F321" s="1">
        <v>0</v>
      </c>
      <c r="G321" s="1">
        <v>0.59299999999999997</v>
      </c>
      <c r="H321" s="1">
        <v>70.109300000000005</v>
      </c>
      <c r="I321" s="1">
        <v>4.9558999999999997</v>
      </c>
      <c r="J321" s="1">
        <v>65.746399999999994</v>
      </c>
      <c r="K321" s="1">
        <v>0</v>
      </c>
      <c r="L321" s="1">
        <v>0</v>
      </c>
    </row>
    <row r="322" spans="1:12" hidden="1" x14ac:dyDescent="0.35">
      <c r="A322" s="6" t="s">
        <v>847</v>
      </c>
      <c r="B322" s="1" t="str">
        <f t="shared" si="10"/>
        <v>Lago Paranoa</v>
      </c>
      <c r="C322" s="1">
        <f t="shared" si="11"/>
        <v>-2270</v>
      </c>
      <c r="D322" s="1">
        <v>0</v>
      </c>
      <c r="E322" s="1">
        <v>2302.4499999999998</v>
      </c>
      <c r="F322" s="1">
        <v>0.3382</v>
      </c>
      <c r="G322" s="1">
        <v>2.8239999999999998</v>
      </c>
      <c r="H322" s="1">
        <v>7.5818000000000003</v>
      </c>
      <c r="I322" s="1">
        <v>1.1781999999999999</v>
      </c>
      <c r="J322" s="1">
        <v>8.8894000000000002</v>
      </c>
      <c r="K322" s="1">
        <v>2302.4499999999998</v>
      </c>
      <c r="L322" s="1">
        <v>0</v>
      </c>
    </row>
    <row r="323" spans="1:12" x14ac:dyDescent="0.35">
      <c r="A323" s="6" t="s">
        <v>848</v>
      </c>
      <c r="B323" s="1" t="str">
        <f t="shared" si="10"/>
        <v>Corumba IV</v>
      </c>
      <c r="C323" s="1">
        <f t="shared" si="11"/>
        <v>-2269</v>
      </c>
      <c r="D323" s="1">
        <v>0</v>
      </c>
      <c r="E323" s="1">
        <v>0</v>
      </c>
      <c r="F323" s="1">
        <v>0</v>
      </c>
      <c r="G323" s="1">
        <v>0.46879999999999999</v>
      </c>
      <c r="H323" s="1">
        <v>68.492699999999999</v>
      </c>
      <c r="I323" s="1">
        <v>4.9558999999999997</v>
      </c>
      <c r="J323" s="1">
        <v>64.005600000000001</v>
      </c>
      <c r="K323" s="1">
        <v>0</v>
      </c>
      <c r="L323" s="1">
        <v>0</v>
      </c>
    </row>
    <row r="324" spans="1:12" hidden="1" x14ac:dyDescent="0.35">
      <c r="A324" s="6" t="s">
        <v>849</v>
      </c>
      <c r="B324" s="1" t="str">
        <f t="shared" si="10"/>
        <v>Lago Paranoa</v>
      </c>
      <c r="C324" s="1">
        <f t="shared" si="11"/>
        <v>-2269</v>
      </c>
      <c r="D324" s="1">
        <v>0</v>
      </c>
      <c r="E324" s="1">
        <v>2302.4499999999998</v>
      </c>
      <c r="F324" s="1">
        <v>0.33850000000000002</v>
      </c>
      <c r="G324" s="1">
        <v>2.8527</v>
      </c>
      <c r="H324" s="1">
        <v>7.0044000000000004</v>
      </c>
      <c r="I324" s="1">
        <v>1.1781999999999999</v>
      </c>
      <c r="J324" s="1">
        <v>8.3405000000000005</v>
      </c>
      <c r="K324" s="1">
        <v>2302.4499999999998</v>
      </c>
      <c r="L324" s="1">
        <v>0</v>
      </c>
    </row>
    <row r="325" spans="1:12" x14ac:dyDescent="0.35">
      <c r="A325" s="6" t="s">
        <v>850</v>
      </c>
      <c r="B325" s="1" t="str">
        <f t="shared" si="10"/>
        <v>Corumba IV</v>
      </c>
      <c r="C325" s="1">
        <f t="shared" si="11"/>
        <v>-2268</v>
      </c>
      <c r="D325" s="1">
        <v>0</v>
      </c>
      <c r="E325" s="1">
        <v>0</v>
      </c>
      <c r="F325" s="1">
        <v>0</v>
      </c>
      <c r="G325" s="1">
        <v>0.3629</v>
      </c>
      <c r="H325" s="1">
        <v>61.360399999999998</v>
      </c>
      <c r="I325" s="1">
        <v>4.9558999999999997</v>
      </c>
      <c r="J325" s="1">
        <v>56.767400000000002</v>
      </c>
      <c r="K325" s="1">
        <v>0</v>
      </c>
      <c r="L325" s="1">
        <v>0</v>
      </c>
    </row>
    <row r="326" spans="1:12" hidden="1" x14ac:dyDescent="0.35">
      <c r="A326" s="6" t="s">
        <v>851</v>
      </c>
      <c r="B326" s="1" t="str">
        <f t="shared" si="10"/>
        <v>Lago Paranoa</v>
      </c>
      <c r="C326" s="1">
        <f t="shared" si="11"/>
        <v>-2268</v>
      </c>
      <c r="D326" s="1">
        <v>0</v>
      </c>
      <c r="E326" s="1">
        <v>2302.4499999999998</v>
      </c>
      <c r="F326" s="1">
        <v>0.33879999999999999</v>
      </c>
      <c r="G326" s="1">
        <v>2.7433999999999998</v>
      </c>
      <c r="H326" s="1">
        <v>6.3160999999999996</v>
      </c>
      <c r="I326" s="1">
        <v>1.1781999999999999</v>
      </c>
      <c r="J326" s="1">
        <v>7.5425000000000004</v>
      </c>
      <c r="K326" s="1">
        <v>2302.4499999999998</v>
      </c>
      <c r="L326" s="1">
        <v>0</v>
      </c>
    </row>
    <row r="327" spans="1:12" x14ac:dyDescent="0.35">
      <c r="A327" s="6" t="s">
        <v>852</v>
      </c>
      <c r="B327" s="1" t="str">
        <f t="shared" si="10"/>
        <v>Corumba IV</v>
      </c>
      <c r="C327" s="1">
        <f t="shared" si="11"/>
        <v>-2267</v>
      </c>
      <c r="D327" s="1">
        <v>0</v>
      </c>
      <c r="E327" s="1">
        <v>0</v>
      </c>
      <c r="F327" s="1">
        <v>0</v>
      </c>
      <c r="G327" s="1">
        <v>0.3629</v>
      </c>
      <c r="H327" s="1">
        <v>56.404499999999999</v>
      </c>
      <c r="I327" s="1">
        <v>4.0456000000000003</v>
      </c>
      <c r="J327" s="1">
        <v>52.721800000000002</v>
      </c>
      <c r="K327" s="1">
        <v>0</v>
      </c>
      <c r="L327" s="1">
        <v>0</v>
      </c>
    </row>
    <row r="328" spans="1:12" hidden="1" x14ac:dyDescent="0.35">
      <c r="A328" s="6" t="s">
        <v>853</v>
      </c>
      <c r="B328" s="1" t="str">
        <f t="shared" si="10"/>
        <v>Lago Paranoa</v>
      </c>
      <c r="C328" s="1">
        <f t="shared" si="11"/>
        <v>-2267</v>
      </c>
      <c r="D328" s="1">
        <v>0</v>
      </c>
      <c r="E328" s="1">
        <v>2302.4499999999998</v>
      </c>
      <c r="F328" s="1">
        <v>0.40600000000000003</v>
      </c>
      <c r="G328" s="1">
        <v>2.6236000000000002</v>
      </c>
      <c r="H328" s="1">
        <v>6.0223000000000004</v>
      </c>
      <c r="I328" s="1">
        <v>1.0485</v>
      </c>
      <c r="J328" s="1">
        <v>7.1913999999999998</v>
      </c>
      <c r="K328" s="1">
        <v>2302.4499999999998</v>
      </c>
      <c r="L328" s="1">
        <v>0</v>
      </c>
    </row>
    <row r="329" spans="1:12" x14ac:dyDescent="0.35">
      <c r="A329" s="6" t="s">
        <v>854</v>
      </c>
      <c r="B329" s="1" t="str">
        <f t="shared" si="10"/>
        <v>Corumba IV</v>
      </c>
      <c r="C329" s="1">
        <f t="shared" si="11"/>
        <v>-2266</v>
      </c>
      <c r="D329" s="1">
        <v>0</v>
      </c>
      <c r="E329" s="1">
        <v>0</v>
      </c>
      <c r="F329" s="1">
        <v>0</v>
      </c>
      <c r="G329" s="1">
        <v>0.3629</v>
      </c>
      <c r="H329" s="1">
        <v>58.298400000000001</v>
      </c>
      <c r="I329" s="1">
        <v>3.8218000000000001</v>
      </c>
      <c r="J329" s="1">
        <v>54.839500000000001</v>
      </c>
      <c r="K329" s="1">
        <v>0</v>
      </c>
      <c r="L329" s="1">
        <v>0</v>
      </c>
    </row>
    <row r="330" spans="1:12" hidden="1" x14ac:dyDescent="0.35">
      <c r="A330" s="6" t="s">
        <v>855</v>
      </c>
      <c r="B330" s="1" t="str">
        <f t="shared" si="10"/>
        <v>Lago Paranoa</v>
      </c>
      <c r="C330" s="1">
        <f t="shared" si="11"/>
        <v>-2266</v>
      </c>
      <c r="D330" s="1">
        <v>0</v>
      </c>
      <c r="E330" s="1">
        <v>2302.4499999999998</v>
      </c>
      <c r="F330" s="1">
        <v>0.40629999999999999</v>
      </c>
      <c r="G330" s="1">
        <v>2.9072</v>
      </c>
      <c r="H330" s="1">
        <v>6.1772999999999998</v>
      </c>
      <c r="I330" s="1">
        <v>1.0464</v>
      </c>
      <c r="J330" s="1">
        <v>7.6318000000000001</v>
      </c>
      <c r="K330" s="1">
        <v>2302.4499999999998</v>
      </c>
      <c r="L330" s="1">
        <v>0</v>
      </c>
    </row>
    <row r="331" spans="1:12" x14ac:dyDescent="0.35">
      <c r="A331" s="6" t="s">
        <v>856</v>
      </c>
      <c r="B331" s="1" t="str">
        <f t="shared" si="10"/>
        <v>Corumba IV</v>
      </c>
      <c r="C331" s="1">
        <f t="shared" si="11"/>
        <v>-2265</v>
      </c>
      <c r="D331" s="1">
        <v>0</v>
      </c>
      <c r="E331" s="1">
        <v>0</v>
      </c>
      <c r="F331" s="1">
        <v>0</v>
      </c>
      <c r="G331" s="1">
        <v>0.3629</v>
      </c>
      <c r="H331" s="1">
        <v>52.671199999999999</v>
      </c>
      <c r="I331" s="1">
        <v>3.8218000000000001</v>
      </c>
      <c r="J331" s="1">
        <v>49.212299999999999</v>
      </c>
      <c r="K331" s="1">
        <v>0</v>
      </c>
      <c r="L331" s="1">
        <v>0</v>
      </c>
    </row>
    <row r="332" spans="1:12" hidden="1" x14ac:dyDescent="0.35">
      <c r="A332" s="6" t="s">
        <v>857</v>
      </c>
      <c r="B332" s="1" t="str">
        <f t="shared" si="10"/>
        <v>Lago Paranoa</v>
      </c>
      <c r="C332" s="1">
        <f t="shared" si="11"/>
        <v>-2265</v>
      </c>
      <c r="D332" s="1">
        <v>0</v>
      </c>
      <c r="E332" s="1">
        <v>2302.4499999999998</v>
      </c>
      <c r="F332" s="1">
        <v>0.40670000000000001</v>
      </c>
      <c r="G332" s="1">
        <v>2.7079</v>
      </c>
      <c r="H332" s="1">
        <v>5.6703000000000001</v>
      </c>
      <c r="I332" s="1">
        <v>1.0464</v>
      </c>
      <c r="J332" s="1">
        <v>6.9249999999999998</v>
      </c>
      <c r="K332" s="1">
        <v>2302.4499999999998</v>
      </c>
      <c r="L332" s="1">
        <v>0</v>
      </c>
    </row>
    <row r="333" spans="1:12" x14ac:dyDescent="0.35">
      <c r="A333" s="6" t="s">
        <v>858</v>
      </c>
      <c r="B333" s="1" t="str">
        <f t="shared" si="10"/>
        <v>Corumba IV</v>
      </c>
      <c r="C333" s="1">
        <f t="shared" si="11"/>
        <v>-2264</v>
      </c>
      <c r="D333" s="1">
        <v>0</v>
      </c>
      <c r="E333" s="1">
        <v>0</v>
      </c>
      <c r="F333" s="1">
        <v>0</v>
      </c>
      <c r="G333" s="1">
        <v>0.3629</v>
      </c>
      <c r="H333" s="1">
        <v>48.427199999999999</v>
      </c>
      <c r="I333" s="1">
        <v>3.8218000000000001</v>
      </c>
      <c r="J333" s="1">
        <v>44.968299999999999</v>
      </c>
      <c r="K333" s="1">
        <v>0</v>
      </c>
      <c r="L333" s="1">
        <v>0</v>
      </c>
    </row>
    <row r="334" spans="1:12" hidden="1" x14ac:dyDescent="0.35">
      <c r="A334" s="6" t="s">
        <v>859</v>
      </c>
      <c r="B334" s="1" t="str">
        <f t="shared" si="10"/>
        <v>Lago Paranoa</v>
      </c>
      <c r="C334" s="1">
        <f t="shared" si="11"/>
        <v>-2264</v>
      </c>
      <c r="D334" s="1">
        <v>0</v>
      </c>
      <c r="E334" s="1">
        <v>2302.4499999999998</v>
      </c>
      <c r="F334" s="1">
        <v>0.40699999999999997</v>
      </c>
      <c r="G334" s="1">
        <v>2.7544</v>
      </c>
      <c r="H334" s="1">
        <v>5.1786000000000003</v>
      </c>
      <c r="I334" s="1">
        <v>1.0464</v>
      </c>
      <c r="J334" s="1">
        <v>6.4795999999999996</v>
      </c>
      <c r="K334" s="1">
        <v>2302.4499999999998</v>
      </c>
      <c r="L334" s="1">
        <v>0</v>
      </c>
    </row>
    <row r="335" spans="1:12" x14ac:dyDescent="0.35">
      <c r="A335" s="6" t="s">
        <v>860</v>
      </c>
      <c r="B335" s="1" t="str">
        <f t="shared" si="10"/>
        <v>Corumba IV</v>
      </c>
      <c r="C335" s="1">
        <f t="shared" si="11"/>
        <v>-2263</v>
      </c>
      <c r="D335" s="1">
        <v>0</v>
      </c>
      <c r="E335" s="1">
        <v>0</v>
      </c>
      <c r="F335" s="1">
        <v>0</v>
      </c>
      <c r="G335" s="1">
        <v>0.3629</v>
      </c>
      <c r="H335" s="1">
        <v>45.76</v>
      </c>
      <c r="I335" s="1">
        <v>4.3672000000000004</v>
      </c>
      <c r="J335" s="1">
        <v>41.755699999999997</v>
      </c>
      <c r="K335" s="1">
        <v>0</v>
      </c>
      <c r="L335" s="1">
        <v>0</v>
      </c>
    </row>
    <row r="336" spans="1:12" hidden="1" x14ac:dyDescent="0.35">
      <c r="A336" s="6" t="s">
        <v>861</v>
      </c>
      <c r="B336" s="1" t="str">
        <f t="shared" si="10"/>
        <v>Lago Paranoa</v>
      </c>
      <c r="C336" s="1">
        <f t="shared" si="11"/>
        <v>-2263</v>
      </c>
      <c r="D336" s="1">
        <v>0</v>
      </c>
      <c r="E336" s="1">
        <v>2302.4499999999998</v>
      </c>
      <c r="F336" s="1">
        <v>0.4073</v>
      </c>
      <c r="G336" s="1">
        <v>2.7277999999999998</v>
      </c>
      <c r="H336" s="1">
        <v>4.8882000000000003</v>
      </c>
      <c r="I336" s="1">
        <v>1.1173</v>
      </c>
      <c r="J336" s="1">
        <v>6.0914000000000001</v>
      </c>
      <c r="K336" s="1">
        <v>2302.4499999999998</v>
      </c>
      <c r="L336" s="1">
        <v>0</v>
      </c>
    </row>
    <row r="337" spans="1:12" x14ac:dyDescent="0.35">
      <c r="A337" s="6" t="s">
        <v>862</v>
      </c>
      <c r="B337" s="1" t="str">
        <f t="shared" si="10"/>
        <v>Corumba IV</v>
      </c>
      <c r="C337" s="1">
        <f t="shared" si="11"/>
        <v>-2262</v>
      </c>
      <c r="D337" s="1">
        <v>0</v>
      </c>
      <c r="E337" s="1">
        <v>0</v>
      </c>
      <c r="F337" s="1">
        <v>0</v>
      </c>
      <c r="G337" s="1">
        <v>0.3629</v>
      </c>
      <c r="H337" s="1">
        <v>43.345999999999997</v>
      </c>
      <c r="I337" s="1">
        <v>5.0944000000000003</v>
      </c>
      <c r="J337" s="1">
        <v>38.6145</v>
      </c>
      <c r="K337" s="1">
        <v>0</v>
      </c>
      <c r="L337" s="1">
        <v>0</v>
      </c>
    </row>
    <row r="338" spans="1:12" hidden="1" x14ac:dyDescent="0.35">
      <c r="A338" s="6" t="s">
        <v>863</v>
      </c>
      <c r="B338" s="1" t="str">
        <f t="shared" si="10"/>
        <v>Lago Paranoa</v>
      </c>
      <c r="C338" s="1">
        <f t="shared" si="11"/>
        <v>-2262</v>
      </c>
      <c r="D338" s="1">
        <v>0</v>
      </c>
      <c r="E338" s="1">
        <v>2302.4499999999998</v>
      </c>
      <c r="F338" s="1">
        <v>0.4234</v>
      </c>
      <c r="G338" s="1">
        <v>2.6436000000000002</v>
      </c>
      <c r="H338" s="1">
        <v>5.0730000000000004</v>
      </c>
      <c r="I338" s="1">
        <v>1.2117</v>
      </c>
      <c r="J338" s="1">
        <v>6.0815000000000001</v>
      </c>
      <c r="K338" s="1">
        <v>2302.4499999999998</v>
      </c>
      <c r="L338" s="1">
        <v>0</v>
      </c>
    </row>
    <row r="339" spans="1:12" x14ac:dyDescent="0.35">
      <c r="A339" s="6" t="s">
        <v>864</v>
      </c>
      <c r="B339" s="1" t="str">
        <f t="shared" si="10"/>
        <v>Corumba IV</v>
      </c>
      <c r="C339" s="1">
        <f t="shared" si="11"/>
        <v>-2261</v>
      </c>
      <c r="D339" s="1">
        <v>0</v>
      </c>
      <c r="E339" s="1">
        <v>0</v>
      </c>
      <c r="F339" s="1">
        <v>0</v>
      </c>
      <c r="G339" s="1">
        <v>0.3629</v>
      </c>
      <c r="H339" s="1">
        <v>40.365200000000002</v>
      </c>
      <c r="I339" s="1">
        <v>5.0944000000000003</v>
      </c>
      <c r="J339" s="1">
        <v>35.633699999999997</v>
      </c>
      <c r="K339" s="1">
        <v>0</v>
      </c>
      <c r="L339" s="1">
        <v>0</v>
      </c>
    </row>
    <row r="340" spans="1:12" hidden="1" x14ac:dyDescent="0.35">
      <c r="A340" s="6" t="s">
        <v>865</v>
      </c>
      <c r="B340" s="1" t="str">
        <f t="shared" si="10"/>
        <v>Lago Paranoa</v>
      </c>
      <c r="C340" s="1">
        <f t="shared" si="11"/>
        <v>-2261</v>
      </c>
      <c r="D340" s="1">
        <v>0</v>
      </c>
      <c r="E340" s="1">
        <v>2302.4499999999998</v>
      </c>
      <c r="F340" s="1">
        <v>0.4234</v>
      </c>
      <c r="G340" s="1">
        <v>2.6858</v>
      </c>
      <c r="H340" s="1">
        <v>4.9757999999999996</v>
      </c>
      <c r="I340" s="1">
        <v>1.2117</v>
      </c>
      <c r="J340" s="1">
        <v>6.0265000000000004</v>
      </c>
      <c r="K340" s="1">
        <v>2302.4499999999998</v>
      </c>
      <c r="L340" s="1">
        <v>0</v>
      </c>
    </row>
    <row r="341" spans="1:12" x14ac:dyDescent="0.35">
      <c r="A341" s="6" t="s">
        <v>866</v>
      </c>
      <c r="B341" s="1" t="str">
        <f t="shared" si="10"/>
        <v>Corumba IV</v>
      </c>
      <c r="C341" s="1">
        <f t="shared" si="11"/>
        <v>-2260</v>
      </c>
      <c r="D341" s="1">
        <v>0</v>
      </c>
      <c r="E341" s="1">
        <v>0</v>
      </c>
      <c r="F341" s="1">
        <v>0</v>
      </c>
      <c r="G341" s="1">
        <v>0.3629</v>
      </c>
      <c r="H341" s="1">
        <v>37.627200000000002</v>
      </c>
      <c r="I341" s="1">
        <v>5.0944000000000003</v>
      </c>
      <c r="J341" s="1">
        <v>32.895699999999998</v>
      </c>
      <c r="K341" s="1">
        <v>0</v>
      </c>
      <c r="L341" s="1">
        <v>0</v>
      </c>
    </row>
    <row r="342" spans="1:12" hidden="1" x14ac:dyDescent="0.35">
      <c r="A342" s="6" t="s">
        <v>867</v>
      </c>
      <c r="B342" s="1" t="str">
        <f t="shared" si="10"/>
        <v>Lago Paranoa</v>
      </c>
      <c r="C342" s="1">
        <f t="shared" si="11"/>
        <v>-2260</v>
      </c>
      <c r="D342" s="1">
        <v>0</v>
      </c>
      <c r="E342" s="1">
        <v>2302.4499999999998</v>
      </c>
      <c r="F342" s="1">
        <v>0.4234</v>
      </c>
      <c r="G342" s="1">
        <v>2.7435999999999998</v>
      </c>
      <c r="H342" s="1">
        <v>4.8292000000000002</v>
      </c>
      <c r="I342" s="1">
        <v>1.2117</v>
      </c>
      <c r="J342" s="1">
        <v>5.9375999999999998</v>
      </c>
      <c r="K342" s="1">
        <v>2302.4499999999998</v>
      </c>
      <c r="L342" s="1">
        <v>0</v>
      </c>
    </row>
    <row r="343" spans="1:12" x14ac:dyDescent="0.35">
      <c r="A343" s="6" t="s">
        <v>868</v>
      </c>
      <c r="B343" s="1" t="str">
        <f t="shared" si="10"/>
        <v>Corumba IV</v>
      </c>
      <c r="C343" s="1">
        <f t="shared" si="11"/>
        <v>-2259</v>
      </c>
      <c r="D343" s="1">
        <v>0</v>
      </c>
      <c r="E343" s="1">
        <v>0</v>
      </c>
      <c r="F343" s="1">
        <v>0</v>
      </c>
      <c r="G343" s="1">
        <v>0.3629</v>
      </c>
      <c r="H343" s="1">
        <v>34.914200000000001</v>
      </c>
      <c r="I343" s="1">
        <v>5.3071000000000002</v>
      </c>
      <c r="J343" s="1">
        <v>29.97</v>
      </c>
      <c r="K343" s="1">
        <v>0</v>
      </c>
      <c r="L343" s="1">
        <v>0</v>
      </c>
    </row>
    <row r="344" spans="1:12" hidden="1" x14ac:dyDescent="0.35">
      <c r="A344" s="6" t="s">
        <v>869</v>
      </c>
      <c r="B344" s="1" t="str">
        <f t="shared" si="10"/>
        <v>Lago Paranoa</v>
      </c>
      <c r="C344" s="1">
        <f t="shared" si="11"/>
        <v>-2259</v>
      </c>
      <c r="D344" s="1">
        <v>0</v>
      </c>
      <c r="E344" s="1">
        <v>2302.4499999999998</v>
      </c>
      <c r="F344" s="1">
        <v>0.4234</v>
      </c>
      <c r="G344" s="1">
        <v>2.7542</v>
      </c>
      <c r="H344" s="1">
        <v>4.6818999999999997</v>
      </c>
      <c r="I344" s="1">
        <v>1.2749999999999999</v>
      </c>
      <c r="J344" s="1">
        <v>5.7378</v>
      </c>
      <c r="K344" s="1">
        <v>2302.4499999999998</v>
      </c>
      <c r="L344" s="1">
        <v>0</v>
      </c>
    </row>
    <row r="345" spans="1:12" x14ac:dyDescent="0.35">
      <c r="A345" s="6" t="s">
        <v>870</v>
      </c>
      <c r="B345" s="1" t="str">
        <f t="shared" si="10"/>
        <v>Corumba IV</v>
      </c>
      <c r="C345" s="1">
        <f t="shared" si="11"/>
        <v>-2258</v>
      </c>
      <c r="D345" s="1">
        <v>0</v>
      </c>
      <c r="E345" s="1">
        <v>0</v>
      </c>
      <c r="F345" s="1">
        <v>0</v>
      </c>
      <c r="G345" s="1">
        <v>0.3629</v>
      </c>
      <c r="H345" s="1">
        <v>32.507100000000001</v>
      </c>
      <c r="I345" s="1">
        <v>6.1298000000000004</v>
      </c>
      <c r="J345" s="1">
        <v>26.740200000000002</v>
      </c>
      <c r="K345" s="1">
        <v>0</v>
      </c>
      <c r="L345" s="1">
        <v>0</v>
      </c>
    </row>
    <row r="346" spans="1:12" hidden="1" x14ac:dyDescent="0.35">
      <c r="A346" s="6" t="s">
        <v>871</v>
      </c>
      <c r="B346" s="1" t="str">
        <f t="shared" si="10"/>
        <v>Lago Paranoa</v>
      </c>
      <c r="C346" s="1">
        <f t="shared" si="11"/>
        <v>-2258</v>
      </c>
      <c r="D346" s="1">
        <v>0</v>
      </c>
      <c r="E346" s="1">
        <v>2302.4499999999998</v>
      </c>
      <c r="F346" s="1">
        <v>0.4234</v>
      </c>
      <c r="G346" s="1">
        <v>2.6459999999999999</v>
      </c>
      <c r="H346" s="1">
        <v>3.7572999999999999</v>
      </c>
      <c r="I346" s="1">
        <v>1.5078</v>
      </c>
      <c r="J346" s="1">
        <v>4.4721000000000002</v>
      </c>
      <c r="K346" s="1">
        <v>2302.4499999999998</v>
      </c>
      <c r="L346" s="1">
        <v>0</v>
      </c>
    </row>
    <row r="347" spans="1:12" x14ac:dyDescent="0.35">
      <c r="A347" s="6" t="s">
        <v>872</v>
      </c>
      <c r="B347" s="1" t="str">
        <f t="shared" si="10"/>
        <v>Corumba IV</v>
      </c>
      <c r="C347" s="1">
        <f t="shared" si="11"/>
        <v>-2257</v>
      </c>
      <c r="D347" s="1">
        <v>0</v>
      </c>
      <c r="E347" s="1">
        <v>0</v>
      </c>
      <c r="F347" s="1">
        <v>0</v>
      </c>
      <c r="G347" s="1">
        <v>0.3629</v>
      </c>
      <c r="H347" s="1">
        <v>30.901800000000001</v>
      </c>
      <c r="I347" s="1">
        <v>6.1298000000000004</v>
      </c>
      <c r="J347" s="1">
        <v>25.134899999999998</v>
      </c>
      <c r="K347" s="1">
        <v>0</v>
      </c>
      <c r="L347" s="1">
        <v>0</v>
      </c>
    </row>
    <row r="348" spans="1:12" hidden="1" x14ac:dyDescent="0.35">
      <c r="A348" s="6" t="s">
        <v>873</v>
      </c>
      <c r="B348" s="1" t="str">
        <f t="shared" si="10"/>
        <v>Lago Paranoa</v>
      </c>
      <c r="C348" s="1">
        <f t="shared" si="11"/>
        <v>-2257</v>
      </c>
      <c r="D348" s="1">
        <v>0</v>
      </c>
      <c r="E348" s="1">
        <v>2302.4499999999998</v>
      </c>
      <c r="F348" s="1">
        <v>0.4234</v>
      </c>
      <c r="G348" s="1">
        <v>2.6703999999999999</v>
      </c>
      <c r="H348" s="1">
        <v>3.3668999999999998</v>
      </c>
      <c r="I348" s="1">
        <v>1.5078</v>
      </c>
      <c r="J348" s="1">
        <v>4.1062000000000003</v>
      </c>
      <c r="K348" s="1">
        <v>2302.4499999999998</v>
      </c>
      <c r="L348" s="1">
        <v>0</v>
      </c>
    </row>
    <row r="349" spans="1:12" x14ac:dyDescent="0.35">
      <c r="A349" s="6" t="s">
        <v>874</v>
      </c>
      <c r="B349" s="1" t="str">
        <f t="shared" si="10"/>
        <v>Corumba IV</v>
      </c>
      <c r="C349" s="1">
        <f t="shared" si="11"/>
        <v>-2256</v>
      </c>
      <c r="D349" s="1">
        <v>0</v>
      </c>
      <c r="E349" s="1">
        <v>0</v>
      </c>
      <c r="F349" s="1">
        <v>0</v>
      </c>
      <c r="G349" s="1">
        <v>0.3629</v>
      </c>
      <c r="H349" s="1">
        <v>29.591999999999999</v>
      </c>
      <c r="I349" s="1">
        <v>6.1298000000000004</v>
      </c>
      <c r="J349" s="1">
        <v>23.825099999999999</v>
      </c>
      <c r="K349" s="1">
        <v>0</v>
      </c>
      <c r="L349" s="1">
        <v>0</v>
      </c>
    </row>
    <row r="350" spans="1:12" hidden="1" x14ac:dyDescent="0.35">
      <c r="A350" s="6" t="s">
        <v>875</v>
      </c>
      <c r="B350" s="1" t="str">
        <f t="shared" si="10"/>
        <v>Lago Paranoa</v>
      </c>
      <c r="C350" s="1">
        <f t="shared" si="11"/>
        <v>-2256</v>
      </c>
      <c r="D350" s="1">
        <v>0</v>
      </c>
      <c r="E350" s="1">
        <v>2302.4499999999998</v>
      </c>
      <c r="F350" s="1">
        <v>0.4234</v>
      </c>
      <c r="G350" s="1">
        <v>2.3250999999999999</v>
      </c>
      <c r="H350" s="1">
        <v>3.2776000000000001</v>
      </c>
      <c r="I350" s="1">
        <v>1.5078</v>
      </c>
      <c r="J350" s="1">
        <v>3.6716000000000002</v>
      </c>
      <c r="K350" s="1">
        <v>2302.4499999999998</v>
      </c>
      <c r="L350" s="1">
        <v>0</v>
      </c>
    </row>
    <row r="351" spans="1:12" x14ac:dyDescent="0.35">
      <c r="A351" s="6" t="s">
        <v>876</v>
      </c>
      <c r="B351" s="1" t="str">
        <f t="shared" si="10"/>
        <v>Corumba IV</v>
      </c>
      <c r="C351" s="1">
        <f t="shared" si="11"/>
        <v>-2255</v>
      </c>
      <c r="D351" s="1">
        <v>0</v>
      </c>
      <c r="E351" s="1">
        <v>0</v>
      </c>
      <c r="F351" s="1">
        <v>0</v>
      </c>
      <c r="G351" s="1">
        <v>0.3629</v>
      </c>
      <c r="H351" s="1">
        <v>28.372900000000001</v>
      </c>
      <c r="I351" s="1">
        <v>6.1298000000000004</v>
      </c>
      <c r="J351" s="1">
        <v>22.606000000000002</v>
      </c>
      <c r="K351" s="1">
        <v>0</v>
      </c>
      <c r="L351" s="1">
        <v>0</v>
      </c>
    </row>
    <row r="352" spans="1:12" hidden="1" x14ac:dyDescent="0.35">
      <c r="A352" s="6" t="s">
        <v>877</v>
      </c>
      <c r="B352" s="1" t="str">
        <f t="shared" si="10"/>
        <v>Lago Paranoa</v>
      </c>
      <c r="C352" s="1">
        <f t="shared" si="11"/>
        <v>-2255</v>
      </c>
      <c r="D352" s="1">
        <v>0</v>
      </c>
      <c r="E352" s="1">
        <v>2302.4499999999998</v>
      </c>
      <c r="F352" s="1">
        <v>0.4234</v>
      </c>
      <c r="G352" s="1">
        <v>2.3988</v>
      </c>
      <c r="H352" s="1">
        <v>3.2332000000000001</v>
      </c>
      <c r="I352" s="1">
        <v>1.5078</v>
      </c>
      <c r="J352" s="1">
        <v>3.7008999999999999</v>
      </c>
      <c r="K352" s="1">
        <v>2302.4499999999998</v>
      </c>
      <c r="L352" s="1">
        <v>0</v>
      </c>
    </row>
    <row r="353" spans="1:12" x14ac:dyDescent="0.35">
      <c r="A353" s="6" t="s">
        <v>878</v>
      </c>
      <c r="B353" s="1" t="str">
        <f t="shared" si="10"/>
        <v>Corumba IV</v>
      </c>
      <c r="C353" s="1">
        <f t="shared" si="11"/>
        <v>-2254</v>
      </c>
      <c r="D353" s="1">
        <v>0</v>
      </c>
      <c r="E353" s="1">
        <v>0</v>
      </c>
      <c r="F353" s="1">
        <v>0</v>
      </c>
      <c r="G353" s="1">
        <v>0.3629</v>
      </c>
      <c r="H353" s="1">
        <v>27.234999999999999</v>
      </c>
      <c r="I353" s="1">
        <v>6.3890000000000002</v>
      </c>
      <c r="J353" s="1">
        <v>21.2089</v>
      </c>
      <c r="K353" s="1">
        <v>0</v>
      </c>
      <c r="L353" s="1">
        <v>0</v>
      </c>
    </row>
    <row r="354" spans="1:12" hidden="1" x14ac:dyDescent="0.35">
      <c r="A354" s="6" t="s">
        <v>879</v>
      </c>
      <c r="B354" s="1" t="str">
        <f t="shared" si="10"/>
        <v>Lago Paranoa</v>
      </c>
      <c r="C354" s="1">
        <f t="shared" si="11"/>
        <v>-2254</v>
      </c>
      <c r="D354" s="1">
        <v>0</v>
      </c>
      <c r="E354" s="1">
        <v>2302.4499999999998</v>
      </c>
      <c r="F354" s="1">
        <v>0.4234</v>
      </c>
      <c r="G354" s="1">
        <v>2.4883999999999999</v>
      </c>
      <c r="H354" s="1">
        <v>3.1617000000000002</v>
      </c>
      <c r="I354" s="1">
        <v>1.5448999999999999</v>
      </c>
      <c r="J354" s="1">
        <v>3.6819000000000002</v>
      </c>
      <c r="K354" s="1">
        <v>2302.4499999999998</v>
      </c>
      <c r="L354" s="1">
        <v>0</v>
      </c>
    </row>
    <row r="355" spans="1:12" x14ac:dyDescent="0.35">
      <c r="A355" s="6" t="s">
        <v>880</v>
      </c>
      <c r="B355" s="1" t="str">
        <f t="shared" si="10"/>
        <v>Corumba IV</v>
      </c>
      <c r="C355" s="1">
        <f t="shared" si="11"/>
        <v>-2253</v>
      </c>
      <c r="D355" s="1">
        <v>0</v>
      </c>
      <c r="E355" s="1">
        <v>0</v>
      </c>
      <c r="F355" s="1">
        <v>0</v>
      </c>
      <c r="G355" s="1">
        <v>0.3629</v>
      </c>
      <c r="H355" s="1">
        <v>28.111999999999998</v>
      </c>
      <c r="I355" s="1">
        <v>6.3216999999999999</v>
      </c>
      <c r="J355" s="1">
        <v>22.153099999999998</v>
      </c>
      <c r="K355" s="1">
        <v>0</v>
      </c>
      <c r="L355" s="1">
        <v>0</v>
      </c>
    </row>
    <row r="356" spans="1:12" hidden="1" x14ac:dyDescent="0.35">
      <c r="A356" s="6" t="s">
        <v>881</v>
      </c>
      <c r="B356" s="1" t="str">
        <f t="shared" si="10"/>
        <v>Lago Paranoa</v>
      </c>
      <c r="C356" s="1">
        <f t="shared" si="11"/>
        <v>-2253</v>
      </c>
      <c r="D356" s="1">
        <v>0</v>
      </c>
      <c r="E356" s="1">
        <v>2302.4499999999998</v>
      </c>
      <c r="F356" s="1">
        <v>0.4234</v>
      </c>
      <c r="G356" s="1">
        <v>2.8094000000000001</v>
      </c>
      <c r="H356" s="1">
        <v>3.4420999999999999</v>
      </c>
      <c r="I356" s="1">
        <v>1.5204</v>
      </c>
      <c r="J356" s="1">
        <v>4.3076999999999996</v>
      </c>
      <c r="K356" s="1">
        <v>2302.4499999999998</v>
      </c>
      <c r="L356" s="1">
        <v>0</v>
      </c>
    </row>
    <row r="357" spans="1:12" x14ac:dyDescent="0.35">
      <c r="A357" s="6" t="s">
        <v>882</v>
      </c>
      <c r="B357" s="1" t="str">
        <f t="shared" si="10"/>
        <v>Corumba IV</v>
      </c>
      <c r="C357" s="1">
        <f t="shared" si="11"/>
        <v>-2252</v>
      </c>
      <c r="D357" s="1">
        <v>0</v>
      </c>
      <c r="E357" s="1">
        <v>0</v>
      </c>
      <c r="F357" s="1">
        <v>0</v>
      </c>
      <c r="G357" s="1">
        <v>0.3629</v>
      </c>
      <c r="H357" s="1">
        <v>24.294</v>
      </c>
      <c r="I357" s="1">
        <v>6.3216999999999999</v>
      </c>
      <c r="J357" s="1">
        <v>18.335100000000001</v>
      </c>
      <c r="K357" s="1">
        <v>0</v>
      </c>
      <c r="L357" s="1">
        <v>0</v>
      </c>
    </row>
    <row r="358" spans="1:12" hidden="1" x14ac:dyDescent="0.35">
      <c r="A358" s="6" t="s">
        <v>883</v>
      </c>
      <c r="B358" s="1" t="str">
        <f t="shared" si="10"/>
        <v>Lago Paranoa</v>
      </c>
      <c r="C358" s="1">
        <f t="shared" si="11"/>
        <v>-2252</v>
      </c>
      <c r="D358" s="1">
        <v>0</v>
      </c>
      <c r="E358" s="1">
        <v>2302.4499999999998</v>
      </c>
      <c r="F358" s="1">
        <v>0.4234</v>
      </c>
      <c r="G358" s="1">
        <v>2.8561999999999999</v>
      </c>
      <c r="H358" s="1">
        <v>3.3372000000000002</v>
      </c>
      <c r="I358" s="1">
        <v>1.5204</v>
      </c>
      <c r="J358" s="1">
        <v>4.2496</v>
      </c>
      <c r="K358" s="1">
        <v>2302.4499999999998</v>
      </c>
      <c r="L358" s="1">
        <v>0</v>
      </c>
    </row>
    <row r="359" spans="1:12" x14ac:dyDescent="0.35">
      <c r="A359" s="6" t="s">
        <v>884</v>
      </c>
      <c r="B359" s="1" t="str">
        <f t="shared" si="10"/>
        <v>Corumba IV</v>
      </c>
      <c r="C359" s="1">
        <f t="shared" si="11"/>
        <v>-2251</v>
      </c>
      <c r="D359" s="1">
        <v>0</v>
      </c>
      <c r="E359" s="1">
        <v>0</v>
      </c>
      <c r="F359" s="1">
        <v>0</v>
      </c>
      <c r="G359" s="1">
        <v>0.3629</v>
      </c>
      <c r="H359" s="1">
        <v>25.432700000000001</v>
      </c>
      <c r="I359" s="1">
        <v>6.3216999999999999</v>
      </c>
      <c r="J359" s="1">
        <v>19.4739</v>
      </c>
      <c r="K359" s="1">
        <v>0</v>
      </c>
      <c r="L359" s="1">
        <v>0</v>
      </c>
    </row>
    <row r="360" spans="1:12" hidden="1" x14ac:dyDescent="0.35">
      <c r="A360" s="6" t="s">
        <v>885</v>
      </c>
      <c r="B360" s="1" t="str">
        <f t="shared" si="10"/>
        <v>Lago Paranoa</v>
      </c>
      <c r="C360" s="1">
        <f t="shared" si="11"/>
        <v>-2251</v>
      </c>
      <c r="D360" s="1">
        <v>0</v>
      </c>
      <c r="E360" s="1">
        <v>2302.4499999999998</v>
      </c>
      <c r="F360" s="1">
        <v>0.4234</v>
      </c>
      <c r="G360" s="1">
        <v>2.9146999999999998</v>
      </c>
      <c r="H360" s="1">
        <v>3.3645</v>
      </c>
      <c r="I360" s="1">
        <v>1.5204</v>
      </c>
      <c r="J360" s="1">
        <v>4.3353999999999999</v>
      </c>
      <c r="K360" s="1">
        <v>2302.4499999999998</v>
      </c>
      <c r="L360" s="1">
        <v>0</v>
      </c>
    </row>
    <row r="361" spans="1:12" x14ac:dyDescent="0.35">
      <c r="A361" s="6" t="s">
        <v>886</v>
      </c>
      <c r="B361" s="1" t="str">
        <f t="shared" si="10"/>
        <v>Corumba IV</v>
      </c>
      <c r="C361" s="1">
        <f t="shared" si="11"/>
        <v>-2250</v>
      </c>
      <c r="D361" s="1">
        <v>0</v>
      </c>
      <c r="E361" s="1">
        <v>0</v>
      </c>
      <c r="F361" s="1">
        <v>0</v>
      </c>
      <c r="G361" s="1">
        <v>0.3629</v>
      </c>
      <c r="H361" s="1">
        <v>29.126300000000001</v>
      </c>
      <c r="I361" s="1">
        <v>5.9622999999999999</v>
      </c>
      <c r="J361" s="1">
        <v>23.526900000000001</v>
      </c>
      <c r="K361" s="1">
        <v>0</v>
      </c>
      <c r="L361" s="1">
        <v>0</v>
      </c>
    </row>
    <row r="362" spans="1:12" hidden="1" x14ac:dyDescent="0.35">
      <c r="A362" s="6" t="s">
        <v>887</v>
      </c>
      <c r="B362" s="1" t="str">
        <f t="shared" si="10"/>
        <v>Lago Paranoa</v>
      </c>
      <c r="C362" s="1">
        <f t="shared" si="11"/>
        <v>-2250</v>
      </c>
      <c r="D362" s="1">
        <v>0</v>
      </c>
      <c r="E362" s="1">
        <v>2302.4499999999998</v>
      </c>
      <c r="F362" s="1">
        <v>0.4234</v>
      </c>
      <c r="G362" s="1">
        <v>2.5289999999999999</v>
      </c>
      <c r="H362" s="1">
        <v>3.2048000000000001</v>
      </c>
      <c r="I362" s="1">
        <v>1.4874000000000001</v>
      </c>
      <c r="J362" s="1">
        <v>3.823</v>
      </c>
      <c r="K362" s="1">
        <v>2302.4499999999998</v>
      </c>
      <c r="L362" s="1">
        <v>0</v>
      </c>
    </row>
    <row r="363" spans="1:12" x14ac:dyDescent="0.35">
      <c r="A363" s="6" t="s">
        <v>888</v>
      </c>
      <c r="B363" s="1" t="str">
        <f t="shared" si="10"/>
        <v>Corumba IV</v>
      </c>
      <c r="C363" s="1">
        <f t="shared" si="11"/>
        <v>-2249</v>
      </c>
      <c r="D363" s="1">
        <v>0</v>
      </c>
      <c r="E363" s="1">
        <v>0</v>
      </c>
      <c r="F363" s="1">
        <v>0</v>
      </c>
      <c r="G363" s="1">
        <v>0.3629</v>
      </c>
      <c r="H363" s="1">
        <v>39.455399999999997</v>
      </c>
      <c r="I363" s="1">
        <v>5.1676000000000002</v>
      </c>
      <c r="J363" s="1">
        <v>34.650700000000001</v>
      </c>
      <c r="K363" s="1">
        <v>0</v>
      </c>
      <c r="L363" s="1">
        <v>0</v>
      </c>
    </row>
    <row r="364" spans="1:12" hidden="1" x14ac:dyDescent="0.35">
      <c r="A364" s="6" t="s">
        <v>889</v>
      </c>
      <c r="B364" s="1" t="str">
        <f t="shared" si="10"/>
        <v>Lago Paranoa</v>
      </c>
      <c r="C364" s="1">
        <f t="shared" si="11"/>
        <v>-2249</v>
      </c>
      <c r="D364" s="1">
        <v>0</v>
      </c>
      <c r="E364" s="1">
        <v>2302.4499999999998</v>
      </c>
      <c r="F364" s="1">
        <v>0.4234</v>
      </c>
      <c r="G364" s="1">
        <v>2.9116</v>
      </c>
      <c r="H364" s="1">
        <v>4.4031000000000002</v>
      </c>
      <c r="I364" s="1">
        <v>1.4176</v>
      </c>
      <c r="J364" s="1">
        <v>5.4737</v>
      </c>
      <c r="K364" s="1">
        <v>2302.4499999999998</v>
      </c>
      <c r="L364" s="1">
        <v>0</v>
      </c>
    </row>
    <row r="365" spans="1:12" x14ac:dyDescent="0.35">
      <c r="A365" s="6" t="s">
        <v>890</v>
      </c>
      <c r="B365" s="1" t="str">
        <f t="shared" si="10"/>
        <v>Corumba IV</v>
      </c>
      <c r="C365" s="1">
        <f t="shared" si="11"/>
        <v>-2248</v>
      </c>
      <c r="D365" s="1">
        <v>0</v>
      </c>
      <c r="E365" s="1">
        <v>0</v>
      </c>
      <c r="F365" s="1">
        <v>0</v>
      </c>
      <c r="G365" s="1">
        <v>0.3629</v>
      </c>
      <c r="H365" s="1">
        <v>34.165999999999997</v>
      </c>
      <c r="I365" s="1">
        <v>5.1676000000000002</v>
      </c>
      <c r="J365" s="1">
        <v>29.3613</v>
      </c>
      <c r="K365" s="1">
        <v>0</v>
      </c>
      <c r="L365" s="1">
        <v>0</v>
      </c>
    </row>
    <row r="366" spans="1:12" hidden="1" x14ac:dyDescent="0.35">
      <c r="A366" s="6" t="s">
        <v>891</v>
      </c>
      <c r="B366" s="1" t="str">
        <f t="shared" si="10"/>
        <v>Lago Paranoa</v>
      </c>
      <c r="C366" s="1">
        <f t="shared" si="11"/>
        <v>-2248</v>
      </c>
      <c r="D366" s="1">
        <v>0</v>
      </c>
      <c r="E366" s="1">
        <v>2302.4499999999998</v>
      </c>
      <c r="F366" s="1">
        <v>0.4234</v>
      </c>
      <c r="G366" s="1">
        <v>2.6583999999999999</v>
      </c>
      <c r="H366" s="1">
        <v>4.4640000000000004</v>
      </c>
      <c r="I366" s="1">
        <v>1.4176</v>
      </c>
      <c r="J366" s="1">
        <v>5.2813999999999997</v>
      </c>
      <c r="K366" s="1">
        <v>2302.4499999999998</v>
      </c>
      <c r="L366" s="1">
        <v>0</v>
      </c>
    </row>
    <row r="367" spans="1:12" x14ac:dyDescent="0.35">
      <c r="A367" s="6" t="s">
        <v>892</v>
      </c>
      <c r="B367" s="1" t="str">
        <f t="shared" si="10"/>
        <v>Corumba IV</v>
      </c>
      <c r="C367" s="1">
        <f t="shared" si="11"/>
        <v>-2247</v>
      </c>
      <c r="D367" s="1">
        <v>0</v>
      </c>
      <c r="E367" s="1">
        <v>0</v>
      </c>
      <c r="F367" s="1">
        <v>0</v>
      </c>
      <c r="G367" s="1">
        <v>0.3629</v>
      </c>
      <c r="H367" s="1">
        <v>24.954000000000001</v>
      </c>
      <c r="I367" s="1">
        <v>5.1676000000000002</v>
      </c>
      <c r="J367" s="1">
        <v>20.1494</v>
      </c>
      <c r="K367" s="1">
        <v>0</v>
      </c>
      <c r="L367" s="1">
        <v>0</v>
      </c>
    </row>
    <row r="368" spans="1:12" hidden="1" x14ac:dyDescent="0.35">
      <c r="A368" s="6" t="s">
        <v>893</v>
      </c>
      <c r="B368" s="1" t="str">
        <f t="shared" si="10"/>
        <v>Lago Paranoa</v>
      </c>
      <c r="C368" s="1">
        <f t="shared" si="11"/>
        <v>-2247</v>
      </c>
      <c r="D368" s="1">
        <v>0</v>
      </c>
      <c r="E368" s="1">
        <v>2302.4499999999998</v>
      </c>
      <c r="F368" s="1">
        <v>0.4234</v>
      </c>
      <c r="G368" s="1">
        <v>2.3978999999999999</v>
      </c>
      <c r="H368" s="1">
        <v>3.1593</v>
      </c>
      <c r="I368" s="1">
        <v>1.4176</v>
      </c>
      <c r="J368" s="1">
        <v>3.7162999999999999</v>
      </c>
      <c r="K368" s="1">
        <v>2302.4499999999998</v>
      </c>
      <c r="L368" s="1">
        <v>0</v>
      </c>
    </row>
    <row r="369" spans="1:12" x14ac:dyDescent="0.35">
      <c r="A369" s="6" t="s">
        <v>894</v>
      </c>
      <c r="B369" s="1" t="str">
        <f t="shared" si="10"/>
        <v>Corumba IV</v>
      </c>
      <c r="C369" s="1">
        <f t="shared" si="11"/>
        <v>-2246</v>
      </c>
      <c r="D369" s="1">
        <v>0</v>
      </c>
      <c r="E369" s="1">
        <v>0</v>
      </c>
      <c r="F369" s="1">
        <v>0</v>
      </c>
      <c r="G369" s="1">
        <v>0.3629</v>
      </c>
      <c r="H369" s="1">
        <v>23.873200000000001</v>
      </c>
      <c r="I369" s="1">
        <v>5.1676000000000002</v>
      </c>
      <c r="J369" s="1">
        <v>19.0685</v>
      </c>
      <c r="K369" s="1">
        <v>0</v>
      </c>
      <c r="L369" s="1">
        <v>0</v>
      </c>
    </row>
    <row r="370" spans="1:12" hidden="1" x14ac:dyDescent="0.35">
      <c r="A370" s="6" t="s">
        <v>895</v>
      </c>
      <c r="B370" s="1" t="str">
        <f t="shared" si="10"/>
        <v>Lago Paranoa</v>
      </c>
      <c r="C370" s="1">
        <f t="shared" si="11"/>
        <v>-2246</v>
      </c>
      <c r="D370" s="1">
        <v>0</v>
      </c>
      <c r="E370" s="1">
        <v>2302.4499999999998</v>
      </c>
      <c r="F370" s="1">
        <v>0.4234</v>
      </c>
      <c r="G370" s="1">
        <v>2.4817</v>
      </c>
      <c r="H370" s="1">
        <v>2.6352000000000002</v>
      </c>
      <c r="I370" s="1">
        <v>1.4176</v>
      </c>
      <c r="J370" s="1">
        <v>3.2759999999999998</v>
      </c>
      <c r="K370" s="1">
        <v>2302.4499999999998</v>
      </c>
      <c r="L370" s="1">
        <v>0</v>
      </c>
    </row>
    <row r="371" spans="1:12" x14ac:dyDescent="0.35">
      <c r="A371" s="6" t="s">
        <v>896</v>
      </c>
      <c r="B371" s="1" t="str">
        <f t="shared" si="10"/>
        <v>Corumba IV</v>
      </c>
      <c r="C371" s="1">
        <f t="shared" si="11"/>
        <v>-2245</v>
      </c>
      <c r="D371" s="1">
        <v>0</v>
      </c>
      <c r="E371" s="1">
        <v>0</v>
      </c>
      <c r="F371" s="1">
        <v>0</v>
      </c>
      <c r="G371" s="1">
        <v>0.3629</v>
      </c>
      <c r="H371" s="1">
        <v>34.966099999999997</v>
      </c>
      <c r="I371" s="1">
        <v>4.2191000000000001</v>
      </c>
      <c r="J371" s="1">
        <v>31.1099</v>
      </c>
      <c r="K371" s="1">
        <v>0</v>
      </c>
      <c r="L371" s="1">
        <v>0</v>
      </c>
    </row>
    <row r="372" spans="1:12" hidden="1" x14ac:dyDescent="0.35">
      <c r="A372" s="6" t="s">
        <v>897</v>
      </c>
      <c r="B372" s="1" t="str">
        <f t="shared" si="10"/>
        <v>Lago Paranoa</v>
      </c>
      <c r="C372" s="1">
        <f t="shared" si="11"/>
        <v>-2245</v>
      </c>
      <c r="D372" s="1">
        <v>0</v>
      </c>
      <c r="E372" s="1">
        <v>2302.4499999999998</v>
      </c>
      <c r="F372" s="1">
        <v>0.4234</v>
      </c>
      <c r="G372" s="1">
        <v>2.7780999999999998</v>
      </c>
      <c r="H372" s="1">
        <v>3.6082000000000001</v>
      </c>
      <c r="I372" s="1">
        <v>1.0364</v>
      </c>
      <c r="J372" s="1">
        <v>4.9265999999999996</v>
      </c>
      <c r="K372" s="1">
        <v>2302.4499999999998</v>
      </c>
      <c r="L372" s="1">
        <v>0</v>
      </c>
    </row>
    <row r="373" spans="1:12" x14ac:dyDescent="0.35">
      <c r="A373" s="6" t="s">
        <v>898</v>
      </c>
      <c r="B373" s="1" t="str">
        <f t="shared" ref="B373:B436" si="12">_xlfn.TEXTBEFORE(_xlfn.TEXTAFTER(A373,"["),"]")</f>
        <v>Corumba IV</v>
      </c>
      <c r="C373" s="1">
        <f t="shared" ref="C373:C436" si="13">--_xlfn.TEXTBEFORE(_xlfn.TEXTAFTER(A373,"Week "),":")</f>
        <v>-2244</v>
      </c>
      <c r="D373" s="1">
        <v>0</v>
      </c>
      <c r="E373" s="1">
        <v>0</v>
      </c>
      <c r="F373" s="1">
        <v>0</v>
      </c>
      <c r="G373" s="1">
        <v>0.3629</v>
      </c>
      <c r="H373" s="1">
        <v>63.6068</v>
      </c>
      <c r="I373" s="1">
        <v>4.0609999999999999</v>
      </c>
      <c r="J373" s="1">
        <v>59.908700000000003</v>
      </c>
      <c r="K373" s="1">
        <v>0</v>
      </c>
      <c r="L373" s="1">
        <v>0</v>
      </c>
    </row>
    <row r="374" spans="1:12" hidden="1" x14ac:dyDescent="0.35">
      <c r="A374" s="6" t="s">
        <v>899</v>
      </c>
      <c r="B374" s="1" t="str">
        <f t="shared" si="12"/>
        <v>Lago Paranoa</v>
      </c>
      <c r="C374" s="1">
        <f t="shared" si="13"/>
        <v>-2244</v>
      </c>
      <c r="D374" s="1">
        <v>0</v>
      </c>
      <c r="E374" s="1">
        <v>2302.4499999999998</v>
      </c>
      <c r="F374" s="1">
        <v>0.4234</v>
      </c>
      <c r="G374" s="1">
        <v>2.7505000000000002</v>
      </c>
      <c r="H374" s="1">
        <v>4.7827000000000002</v>
      </c>
      <c r="I374" s="1">
        <v>0.9728</v>
      </c>
      <c r="J374" s="1">
        <v>6.1369999999999996</v>
      </c>
      <c r="K374" s="1">
        <v>2302.4499999999998</v>
      </c>
      <c r="L374" s="1">
        <v>0</v>
      </c>
    </row>
    <row r="375" spans="1:12" x14ac:dyDescent="0.35">
      <c r="A375" s="6" t="s">
        <v>900</v>
      </c>
      <c r="B375" s="1" t="str">
        <f t="shared" si="12"/>
        <v>Corumba IV</v>
      </c>
      <c r="C375" s="1">
        <f t="shared" si="13"/>
        <v>-2243</v>
      </c>
      <c r="D375" s="1">
        <v>0</v>
      </c>
      <c r="E375" s="1">
        <v>0</v>
      </c>
      <c r="F375" s="1">
        <v>0</v>
      </c>
      <c r="G375" s="1">
        <v>0.3629</v>
      </c>
      <c r="H375" s="1">
        <v>53.112699999999997</v>
      </c>
      <c r="I375" s="1">
        <v>4.0609999999999999</v>
      </c>
      <c r="J375" s="1">
        <v>49.4146</v>
      </c>
      <c r="K375" s="1">
        <v>0</v>
      </c>
      <c r="L375" s="1">
        <v>0</v>
      </c>
    </row>
    <row r="376" spans="1:12" hidden="1" x14ac:dyDescent="0.35">
      <c r="A376" s="6" t="s">
        <v>901</v>
      </c>
      <c r="B376" s="1" t="str">
        <f t="shared" si="12"/>
        <v>Lago Paranoa</v>
      </c>
      <c r="C376" s="1">
        <f t="shared" si="13"/>
        <v>-2243</v>
      </c>
      <c r="D376" s="1">
        <v>0</v>
      </c>
      <c r="E376" s="1">
        <v>2302.4499999999998</v>
      </c>
      <c r="F376" s="1">
        <v>0.4234</v>
      </c>
      <c r="G376" s="1">
        <v>2.7458999999999998</v>
      </c>
      <c r="H376" s="1">
        <v>4.1365999999999996</v>
      </c>
      <c r="I376" s="1">
        <v>0.9728</v>
      </c>
      <c r="J376" s="1">
        <v>5.4863</v>
      </c>
      <c r="K376" s="1">
        <v>2302.4499999999998</v>
      </c>
      <c r="L376" s="1">
        <v>0</v>
      </c>
    </row>
    <row r="377" spans="1:12" x14ac:dyDescent="0.35">
      <c r="A377" s="6" t="s">
        <v>902</v>
      </c>
      <c r="B377" s="1" t="str">
        <f t="shared" si="12"/>
        <v>Corumba IV</v>
      </c>
      <c r="C377" s="1">
        <f t="shared" si="13"/>
        <v>-2242</v>
      </c>
      <c r="D377" s="1">
        <v>0</v>
      </c>
      <c r="E377" s="1">
        <v>0</v>
      </c>
      <c r="F377" s="1">
        <v>0</v>
      </c>
      <c r="G377" s="1">
        <v>0.3629</v>
      </c>
      <c r="H377" s="1">
        <v>56.262</v>
      </c>
      <c r="I377" s="1">
        <v>4.0609999999999999</v>
      </c>
      <c r="J377" s="1">
        <v>52.563899999999997</v>
      </c>
      <c r="K377" s="1">
        <v>0</v>
      </c>
      <c r="L377" s="1">
        <v>0</v>
      </c>
    </row>
    <row r="378" spans="1:12" hidden="1" x14ac:dyDescent="0.35">
      <c r="A378" s="6" t="s">
        <v>903</v>
      </c>
      <c r="B378" s="1" t="str">
        <f t="shared" si="12"/>
        <v>Lago Paranoa</v>
      </c>
      <c r="C378" s="1">
        <f t="shared" si="13"/>
        <v>-2242</v>
      </c>
      <c r="D378" s="1">
        <v>0</v>
      </c>
      <c r="E378" s="1">
        <v>2302.4499999999998</v>
      </c>
      <c r="F378" s="1">
        <v>0.4234</v>
      </c>
      <c r="G378" s="1">
        <v>2.8372999999999999</v>
      </c>
      <c r="H378" s="1">
        <v>4.5366</v>
      </c>
      <c r="I378" s="1">
        <v>0.9728</v>
      </c>
      <c r="J378" s="1">
        <v>5.9778000000000002</v>
      </c>
      <c r="K378" s="1">
        <v>2302.4499999999998</v>
      </c>
      <c r="L378" s="1">
        <v>0</v>
      </c>
    </row>
    <row r="379" spans="1:12" x14ac:dyDescent="0.35">
      <c r="A379" s="6" t="s">
        <v>904</v>
      </c>
      <c r="B379" s="1" t="str">
        <f t="shared" si="12"/>
        <v>Corumba IV</v>
      </c>
      <c r="C379" s="1">
        <f t="shared" si="13"/>
        <v>-2241</v>
      </c>
      <c r="D379" s="1">
        <v>0</v>
      </c>
      <c r="E379" s="1">
        <v>0</v>
      </c>
      <c r="F379" s="1">
        <v>0</v>
      </c>
      <c r="G379" s="1">
        <v>0.3629</v>
      </c>
      <c r="H379" s="1">
        <v>132.77869999999999</v>
      </c>
      <c r="I379" s="1">
        <v>3.4891999999999999</v>
      </c>
      <c r="J379" s="1">
        <v>129.6524</v>
      </c>
      <c r="K379" s="1">
        <v>0</v>
      </c>
      <c r="L379" s="1">
        <v>0</v>
      </c>
    </row>
    <row r="380" spans="1:12" hidden="1" x14ac:dyDescent="0.35">
      <c r="A380" s="6" t="s">
        <v>905</v>
      </c>
      <c r="B380" s="1" t="str">
        <f t="shared" si="12"/>
        <v>Lago Paranoa</v>
      </c>
      <c r="C380" s="1">
        <f t="shared" si="13"/>
        <v>-2241</v>
      </c>
      <c r="D380" s="1">
        <v>0</v>
      </c>
      <c r="E380" s="1">
        <v>2302.4499999999998</v>
      </c>
      <c r="F380" s="1">
        <v>0.32869999999999999</v>
      </c>
      <c r="G380" s="1">
        <v>3.2275</v>
      </c>
      <c r="H380" s="1">
        <v>7.7744999999999997</v>
      </c>
      <c r="I380" s="1">
        <v>0.87970000000000004</v>
      </c>
      <c r="J380" s="1">
        <v>9.7936999999999994</v>
      </c>
      <c r="K380" s="1">
        <v>2302.4499999999998</v>
      </c>
      <c r="L380" s="1">
        <v>0</v>
      </c>
    </row>
    <row r="381" spans="1:12" x14ac:dyDescent="0.35">
      <c r="A381" s="6" t="s">
        <v>906</v>
      </c>
      <c r="B381" s="1" t="str">
        <f t="shared" si="12"/>
        <v>Corumba IV</v>
      </c>
      <c r="C381" s="1">
        <f t="shared" si="13"/>
        <v>-2240</v>
      </c>
      <c r="D381" s="1">
        <v>0</v>
      </c>
      <c r="E381" s="1">
        <v>0</v>
      </c>
      <c r="F381" s="1">
        <v>0</v>
      </c>
      <c r="G381" s="1">
        <v>0.3629</v>
      </c>
      <c r="H381" s="1">
        <v>65.727099999999993</v>
      </c>
      <c r="I381" s="1">
        <v>3.4075000000000002</v>
      </c>
      <c r="J381" s="1">
        <v>62.682499999999997</v>
      </c>
      <c r="K381" s="1">
        <v>0</v>
      </c>
      <c r="L381" s="1">
        <v>0</v>
      </c>
    </row>
    <row r="382" spans="1:12" hidden="1" x14ac:dyDescent="0.35">
      <c r="A382" s="6" t="s">
        <v>907</v>
      </c>
      <c r="B382" s="1" t="str">
        <f t="shared" si="12"/>
        <v>Lago Paranoa</v>
      </c>
      <c r="C382" s="1">
        <f t="shared" si="13"/>
        <v>-2240</v>
      </c>
      <c r="D382" s="1">
        <v>0</v>
      </c>
      <c r="E382" s="1">
        <v>2302.4499999999998</v>
      </c>
      <c r="F382" s="1">
        <v>0.32900000000000001</v>
      </c>
      <c r="G382" s="1">
        <v>3.0482</v>
      </c>
      <c r="H382" s="1">
        <v>6.1368</v>
      </c>
      <c r="I382" s="1">
        <v>0.88060000000000005</v>
      </c>
      <c r="J382" s="1">
        <v>7.9753999999999996</v>
      </c>
      <c r="K382" s="1">
        <v>2302.4499999999998</v>
      </c>
      <c r="L382" s="1">
        <v>0</v>
      </c>
    </row>
    <row r="383" spans="1:12" x14ac:dyDescent="0.35">
      <c r="A383" s="6" t="s">
        <v>908</v>
      </c>
      <c r="B383" s="1" t="str">
        <f t="shared" si="12"/>
        <v>Corumba IV</v>
      </c>
      <c r="C383" s="1">
        <f t="shared" si="13"/>
        <v>-2239</v>
      </c>
      <c r="D383" s="1">
        <v>0</v>
      </c>
      <c r="E383" s="1">
        <v>0</v>
      </c>
      <c r="F383" s="1">
        <v>0</v>
      </c>
      <c r="G383" s="1">
        <v>0.3629</v>
      </c>
      <c r="H383" s="1">
        <v>70.091099999999997</v>
      </c>
      <c r="I383" s="1">
        <v>3.6393</v>
      </c>
      <c r="J383" s="1">
        <v>66.814700000000002</v>
      </c>
      <c r="K383" s="1">
        <v>0</v>
      </c>
      <c r="L383" s="1">
        <v>0</v>
      </c>
    </row>
    <row r="384" spans="1:12" hidden="1" x14ac:dyDescent="0.35">
      <c r="A384" s="6" t="s">
        <v>909</v>
      </c>
      <c r="B384" s="1" t="str">
        <f t="shared" si="12"/>
        <v>Lago Paranoa</v>
      </c>
      <c r="C384" s="1">
        <f t="shared" si="13"/>
        <v>-2239</v>
      </c>
      <c r="D384" s="1">
        <v>0</v>
      </c>
      <c r="E384" s="1">
        <v>2302.4499999999998</v>
      </c>
      <c r="F384" s="1">
        <v>0.32929999999999998</v>
      </c>
      <c r="G384" s="1">
        <v>2.8481999999999998</v>
      </c>
      <c r="H384" s="1">
        <v>6.6139999999999999</v>
      </c>
      <c r="I384" s="1">
        <v>0.89900000000000002</v>
      </c>
      <c r="J384" s="1">
        <v>8.2339000000000002</v>
      </c>
      <c r="K384" s="1">
        <v>2302.4499999999998</v>
      </c>
      <c r="L384" s="1">
        <v>0</v>
      </c>
    </row>
    <row r="385" spans="1:12" x14ac:dyDescent="0.35">
      <c r="A385" s="6" t="s">
        <v>910</v>
      </c>
      <c r="B385" s="1" t="str">
        <f t="shared" si="12"/>
        <v>Corumba IV</v>
      </c>
      <c r="C385" s="1">
        <f t="shared" si="13"/>
        <v>-2238</v>
      </c>
      <c r="D385" s="1">
        <v>0</v>
      </c>
      <c r="E385" s="1">
        <v>0</v>
      </c>
      <c r="F385" s="1">
        <v>0</v>
      </c>
      <c r="G385" s="1">
        <v>0.3629</v>
      </c>
      <c r="H385" s="1">
        <v>69.272099999999995</v>
      </c>
      <c r="I385" s="1">
        <v>3.6393</v>
      </c>
      <c r="J385" s="1">
        <v>65.995599999999996</v>
      </c>
      <c r="K385" s="1">
        <v>0</v>
      </c>
      <c r="L385" s="1">
        <v>0</v>
      </c>
    </row>
    <row r="386" spans="1:12" hidden="1" x14ac:dyDescent="0.35">
      <c r="A386" s="6" t="s">
        <v>911</v>
      </c>
      <c r="B386" s="1" t="str">
        <f t="shared" si="12"/>
        <v>Lago Paranoa</v>
      </c>
      <c r="C386" s="1">
        <f t="shared" si="13"/>
        <v>-2238</v>
      </c>
      <c r="D386" s="1">
        <v>0</v>
      </c>
      <c r="E386" s="1">
        <v>2302.4499999999998</v>
      </c>
      <c r="F386" s="1">
        <v>0.3296</v>
      </c>
      <c r="G386" s="1">
        <v>2.9062000000000001</v>
      </c>
      <c r="H386" s="1">
        <v>6.4942000000000002</v>
      </c>
      <c r="I386" s="1">
        <v>0.89900000000000002</v>
      </c>
      <c r="J386" s="1">
        <v>8.1717999999999993</v>
      </c>
      <c r="K386" s="1">
        <v>2302.4499999999998</v>
      </c>
      <c r="L386" s="1">
        <v>0</v>
      </c>
    </row>
    <row r="387" spans="1:12" x14ac:dyDescent="0.35">
      <c r="A387" s="6" t="s">
        <v>912</v>
      </c>
      <c r="B387" s="1" t="str">
        <f t="shared" si="12"/>
        <v>Corumba IV</v>
      </c>
      <c r="C387" s="1">
        <f t="shared" si="13"/>
        <v>-2237</v>
      </c>
      <c r="D387" s="1">
        <v>0</v>
      </c>
      <c r="E387" s="1">
        <v>0</v>
      </c>
      <c r="F387" s="1">
        <v>0</v>
      </c>
      <c r="G387" s="1">
        <v>0.3629</v>
      </c>
      <c r="H387" s="1">
        <v>127.4435</v>
      </c>
      <c r="I387" s="1">
        <v>3.7953000000000001</v>
      </c>
      <c r="J387" s="1">
        <v>124.0111</v>
      </c>
      <c r="K387" s="1">
        <v>0</v>
      </c>
      <c r="L387" s="1">
        <v>0</v>
      </c>
    </row>
    <row r="388" spans="1:12" hidden="1" x14ac:dyDescent="0.35">
      <c r="A388" s="6" t="s">
        <v>913</v>
      </c>
      <c r="B388" s="1" t="str">
        <f t="shared" si="12"/>
        <v>Lago Paranoa</v>
      </c>
      <c r="C388" s="1">
        <f t="shared" si="13"/>
        <v>-2237</v>
      </c>
      <c r="D388" s="1">
        <v>0</v>
      </c>
      <c r="E388" s="1">
        <v>2302.4499999999998</v>
      </c>
      <c r="F388" s="1">
        <v>0.32990000000000003</v>
      </c>
      <c r="G388" s="1">
        <v>3.9687999999999999</v>
      </c>
      <c r="H388" s="1">
        <v>10.8178</v>
      </c>
      <c r="I388" s="1">
        <v>0.96240000000000003</v>
      </c>
      <c r="J388" s="1">
        <v>13.494300000000001</v>
      </c>
      <c r="K388" s="1">
        <v>2302.4499999999998</v>
      </c>
      <c r="L388" s="1">
        <v>0</v>
      </c>
    </row>
    <row r="389" spans="1:12" x14ac:dyDescent="0.35">
      <c r="A389" s="6" t="s">
        <v>914</v>
      </c>
      <c r="B389" s="1" t="str">
        <f t="shared" si="12"/>
        <v>Corumba IV</v>
      </c>
      <c r="C389" s="1">
        <f t="shared" si="13"/>
        <v>-2236</v>
      </c>
      <c r="D389" s="1">
        <v>0</v>
      </c>
      <c r="E389" s="1">
        <v>0</v>
      </c>
      <c r="F389" s="1">
        <v>0</v>
      </c>
      <c r="G389" s="1">
        <v>0.3629</v>
      </c>
      <c r="H389" s="1">
        <v>129.84450000000001</v>
      </c>
      <c r="I389" s="1">
        <v>4.7312000000000003</v>
      </c>
      <c r="J389" s="1">
        <v>125.47620000000001</v>
      </c>
      <c r="K389" s="1">
        <v>0</v>
      </c>
      <c r="L389" s="1">
        <v>0</v>
      </c>
    </row>
    <row r="390" spans="1:12" hidden="1" x14ac:dyDescent="0.35">
      <c r="A390" s="6" t="s">
        <v>915</v>
      </c>
      <c r="B390" s="1" t="str">
        <f t="shared" si="12"/>
        <v>Lago Paranoa</v>
      </c>
      <c r="C390" s="1">
        <f t="shared" si="13"/>
        <v>-2236</v>
      </c>
      <c r="D390" s="1">
        <v>0</v>
      </c>
      <c r="E390" s="1">
        <v>2302.4499999999998</v>
      </c>
      <c r="F390" s="1">
        <v>0.36990000000000001</v>
      </c>
      <c r="G390" s="1">
        <v>5.0008999999999997</v>
      </c>
      <c r="H390" s="1">
        <v>14.251200000000001</v>
      </c>
      <c r="I390" s="1">
        <v>1.3427</v>
      </c>
      <c r="J390" s="1">
        <v>17.5395</v>
      </c>
      <c r="K390" s="1">
        <v>2302.4499999999998</v>
      </c>
      <c r="L390" s="1">
        <v>0</v>
      </c>
    </row>
    <row r="391" spans="1:12" x14ac:dyDescent="0.35">
      <c r="A391" s="6" t="s">
        <v>916</v>
      </c>
      <c r="B391" s="1" t="str">
        <f t="shared" si="12"/>
        <v>Corumba IV</v>
      </c>
      <c r="C391" s="1">
        <f t="shared" si="13"/>
        <v>-2235</v>
      </c>
      <c r="D391" s="1">
        <v>0</v>
      </c>
      <c r="E391" s="1">
        <v>0</v>
      </c>
      <c r="F391" s="1">
        <v>0</v>
      </c>
      <c r="G391" s="1">
        <v>0.3629</v>
      </c>
      <c r="H391" s="1">
        <v>229.63820000000001</v>
      </c>
      <c r="I391" s="1">
        <v>4.7312000000000003</v>
      </c>
      <c r="J391" s="1">
        <v>225.26990000000001</v>
      </c>
      <c r="K391" s="1">
        <v>0</v>
      </c>
      <c r="L391" s="1">
        <v>0</v>
      </c>
    </row>
    <row r="392" spans="1:12" hidden="1" x14ac:dyDescent="0.35">
      <c r="A392" s="6" t="s">
        <v>917</v>
      </c>
      <c r="B392" s="1" t="str">
        <f t="shared" si="12"/>
        <v>Lago Paranoa</v>
      </c>
      <c r="C392" s="1">
        <f t="shared" si="13"/>
        <v>-2235</v>
      </c>
      <c r="D392" s="1">
        <v>0</v>
      </c>
      <c r="E392" s="1">
        <v>2302.4499999999998</v>
      </c>
      <c r="F392" s="1">
        <v>0.35360000000000003</v>
      </c>
      <c r="G392" s="1">
        <v>6.1524999999999999</v>
      </c>
      <c r="H392" s="1">
        <v>22.472000000000001</v>
      </c>
      <c r="I392" s="1">
        <v>1.3427</v>
      </c>
      <c r="J392" s="1">
        <v>26.9282</v>
      </c>
      <c r="K392" s="1">
        <v>2302.4499999999998</v>
      </c>
      <c r="L392" s="1">
        <v>0</v>
      </c>
    </row>
    <row r="393" spans="1:12" x14ac:dyDescent="0.35">
      <c r="A393" s="6" t="s">
        <v>918</v>
      </c>
      <c r="B393" s="1" t="str">
        <f t="shared" si="12"/>
        <v>Corumba IV</v>
      </c>
      <c r="C393" s="1">
        <f t="shared" si="13"/>
        <v>-2234</v>
      </c>
      <c r="D393" s="1">
        <v>0</v>
      </c>
      <c r="E393" s="1">
        <v>0</v>
      </c>
      <c r="F393" s="1">
        <v>0</v>
      </c>
      <c r="G393" s="1">
        <v>0.3629</v>
      </c>
      <c r="H393" s="1">
        <v>337.15609999999998</v>
      </c>
      <c r="I393" s="1">
        <v>4.7312000000000003</v>
      </c>
      <c r="J393" s="1">
        <v>332.7878</v>
      </c>
      <c r="K393" s="1">
        <v>0</v>
      </c>
      <c r="L393" s="1">
        <v>0</v>
      </c>
    </row>
    <row r="394" spans="1:12" hidden="1" x14ac:dyDescent="0.35">
      <c r="A394" s="6" t="s">
        <v>919</v>
      </c>
      <c r="B394" s="1" t="str">
        <f t="shared" si="12"/>
        <v>Lago Paranoa</v>
      </c>
      <c r="C394" s="1">
        <f t="shared" si="13"/>
        <v>-2234</v>
      </c>
      <c r="D394" s="1">
        <v>0</v>
      </c>
      <c r="E394" s="1">
        <v>2302.4499999999998</v>
      </c>
      <c r="F394" s="1">
        <v>0.35389999999999999</v>
      </c>
      <c r="G394" s="1">
        <v>5.2252000000000001</v>
      </c>
      <c r="H394" s="1">
        <v>22.139500000000002</v>
      </c>
      <c r="I394" s="1">
        <v>1.3427</v>
      </c>
      <c r="J394" s="1">
        <v>25.667999999999999</v>
      </c>
      <c r="K394" s="1">
        <v>2302.4499999999998</v>
      </c>
      <c r="L394" s="1">
        <v>0</v>
      </c>
    </row>
    <row r="395" spans="1:12" x14ac:dyDescent="0.35">
      <c r="A395" s="6" t="s">
        <v>920</v>
      </c>
      <c r="B395" s="1" t="str">
        <f t="shared" si="12"/>
        <v>Corumba IV</v>
      </c>
      <c r="C395" s="1">
        <f t="shared" si="13"/>
        <v>-2337</v>
      </c>
      <c r="D395" s="1">
        <v>0</v>
      </c>
      <c r="E395" s="1">
        <v>0</v>
      </c>
      <c r="F395" s="1">
        <v>0</v>
      </c>
      <c r="G395" s="1">
        <v>0.3629</v>
      </c>
      <c r="H395" s="1">
        <v>43.742600000000003</v>
      </c>
      <c r="I395" s="1">
        <v>2.9836</v>
      </c>
      <c r="J395" s="1">
        <v>41.121899999999997</v>
      </c>
      <c r="K395" s="1">
        <v>0</v>
      </c>
      <c r="L395" s="1">
        <v>0</v>
      </c>
    </row>
    <row r="396" spans="1:12" hidden="1" x14ac:dyDescent="0.35">
      <c r="A396" s="6" t="s">
        <v>921</v>
      </c>
      <c r="B396" s="1" t="str">
        <f t="shared" si="12"/>
        <v>Lago Paranoa</v>
      </c>
      <c r="C396" s="1">
        <f t="shared" si="13"/>
        <v>-2337</v>
      </c>
      <c r="D396" s="1">
        <v>0</v>
      </c>
      <c r="E396" s="1">
        <v>2302.4499999999998</v>
      </c>
      <c r="F396" s="1">
        <v>0.3543</v>
      </c>
      <c r="G396" s="1">
        <v>2.4872000000000001</v>
      </c>
      <c r="H396" s="1">
        <v>5.9263000000000003</v>
      </c>
      <c r="I396" s="1">
        <v>0.82940000000000003</v>
      </c>
      <c r="J396" s="1">
        <v>7.2298999999999998</v>
      </c>
      <c r="K396" s="1">
        <v>2302.4499999999998</v>
      </c>
      <c r="L396" s="1">
        <v>0</v>
      </c>
    </row>
    <row r="397" spans="1:12" x14ac:dyDescent="0.35">
      <c r="A397" s="6" t="s">
        <v>922</v>
      </c>
      <c r="B397" s="1" t="str">
        <f t="shared" si="12"/>
        <v>Corumba IV</v>
      </c>
      <c r="C397" s="1">
        <f t="shared" si="13"/>
        <v>-2336</v>
      </c>
      <c r="D397" s="1">
        <v>0</v>
      </c>
      <c r="E397" s="1">
        <v>0</v>
      </c>
      <c r="F397" s="1">
        <v>0</v>
      </c>
      <c r="G397" s="1">
        <v>0.3629</v>
      </c>
      <c r="H397" s="1">
        <v>38.6355</v>
      </c>
      <c r="I397" s="1">
        <v>3.5649000000000002</v>
      </c>
      <c r="J397" s="1">
        <v>35.433500000000002</v>
      </c>
      <c r="K397" s="1">
        <v>0</v>
      </c>
      <c r="L397" s="1">
        <v>0</v>
      </c>
    </row>
    <row r="398" spans="1:12" hidden="1" x14ac:dyDescent="0.35">
      <c r="A398" s="6" t="s">
        <v>13</v>
      </c>
      <c r="B398" s="1" t="str">
        <f t="shared" si="12"/>
        <v>Lago Paranoa</v>
      </c>
      <c r="C398" s="1">
        <f t="shared" si="13"/>
        <v>-2336</v>
      </c>
      <c r="D398" s="1">
        <v>0</v>
      </c>
      <c r="E398" s="1">
        <v>2302.4499999999998</v>
      </c>
      <c r="F398" s="1">
        <v>0.4234</v>
      </c>
      <c r="G398" s="1">
        <v>2.6791</v>
      </c>
      <c r="H398" s="1">
        <v>6.1542000000000003</v>
      </c>
      <c r="I398" s="1">
        <v>0.94820000000000004</v>
      </c>
      <c r="J398" s="1">
        <v>7.4618000000000002</v>
      </c>
      <c r="K398" s="1">
        <v>2302.4499999999998</v>
      </c>
      <c r="L398" s="1">
        <v>0</v>
      </c>
    </row>
    <row r="399" spans="1:12" x14ac:dyDescent="0.35">
      <c r="A399" s="6" t="s">
        <v>14</v>
      </c>
      <c r="B399" s="1" t="str">
        <f t="shared" si="12"/>
        <v>Corumba IV</v>
      </c>
      <c r="C399" s="1">
        <f t="shared" si="13"/>
        <v>-2335</v>
      </c>
      <c r="D399" s="1">
        <v>0</v>
      </c>
      <c r="E399" s="1">
        <v>0</v>
      </c>
      <c r="F399" s="1">
        <v>0</v>
      </c>
      <c r="G399" s="1">
        <v>0.3629</v>
      </c>
      <c r="H399" s="1">
        <v>56.465000000000003</v>
      </c>
      <c r="I399" s="1">
        <v>3.6311</v>
      </c>
      <c r="J399" s="1">
        <v>53.196800000000003</v>
      </c>
      <c r="K399" s="1">
        <v>0</v>
      </c>
      <c r="L399" s="1">
        <v>0</v>
      </c>
    </row>
    <row r="400" spans="1:12" hidden="1" x14ac:dyDescent="0.35">
      <c r="A400" s="6" t="s">
        <v>15</v>
      </c>
      <c r="B400" s="1" t="str">
        <f t="shared" si="12"/>
        <v>Lago Paranoa</v>
      </c>
      <c r="C400" s="1">
        <f t="shared" si="13"/>
        <v>-2335</v>
      </c>
      <c r="D400" s="1">
        <v>0</v>
      </c>
      <c r="E400" s="1">
        <v>2302.4499999999998</v>
      </c>
      <c r="F400" s="1">
        <v>0.4234</v>
      </c>
      <c r="G400" s="1">
        <v>3.2637999999999998</v>
      </c>
      <c r="H400" s="1">
        <v>7.0107999999999997</v>
      </c>
      <c r="I400" s="1">
        <v>0.9748</v>
      </c>
      <c r="J400" s="1">
        <v>8.8764000000000003</v>
      </c>
      <c r="K400" s="1">
        <v>2302.4499999999998</v>
      </c>
      <c r="L400" s="1">
        <v>0</v>
      </c>
    </row>
    <row r="401" spans="1:12" x14ac:dyDescent="0.35">
      <c r="A401" s="6" t="s">
        <v>16</v>
      </c>
      <c r="B401" s="1" t="str">
        <f t="shared" si="12"/>
        <v>Corumba IV</v>
      </c>
      <c r="C401" s="1">
        <f t="shared" si="13"/>
        <v>-2334</v>
      </c>
      <c r="D401" s="1">
        <v>0</v>
      </c>
      <c r="E401" s="1">
        <v>0</v>
      </c>
      <c r="F401" s="1">
        <v>0</v>
      </c>
      <c r="G401" s="1">
        <v>0.3629</v>
      </c>
      <c r="H401" s="1">
        <v>67.116399999999999</v>
      </c>
      <c r="I401" s="1">
        <v>3.6311</v>
      </c>
      <c r="J401" s="1">
        <v>63.848199999999999</v>
      </c>
      <c r="K401" s="1">
        <v>0</v>
      </c>
      <c r="L401" s="1">
        <v>0</v>
      </c>
    </row>
    <row r="402" spans="1:12" hidden="1" x14ac:dyDescent="0.35">
      <c r="A402" s="6" t="s">
        <v>17</v>
      </c>
      <c r="B402" s="1" t="str">
        <f t="shared" si="12"/>
        <v>Lago Paranoa</v>
      </c>
      <c r="C402" s="1">
        <f t="shared" si="13"/>
        <v>-2334</v>
      </c>
      <c r="D402" s="1">
        <v>0</v>
      </c>
      <c r="E402" s="1">
        <v>2302.4499999999998</v>
      </c>
      <c r="F402" s="1">
        <v>0.4234</v>
      </c>
      <c r="G402" s="1">
        <v>3.4596</v>
      </c>
      <c r="H402" s="1">
        <v>7.6553000000000004</v>
      </c>
      <c r="I402" s="1">
        <v>0.9748</v>
      </c>
      <c r="J402" s="1">
        <v>9.7166999999999994</v>
      </c>
      <c r="K402" s="1">
        <v>2302.4499999999998</v>
      </c>
      <c r="L402" s="1">
        <v>0</v>
      </c>
    </row>
    <row r="403" spans="1:12" x14ac:dyDescent="0.35">
      <c r="A403" s="6" t="s">
        <v>18</v>
      </c>
      <c r="B403" s="1" t="str">
        <f t="shared" si="12"/>
        <v>Corumba IV</v>
      </c>
      <c r="C403" s="1">
        <f t="shared" si="13"/>
        <v>-2333</v>
      </c>
      <c r="D403" s="1">
        <v>0</v>
      </c>
      <c r="E403" s="1">
        <v>0</v>
      </c>
      <c r="F403" s="1">
        <v>0</v>
      </c>
      <c r="G403" s="1">
        <v>0.3629</v>
      </c>
      <c r="H403" s="1">
        <v>49.6126</v>
      </c>
      <c r="I403" s="1">
        <v>3.7622</v>
      </c>
      <c r="J403" s="1">
        <v>46.213299999999997</v>
      </c>
      <c r="K403" s="1">
        <v>0</v>
      </c>
      <c r="L403" s="1">
        <v>0</v>
      </c>
    </row>
    <row r="404" spans="1:12" hidden="1" x14ac:dyDescent="0.35">
      <c r="A404" s="6" t="s">
        <v>19</v>
      </c>
      <c r="B404" s="1" t="str">
        <f t="shared" si="12"/>
        <v>Lago Paranoa</v>
      </c>
      <c r="C404" s="1">
        <f t="shared" si="13"/>
        <v>-2333</v>
      </c>
      <c r="D404" s="1">
        <v>0</v>
      </c>
      <c r="E404" s="1">
        <v>2302.4499999999998</v>
      </c>
      <c r="F404" s="1">
        <v>0.4234</v>
      </c>
      <c r="G404" s="1">
        <v>3.0768</v>
      </c>
      <c r="H404" s="1">
        <v>8.0642999999999994</v>
      </c>
      <c r="I404" s="1">
        <v>1.0158</v>
      </c>
      <c r="J404" s="1">
        <v>9.702</v>
      </c>
      <c r="K404" s="1">
        <v>2302.4499999999998</v>
      </c>
      <c r="L404" s="1">
        <v>0</v>
      </c>
    </row>
    <row r="405" spans="1:12" x14ac:dyDescent="0.35">
      <c r="A405" s="6" t="s">
        <v>20</v>
      </c>
      <c r="B405" s="1" t="str">
        <f t="shared" si="12"/>
        <v>Corumba IV</v>
      </c>
      <c r="C405" s="1">
        <f t="shared" si="13"/>
        <v>-2332</v>
      </c>
      <c r="D405" s="1">
        <v>0</v>
      </c>
      <c r="E405" s="1">
        <v>0</v>
      </c>
      <c r="F405" s="1">
        <v>0</v>
      </c>
      <c r="G405" s="1">
        <v>0.3629</v>
      </c>
      <c r="H405" s="1">
        <v>109.8965</v>
      </c>
      <c r="I405" s="1">
        <v>4.7068000000000003</v>
      </c>
      <c r="J405" s="1">
        <v>105.5526</v>
      </c>
      <c r="K405" s="1">
        <v>0</v>
      </c>
      <c r="L405" s="1">
        <v>0</v>
      </c>
    </row>
    <row r="406" spans="1:12" hidden="1" x14ac:dyDescent="0.35">
      <c r="A406" s="6" t="s">
        <v>21</v>
      </c>
      <c r="B406" s="1" t="str">
        <f t="shared" si="12"/>
        <v>Lago Paranoa</v>
      </c>
      <c r="C406" s="1">
        <f t="shared" si="13"/>
        <v>-2332</v>
      </c>
      <c r="D406" s="1">
        <v>0</v>
      </c>
      <c r="E406" s="1">
        <v>2302.4499999999998</v>
      </c>
      <c r="F406" s="1">
        <v>0.3054</v>
      </c>
      <c r="G406" s="1">
        <v>3.9108000000000001</v>
      </c>
      <c r="H406" s="1">
        <v>16.0869</v>
      </c>
      <c r="I406" s="1">
        <v>1.1664000000000001</v>
      </c>
      <c r="J406" s="1">
        <v>18.5259</v>
      </c>
      <c r="K406" s="1">
        <v>2302.4499999999998</v>
      </c>
      <c r="L406" s="1">
        <v>0</v>
      </c>
    </row>
    <row r="407" spans="1:12" x14ac:dyDescent="0.35">
      <c r="A407" s="6" t="s">
        <v>22</v>
      </c>
      <c r="B407" s="1" t="str">
        <f t="shared" si="12"/>
        <v>Corumba IV</v>
      </c>
      <c r="C407" s="1">
        <f t="shared" si="13"/>
        <v>-2331</v>
      </c>
      <c r="D407" s="1">
        <v>0</v>
      </c>
      <c r="E407" s="1">
        <v>0</v>
      </c>
      <c r="F407" s="1">
        <v>0</v>
      </c>
      <c r="G407" s="1">
        <v>0.3629</v>
      </c>
      <c r="H407" s="1">
        <v>71.676599999999993</v>
      </c>
      <c r="I407" s="1">
        <v>4.7332000000000001</v>
      </c>
      <c r="J407" s="1">
        <v>67.306299999999993</v>
      </c>
      <c r="K407" s="1">
        <v>0</v>
      </c>
      <c r="L407" s="1">
        <v>0</v>
      </c>
    </row>
    <row r="408" spans="1:12" hidden="1" x14ac:dyDescent="0.35">
      <c r="A408" s="6" t="s">
        <v>23</v>
      </c>
      <c r="B408" s="1" t="str">
        <f t="shared" si="12"/>
        <v>Lago Paranoa</v>
      </c>
      <c r="C408" s="1">
        <f t="shared" si="13"/>
        <v>-2331</v>
      </c>
      <c r="D408" s="1">
        <v>0</v>
      </c>
      <c r="E408" s="1">
        <v>2302.4499999999998</v>
      </c>
      <c r="F408" s="1">
        <v>0.30570000000000003</v>
      </c>
      <c r="G408" s="1">
        <v>3.0739000000000001</v>
      </c>
      <c r="H408" s="1">
        <v>10.8422</v>
      </c>
      <c r="I408" s="1">
        <v>1.1505000000000001</v>
      </c>
      <c r="J408" s="1">
        <v>12.459899999999999</v>
      </c>
      <c r="K408" s="1">
        <v>2302.4499999999998</v>
      </c>
      <c r="L408" s="1">
        <v>0</v>
      </c>
    </row>
    <row r="409" spans="1:12" x14ac:dyDescent="0.35">
      <c r="A409" s="6" t="s">
        <v>24</v>
      </c>
      <c r="B409" s="1" t="str">
        <f t="shared" si="12"/>
        <v>Corumba IV</v>
      </c>
      <c r="C409" s="1">
        <f t="shared" si="13"/>
        <v>-2330</v>
      </c>
      <c r="D409" s="1">
        <v>0</v>
      </c>
      <c r="E409" s="1">
        <v>0</v>
      </c>
      <c r="F409" s="1">
        <v>0</v>
      </c>
      <c r="G409" s="1">
        <v>0.3629</v>
      </c>
      <c r="H409" s="1">
        <v>103.82510000000001</v>
      </c>
      <c r="I409" s="1">
        <v>4.7332000000000001</v>
      </c>
      <c r="J409" s="1">
        <v>99.454800000000006</v>
      </c>
      <c r="K409" s="1">
        <v>0</v>
      </c>
      <c r="L409" s="1">
        <v>0</v>
      </c>
    </row>
    <row r="410" spans="1:12" hidden="1" x14ac:dyDescent="0.35">
      <c r="A410" s="6" t="s">
        <v>25</v>
      </c>
      <c r="B410" s="1" t="str">
        <f t="shared" si="12"/>
        <v>Lago Paranoa</v>
      </c>
      <c r="C410" s="1">
        <f t="shared" si="13"/>
        <v>-2330</v>
      </c>
      <c r="D410" s="1">
        <v>0</v>
      </c>
      <c r="E410" s="1">
        <v>2302.4499999999998</v>
      </c>
      <c r="F410" s="1">
        <v>0.30599999999999999</v>
      </c>
      <c r="G410" s="1">
        <v>3.4861</v>
      </c>
      <c r="H410" s="1">
        <v>10.3956</v>
      </c>
      <c r="I410" s="1">
        <v>1.1505000000000001</v>
      </c>
      <c r="J410" s="1">
        <v>12.4252</v>
      </c>
      <c r="K410" s="1">
        <v>2302.4499999999998</v>
      </c>
      <c r="L410" s="1">
        <v>0</v>
      </c>
    </row>
    <row r="411" spans="1:12" x14ac:dyDescent="0.35">
      <c r="A411" s="6" t="s">
        <v>26</v>
      </c>
      <c r="B411" s="1" t="str">
        <f t="shared" si="12"/>
        <v>Corumba IV</v>
      </c>
      <c r="C411" s="1">
        <f t="shared" si="13"/>
        <v>-2329</v>
      </c>
      <c r="D411" s="1">
        <v>0</v>
      </c>
      <c r="E411" s="1">
        <v>0</v>
      </c>
      <c r="F411" s="1">
        <v>0</v>
      </c>
      <c r="G411" s="1">
        <v>0.3629</v>
      </c>
      <c r="H411" s="1">
        <v>90.574799999999996</v>
      </c>
      <c r="I411" s="1">
        <v>4.8521999999999998</v>
      </c>
      <c r="J411" s="1">
        <v>86.085499999999996</v>
      </c>
      <c r="K411" s="1">
        <v>0</v>
      </c>
      <c r="L411" s="1">
        <v>0</v>
      </c>
    </row>
    <row r="412" spans="1:12" hidden="1" x14ac:dyDescent="0.35">
      <c r="A412" s="6" t="s">
        <v>27</v>
      </c>
      <c r="B412" s="1" t="str">
        <f t="shared" si="12"/>
        <v>Lago Paranoa</v>
      </c>
      <c r="C412" s="1">
        <f t="shared" si="13"/>
        <v>-2329</v>
      </c>
      <c r="D412" s="1">
        <v>0</v>
      </c>
      <c r="E412" s="1">
        <v>2302.4499999999998</v>
      </c>
      <c r="F412" s="1">
        <v>0.30630000000000002</v>
      </c>
      <c r="G412" s="1">
        <v>3.5135999999999998</v>
      </c>
      <c r="H412" s="1">
        <v>11.281000000000001</v>
      </c>
      <c r="I412" s="1">
        <v>1.1736</v>
      </c>
      <c r="J412" s="1">
        <v>13.3146</v>
      </c>
      <c r="K412" s="1">
        <v>2302.4499999999998</v>
      </c>
      <c r="L412" s="1">
        <v>0</v>
      </c>
    </row>
    <row r="413" spans="1:12" x14ac:dyDescent="0.35">
      <c r="A413" s="6" t="s">
        <v>28</v>
      </c>
      <c r="B413" s="1" t="str">
        <f t="shared" si="12"/>
        <v>Corumba IV</v>
      </c>
      <c r="C413" s="1">
        <f t="shared" si="13"/>
        <v>-2328</v>
      </c>
      <c r="D413" s="1">
        <v>0</v>
      </c>
      <c r="E413" s="1">
        <v>0</v>
      </c>
      <c r="F413" s="1">
        <v>0</v>
      </c>
      <c r="G413" s="1">
        <v>0.3629</v>
      </c>
      <c r="H413" s="1">
        <v>110.38120000000001</v>
      </c>
      <c r="I413" s="1">
        <v>4.9405000000000001</v>
      </c>
      <c r="J413" s="1">
        <v>105.8036</v>
      </c>
      <c r="K413" s="1">
        <v>0</v>
      </c>
      <c r="L413" s="1">
        <v>0</v>
      </c>
    </row>
    <row r="414" spans="1:12" hidden="1" x14ac:dyDescent="0.35">
      <c r="A414" s="6" t="s">
        <v>29</v>
      </c>
      <c r="B414" s="1" t="str">
        <f t="shared" si="12"/>
        <v>Lago Paranoa</v>
      </c>
      <c r="C414" s="1">
        <f t="shared" si="13"/>
        <v>-2328</v>
      </c>
      <c r="D414" s="1">
        <v>0</v>
      </c>
      <c r="E414" s="1">
        <v>2302.4499999999998</v>
      </c>
      <c r="F414" s="1">
        <v>0.30669999999999997</v>
      </c>
      <c r="G414" s="1">
        <v>3.8862000000000001</v>
      </c>
      <c r="H414" s="1">
        <v>12.439299999999999</v>
      </c>
      <c r="I414" s="1">
        <v>1.202</v>
      </c>
      <c r="J414" s="1">
        <v>14.816800000000001</v>
      </c>
      <c r="K414" s="1">
        <v>2302.4499999999998</v>
      </c>
      <c r="L414" s="1">
        <v>0</v>
      </c>
    </row>
    <row r="415" spans="1:12" x14ac:dyDescent="0.35">
      <c r="A415" s="6" t="s">
        <v>30</v>
      </c>
      <c r="B415" s="1" t="str">
        <f t="shared" si="12"/>
        <v>Corumba IV</v>
      </c>
      <c r="C415" s="1">
        <f t="shared" si="13"/>
        <v>-2327</v>
      </c>
      <c r="D415" s="1">
        <v>0</v>
      </c>
      <c r="E415" s="1">
        <v>0</v>
      </c>
      <c r="F415" s="1">
        <v>0</v>
      </c>
      <c r="G415" s="1">
        <v>0.3629</v>
      </c>
      <c r="H415" s="1">
        <v>70.8048</v>
      </c>
      <c r="I415" s="1">
        <v>4.8002000000000002</v>
      </c>
      <c r="J415" s="1">
        <v>66.367500000000007</v>
      </c>
      <c r="K415" s="1">
        <v>0</v>
      </c>
      <c r="L415" s="1">
        <v>0</v>
      </c>
    </row>
    <row r="416" spans="1:12" hidden="1" x14ac:dyDescent="0.35">
      <c r="A416" s="6" t="s">
        <v>31</v>
      </c>
      <c r="B416" s="1" t="str">
        <f t="shared" si="12"/>
        <v>Lago Paranoa</v>
      </c>
      <c r="C416" s="1">
        <f t="shared" si="13"/>
        <v>-2327</v>
      </c>
      <c r="D416" s="1">
        <v>0</v>
      </c>
      <c r="E416" s="1">
        <v>2302.4499999999998</v>
      </c>
      <c r="F416" s="1">
        <v>0.35539999999999999</v>
      </c>
      <c r="G416" s="1">
        <v>3.1154000000000002</v>
      </c>
      <c r="H416" s="1">
        <v>11.3629</v>
      </c>
      <c r="I416" s="1">
        <v>1.1899</v>
      </c>
      <c r="J416" s="1">
        <v>12.933</v>
      </c>
      <c r="K416" s="1">
        <v>2302.4499999999998</v>
      </c>
      <c r="L416" s="1">
        <v>0</v>
      </c>
    </row>
    <row r="417" spans="1:12" x14ac:dyDescent="0.35">
      <c r="A417" s="6" t="s">
        <v>32</v>
      </c>
      <c r="B417" s="1" t="str">
        <f t="shared" si="12"/>
        <v>Corumba IV</v>
      </c>
      <c r="C417" s="1">
        <f t="shared" si="13"/>
        <v>-2326</v>
      </c>
      <c r="D417" s="1">
        <v>0</v>
      </c>
      <c r="E417" s="1">
        <v>0</v>
      </c>
      <c r="F417" s="1">
        <v>0</v>
      </c>
      <c r="G417" s="1">
        <v>0.3629</v>
      </c>
      <c r="H417" s="1">
        <v>84.803299999999993</v>
      </c>
      <c r="I417" s="1">
        <v>4.8002000000000002</v>
      </c>
      <c r="J417" s="1">
        <v>80.366</v>
      </c>
      <c r="K417" s="1">
        <v>0</v>
      </c>
      <c r="L417" s="1">
        <v>0</v>
      </c>
    </row>
    <row r="418" spans="1:12" hidden="1" x14ac:dyDescent="0.35">
      <c r="A418" s="6" t="s">
        <v>33</v>
      </c>
      <c r="B418" s="1" t="str">
        <f t="shared" si="12"/>
        <v>Lago Paranoa</v>
      </c>
      <c r="C418" s="1">
        <f t="shared" si="13"/>
        <v>-2326</v>
      </c>
      <c r="D418" s="1">
        <v>0</v>
      </c>
      <c r="E418" s="1">
        <v>2302.4499999999998</v>
      </c>
      <c r="F418" s="1">
        <v>0.35570000000000002</v>
      </c>
      <c r="G418" s="1">
        <v>3.2033999999999998</v>
      </c>
      <c r="H418" s="1">
        <v>11.0672</v>
      </c>
      <c r="I418" s="1">
        <v>1.1899</v>
      </c>
      <c r="J418" s="1">
        <v>12.725099999999999</v>
      </c>
      <c r="K418" s="1">
        <v>2302.4499999999998</v>
      </c>
      <c r="L418" s="1">
        <v>0</v>
      </c>
    </row>
    <row r="419" spans="1:12" x14ac:dyDescent="0.35">
      <c r="A419" s="6" t="s">
        <v>34</v>
      </c>
      <c r="B419" s="1" t="str">
        <f t="shared" si="12"/>
        <v>Corumba IV</v>
      </c>
      <c r="C419" s="1">
        <f t="shared" si="13"/>
        <v>-2325</v>
      </c>
      <c r="D419" s="1">
        <v>0</v>
      </c>
      <c r="E419" s="1">
        <v>0</v>
      </c>
      <c r="F419" s="1">
        <v>0</v>
      </c>
      <c r="G419" s="1">
        <v>0.3629</v>
      </c>
      <c r="H419" s="1">
        <v>64.585700000000003</v>
      </c>
      <c r="I419" s="1">
        <v>4.8002000000000002</v>
      </c>
      <c r="J419" s="1">
        <v>60.148400000000002</v>
      </c>
      <c r="K419" s="1">
        <v>0</v>
      </c>
      <c r="L419" s="1">
        <v>0</v>
      </c>
    </row>
    <row r="420" spans="1:12" hidden="1" x14ac:dyDescent="0.35">
      <c r="A420" s="6" t="s">
        <v>35</v>
      </c>
      <c r="B420" s="1" t="str">
        <f t="shared" si="12"/>
        <v>Lago Paranoa</v>
      </c>
      <c r="C420" s="1">
        <f t="shared" si="13"/>
        <v>-2325</v>
      </c>
      <c r="D420" s="1">
        <v>0</v>
      </c>
      <c r="E420" s="1">
        <v>2302.4499999999998</v>
      </c>
      <c r="F420" s="1">
        <v>0.35610000000000003</v>
      </c>
      <c r="G420" s="1">
        <v>3.0295000000000001</v>
      </c>
      <c r="H420" s="1">
        <v>9.0447000000000006</v>
      </c>
      <c r="I420" s="1">
        <v>1.1899</v>
      </c>
      <c r="J420" s="1">
        <v>10.5283</v>
      </c>
      <c r="K420" s="1">
        <v>2302.4499999999998</v>
      </c>
      <c r="L420" s="1">
        <v>0</v>
      </c>
    </row>
    <row r="421" spans="1:12" x14ac:dyDescent="0.35">
      <c r="A421" s="6" t="s">
        <v>36</v>
      </c>
      <c r="B421" s="1" t="str">
        <f t="shared" si="12"/>
        <v>Corumba IV</v>
      </c>
      <c r="C421" s="1">
        <f t="shared" si="13"/>
        <v>-2324</v>
      </c>
      <c r="D421" s="1">
        <v>0</v>
      </c>
      <c r="E421" s="1">
        <v>0</v>
      </c>
      <c r="F421" s="1">
        <v>0</v>
      </c>
      <c r="G421" s="1">
        <v>0.3629</v>
      </c>
      <c r="H421" s="1">
        <v>60.2986</v>
      </c>
      <c r="I421" s="1">
        <v>4.6247999999999996</v>
      </c>
      <c r="J421" s="1">
        <v>56.0366</v>
      </c>
      <c r="K421" s="1">
        <v>0</v>
      </c>
      <c r="L421" s="1">
        <v>0</v>
      </c>
    </row>
    <row r="422" spans="1:12" hidden="1" x14ac:dyDescent="0.35">
      <c r="A422" s="6" t="s">
        <v>37</v>
      </c>
      <c r="B422" s="1" t="str">
        <f t="shared" si="12"/>
        <v>Lago Paranoa</v>
      </c>
      <c r="C422" s="1">
        <f t="shared" si="13"/>
        <v>-2324</v>
      </c>
      <c r="D422" s="1">
        <v>0</v>
      </c>
      <c r="E422" s="1">
        <v>2302.4499999999998</v>
      </c>
      <c r="F422" s="1">
        <v>0.35639999999999999</v>
      </c>
      <c r="G422" s="1">
        <v>3.4906000000000001</v>
      </c>
      <c r="H422" s="1">
        <v>7.7000999999999999</v>
      </c>
      <c r="I422" s="1">
        <v>1.1653</v>
      </c>
      <c r="J422" s="1">
        <v>9.6691000000000003</v>
      </c>
      <c r="K422" s="1">
        <v>2302.4499999999998</v>
      </c>
      <c r="L422" s="1">
        <v>0</v>
      </c>
    </row>
    <row r="423" spans="1:12" x14ac:dyDescent="0.35">
      <c r="A423" s="6" t="s">
        <v>38</v>
      </c>
      <c r="B423" s="1" t="str">
        <f t="shared" si="12"/>
        <v>Corumba IV</v>
      </c>
      <c r="C423" s="1">
        <f t="shared" si="13"/>
        <v>-2323</v>
      </c>
      <c r="D423" s="1">
        <v>0</v>
      </c>
      <c r="E423" s="1">
        <v>0</v>
      </c>
      <c r="F423" s="1">
        <v>0</v>
      </c>
      <c r="G423" s="1">
        <v>0.3629</v>
      </c>
      <c r="H423" s="1">
        <v>60.122300000000003</v>
      </c>
      <c r="I423" s="1">
        <v>3.5726</v>
      </c>
      <c r="J423" s="1">
        <v>56.912599999999998</v>
      </c>
      <c r="K423" s="1">
        <v>0</v>
      </c>
      <c r="L423" s="1">
        <v>0</v>
      </c>
    </row>
    <row r="424" spans="1:12" hidden="1" x14ac:dyDescent="0.35">
      <c r="A424" s="6" t="s">
        <v>39</v>
      </c>
      <c r="B424" s="1" t="str">
        <f t="shared" si="12"/>
        <v>Lago Paranoa</v>
      </c>
      <c r="C424" s="1">
        <f t="shared" si="13"/>
        <v>-2323</v>
      </c>
      <c r="D424" s="1">
        <v>0</v>
      </c>
      <c r="E424" s="1">
        <v>2302.4499999999998</v>
      </c>
      <c r="F424" s="1">
        <v>0.33789999999999998</v>
      </c>
      <c r="G424" s="1">
        <v>3.3003999999999998</v>
      </c>
      <c r="H424" s="1">
        <v>5.9829999999999997</v>
      </c>
      <c r="I424" s="1">
        <v>1.0178</v>
      </c>
      <c r="J424" s="1">
        <v>7.9276999999999997</v>
      </c>
      <c r="K424" s="1">
        <v>2302.4499999999998</v>
      </c>
      <c r="L424" s="1">
        <v>0</v>
      </c>
    </row>
    <row r="425" spans="1:12" x14ac:dyDescent="0.35">
      <c r="A425" s="6" t="s">
        <v>40</v>
      </c>
      <c r="B425" s="1" t="str">
        <f t="shared" si="12"/>
        <v>Corumba IV</v>
      </c>
      <c r="C425" s="1">
        <f t="shared" si="13"/>
        <v>-2322</v>
      </c>
      <c r="D425" s="1">
        <v>0</v>
      </c>
      <c r="E425" s="1">
        <v>0</v>
      </c>
      <c r="F425" s="1">
        <v>0</v>
      </c>
      <c r="G425" s="1">
        <v>0.3629</v>
      </c>
      <c r="H425" s="1">
        <v>57.057699999999997</v>
      </c>
      <c r="I425" s="1">
        <v>4.4645000000000001</v>
      </c>
      <c r="J425" s="1">
        <v>52.956099999999999</v>
      </c>
      <c r="K425" s="1">
        <v>0</v>
      </c>
      <c r="L425" s="1">
        <v>0</v>
      </c>
    </row>
    <row r="426" spans="1:12" hidden="1" x14ac:dyDescent="0.35">
      <c r="A426" s="6" t="s">
        <v>41</v>
      </c>
      <c r="B426" s="1" t="str">
        <f t="shared" si="12"/>
        <v>Lago Paranoa</v>
      </c>
      <c r="C426" s="1">
        <f t="shared" si="13"/>
        <v>-2322</v>
      </c>
      <c r="D426" s="1">
        <v>0</v>
      </c>
      <c r="E426" s="1">
        <v>2302.4499999999998</v>
      </c>
      <c r="F426" s="1">
        <v>0.3382</v>
      </c>
      <c r="G426" s="1">
        <v>3.0021</v>
      </c>
      <c r="H426" s="1">
        <v>5.0841000000000003</v>
      </c>
      <c r="I426" s="1">
        <v>1.2674000000000001</v>
      </c>
      <c r="J426" s="1">
        <v>6.4806999999999997</v>
      </c>
      <c r="K426" s="1">
        <v>2302.4499999999998</v>
      </c>
      <c r="L426" s="1">
        <v>0</v>
      </c>
    </row>
    <row r="427" spans="1:12" x14ac:dyDescent="0.35">
      <c r="A427" s="6" t="s">
        <v>42</v>
      </c>
      <c r="B427" s="1" t="str">
        <f t="shared" si="12"/>
        <v>Corumba IV</v>
      </c>
      <c r="C427" s="1">
        <f t="shared" si="13"/>
        <v>-2321</v>
      </c>
      <c r="D427" s="1">
        <v>0</v>
      </c>
      <c r="E427" s="1">
        <v>0</v>
      </c>
      <c r="F427" s="1">
        <v>0</v>
      </c>
      <c r="G427" s="1">
        <v>0.3629</v>
      </c>
      <c r="H427" s="1">
        <v>51.529800000000002</v>
      </c>
      <c r="I427" s="1">
        <v>4.4645000000000001</v>
      </c>
      <c r="J427" s="1">
        <v>47.428199999999997</v>
      </c>
      <c r="K427" s="1">
        <v>0</v>
      </c>
      <c r="L427" s="1">
        <v>0</v>
      </c>
    </row>
    <row r="428" spans="1:12" hidden="1" x14ac:dyDescent="0.35">
      <c r="A428" s="6" t="s">
        <v>43</v>
      </c>
      <c r="B428" s="1" t="str">
        <f t="shared" si="12"/>
        <v>Lago Paranoa</v>
      </c>
      <c r="C428" s="1">
        <f t="shared" si="13"/>
        <v>-2321</v>
      </c>
      <c r="D428" s="1">
        <v>0</v>
      </c>
      <c r="E428" s="1">
        <v>2302.4499999999998</v>
      </c>
      <c r="F428" s="1">
        <v>0.33850000000000002</v>
      </c>
      <c r="G428" s="1">
        <v>3.2437999999999998</v>
      </c>
      <c r="H428" s="1">
        <v>4.9911000000000003</v>
      </c>
      <c r="I428" s="1">
        <v>1.2674000000000001</v>
      </c>
      <c r="J428" s="1">
        <v>6.6291000000000002</v>
      </c>
      <c r="K428" s="1">
        <v>2302.4499999999998</v>
      </c>
      <c r="L428" s="1">
        <v>0</v>
      </c>
    </row>
    <row r="429" spans="1:12" x14ac:dyDescent="0.35">
      <c r="A429" s="6" t="s">
        <v>44</v>
      </c>
      <c r="B429" s="1" t="str">
        <f t="shared" si="12"/>
        <v>Corumba IV</v>
      </c>
      <c r="C429" s="1">
        <f t="shared" si="13"/>
        <v>-2320</v>
      </c>
      <c r="D429" s="1">
        <v>0</v>
      </c>
      <c r="E429" s="1">
        <v>0</v>
      </c>
      <c r="F429" s="1">
        <v>0</v>
      </c>
      <c r="G429" s="1">
        <v>0.3629</v>
      </c>
      <c r="H429" s="1">
        <v>54.2316</v>
      </c>
      <c r="I429" s="1">
        <v>4.4645000000000001</v>
      </c>
      <c r="J429" s="1">
        <v>50.129899999999999</v>
      </c>
      <c r="K429" s="1">
        <v>0</v>
      </c>
      <c r="L429" s="1">
        <v>0</v>
      </c>
    </row>
    <row r="430" spans="1:12" hidden="1" x14ac:dyDescent="0.35">
      <c r="A430" s="6" t="s">
        <v>45</v>
      </c>
      <c r="B430" s="1" t="str">
        <f t="shared" si="12"/>
        <v>Lago Paranoa</v>
      </c>
      <c r="C430" s="1">
        <f t="shared" si="13"/>
        <v>-2320</v>
      </c>
      <c r="D430" s="1">
        <v>0</v>
      </c>
      <c r="E430" s="1">
        <v>2302.4499999999998</v>
      </c>
      <c r="F430" s="1">
        <v>0.33879999999999999</v>
      </c>
      <c r="G430" s="1">
        <v>3.077</v>
      </c>
      <c r="H430" s="1">
        <v>4.8777999999999997</v>
      </c>
      <c r="I430" s="1">
        <v>1.2674000000000001</v>
      </c>
      <c r="J430" s="1">
        <v>6.3486000000000002</v>
      </c>
      <c r="K430" s="1">
        <v>2302.4499999999998</v>
      </c>
      <c r="L430" s="1">
        <v>0</v>
      </c>
    </row>
    <row r="431" spans="1:12" x14ac:dyDescent="0.35">
      <c r="A431" s="6" t="s">
        <v>46</v>
      </c>
      <c r="B431" s="1" t="str">
        <f t="shared" si="12"/>
        <v>Corumba IV</v>
      </c>
      <c r="C431" s="1">
        <f t="shared" si="13"/>
        <v>-2319</v>
      </c>
      <c r="D431" s="1">
        <v>0</v>
      </c>
      <c r="E431" s="1">
        <v>0</v>
      </c>
      <c r="F431" s="1">
        <v>0</v>
      </c>
      <c r="G431" s="1">
        <v>0.3629</v>
      </c>
      <c r="H431" s="1">
        <v>44.186700000000002</v>
      </c>
      <c r="I431" s="1">
        <v>4.5902000000000003</v>
      </c>
      <c r="J431" s="1">
        <v>39.959400000000002</v>
      </c>
      <c r="K431" s="1">
        <v>0</v>
      </c>
      <c r="L431" s="1">
        <v>0</v>
      </c>
    </row>
    <row r="432" spans="1:12" hidden="1" x14ac:dyDescent="0.35">
      <c r="A432" s="6" t="s">
        <v>47</v>
      </c>
      <c r="B432" s="1" t="str">
        <f t="shared" si="12"/>
        <v>Lago Paranoa</v>
      </c>
      <c r="C432" s="1">
        <f t="shared" si="13"/>
        <v>-2319</v>
      </c>
      <c r="D432" s="1">
        <v>0</v>
      </c>
      <c r="E432" s="1">
        <v>2302.4499999999998</v>
      </c>
      <c r="F432" s="1">
        <v>0.40600000000000003</v>
      </c>
      <c r="G432" s="1">
        <v>2.8468</v>
      </c>
      <c r="H432" s="1">
        <v>4.2499000000000002</v>
      </c>
      <c r="I432" s="1">
        <v>1.1686000000000001</v>
      </c>
      <c r="J432" s="1">
        <v>5.5221999999999998</v>
      </c>
      <c r="K432" s="1">
        <v>2302.4499999999998</v>
      </c>
      <c r="L432" s="1">
        <v>0</v>
      </c>
    </row>
    <row r="433" spans="1:12" x14ac:dyDescent="0.35">
      <c r="A433" s="6" t="s">
        <v>48</v>
      </c>
      <c r="B433" s="1" t="str">
        <f t="shared" si="12"/>
        <v>Corumba IV</v>
      </c>
      <c r="C433" s="1">
        <f t="shared" si="13"/>
        <v>-2318</v>
      </c>
      <c r="D433" s="1">
        <v>0</v>
      </c>
      <c r="E433" s="1">
        <v>0</v>
      </c>
      <c r="F433" s="1">
        <v>0</v>
      </c>
      <c r="G433" s="1">
        <v>0.3629</v>
      </c>
      <c r="H433" s="1">
        <v>39.7881</v>
      </c>
      <c r="I433" s="1">
        <v>4.9745999999999997</v>
      </c>
      <c r="J433" s="1">
        <v>35.176400000000001</v>
      </c>
      <c r="K433" s="1">
        <v>0</v>
      </c>
      <c r="L433" s="1">
        <v>0</v>
      </c>
    </row>
    <row r="434" spans="1:12" hidden="1" x14ac:dyDescent="0.35">
      <c r="A434" s="6" t="s">
        <v>49</v>
      </c>
      <c r="B434" s="1" t="str">
        <f t="shared" si="12"/>
        <v>Lago Paranoa</v>
      </c>
      <c r="C434" s="1">
        <f t="shared" si="13"/>
        <v>-2318</v>
      </c>
      <c r="D434" s="1">
        <v>0</v>
      </c>
      <c r="E434" s="1">
        <v>2302.4499999999998</v>
      </c>
      <c r="F434" s="1">
        <v>0.40629999999999999</v>
      </c>
      <c r="G434" s="1">
        <v>2.8184</v>
      </c>
      <c r="H434" s="1">
        <v>3.8643000000000001</v>
      </c>
      <c r="I434" s="1">
        <v>1.2709999999999999</v>
      </c>
      <c r="J434" s="1">
        <v>5.0053999999999998</v>
      </c>
      <c r="K434" s="1">
        <v>2302.4499999999998</v>
      </c>
      <c r="L434" s="1">
        <v>0</v>
      </c>
    </row>
    <row r="435" spans="1:12" x14ac:dyDescent="0.35">
      <c r="A435" s="6" t="s">
        <v>50</v>
      </c>
      <c r="B435" s="1" t="str">
        <f t="shared" si="12"/>
        <v>Corumba IV</v>
      </c>
      <c r="C435" s="1">
        <f t="shared" si="13"/>
        <v>-2317</v>
      </c>
      <c r="D435" s="1">
        <v>0</v>
      </c>
      <c r="E435" s="1">
        <v>0</v>
      </c>
      <c r="F435" s="1">
        <v>0</v>
      </c>
      <c r="G435" s="1">
        <v>0.3629</v>
      </c>
      <c r="H435" s="1">
        <v>36.426200000000001</v>
      </c>
      <c r="I435" s="1">
        <v>4.9745999999999997</v>
      </c>
      <c r="J435" s="1">
        <v>31.814499999999999</v>
      </c>
      <c r="K435" s="1">
        <v>0</v>
      </c>
      <c r="L435" s="1">
        <v>0</v>
      </c>
    </row>
    <row r="436" spans="1:12" hidden="1" x14ac:dyDescent="0.35">
      <c r="A436" s="6" t="s">
        <v>51</v>
      </c>
      <c r="B436" s="1" t="str">
        <f t="shared" si="12"/>
        <v>Lago Paranoa</v>
      </c>
      <c r="C436" s="1">
        <f t="shared" si="13"/>
        <v>-2317</v>
      </c>
      <c r="D436" s="1">
        <v>0</v>
      </c>
      <c r="E436" s="1">
        <v>2302.4499999999998</v>
      </c>
      <c r="F436" s="1">
        <v>0.40670000000000001</v>
      </c>
      <c r="G436" s="1">
        <v>2.6019000000000001</v>
      </c>
      <c r="H436" s="1">
        <v>3.5918000000000001</v>
      </c>
      <c r="I436" s="1">
        <v>1.2709999999999999</v>
      </c>
      <c r="J436" s="1">
        <v>4.516</v>
      </c>
      <c r="K436" s="1">
        <v>2302.4499999999998</v>
      </c>
      <c r="L436" s="1">
        <v>0</v>
      </c>
    </row>
    <row r="437" spans="1:12" x14ac:dyDescent="0.35">
      <c r="A437" s="6" t="s">
        <v>52</v>
      </c>
      <c r="B437" s="1" t="str">
        <f t="shared" ref="B437:B498" si="14">_xlfn.TEXTBEFORE(_xlfn.TEXTAFTER(A437,"["),"]")</f>
        <v>Corumba IV</v>
      </c>
      <c r="C437" s="1">
        <f t="shared" ref="C437:C498" si="15">--_xlfn.TEXTBEFORE(_xlfn.TEXTAFTER(A437,"Week "),":")</f>
        <v>-2316</v>
      </c>
      <c r="D437" s="1">
        <v>0</v>
      </c>
      <c r="E437" s="1">
        <v>0</v>
      </c>
      <c r="F437" s="1">
        <v>0</v>
      </c>
      <c r="G437" s="1">
        <v>0.3629</v>
      </c>
      <c r="H437" s="1">
        <v>33.841200000000001</v>
      </c>
      <c r="I437" s="1">
        <v>4.9745999999999997</v>
      </c>
      <c r="J437" s="1">
        <v>29.229399999999998</v>
      </c>
      <c r="K437" s="1">
        <v>0</v>
      </c>
      <c r="L437" s="1">
        <v>0</v>
      </c>
    </row>
    <row r="438" spans="1:12" hidden="1" x14ac:dyDescent="0.35">
      <c r="A438" s="6" t="s">
        <v>53</v>
      </c>
      <c r="B438" s="1" t="str">
        <f t="shared" si="14"/>
        <v>Lago Paranoa</v>
      </c>
      <c r="C438" s="1">
        <f t="shared" si="15"/>
        <v>-2316</v>
      </c>
      <c r="D438" s="1">
        <v>0</v>
      </c>
      <c r="E438" s="1">
        <v>2302.4499999999998</v>
      </c>
      <c r="F438" s="1">
        <v>0.40699999999999997</v>
      </c>
      <c r="G438" s="1">
        <v>2.4851999999999999</v>
      </c>
      <c r="H438" s="1">
        <v>3.4035000000000002</v>
      </c>
      <c r="I438" s="1">
        <v>1.2709999999999999</v>
      </c>
      <c r="J438" s="1">
        <v>4.2107000000000001</v>
      </c>
      <c r="K438" s="1">
        <v>2302.4499999999998</v>
      </c>
      <c r="L438" s="1">
        <v>0</v>
      </c>
    </row>
    <row r="439" spans="1:12" x14ac:dyDescent="0.35">
      <c r="A439" s="6" t="s">
        <v>54</v>
      </c>
      <c r="B439" s="1" t="str">
        <f t="shared" si="14"/>
        <v>Corumba IV</v>
      </c>
      <c r="C439" s="1">
        <f t="shared" si="15"/>
        <v>-2315</v>
      </c>
      <c r="D439" s="1">
        <v>0</v>
      </c>
      <c r="E439" s="1">
        <v>0</v>
      </c>
      <c r="F439" s="1">
        <v>0</v>
      </c>
      <c r="G439" s="1">
        <v>0.3629</v>
      </c>
      <c r="H439" s="1">
        <v>31.983599999999999</v>
      </c>
      <c r="I439" s="1">
        <v>5.0803000000000003</v>
      </c>
      <c r="J439" s="1">
        <v>27.266100000000002</v>
      </c>
      <c r="K439" s="1">
        <v>0</v>
      </c>
      <c r="L439" s="1">
        <v>0</v>
      </c>
    </row>
    <row r="440" spans="1:12" hidden="1" x14ac:dyDescent="0.35">
      <c r="A440" s="6" t="s">
        <v>55</v>
      </c>
      <c r="B440" s="1" t="str">
        <f t="shared" si="14"/>
        <v>Lago Paranoa</v>
      </c>
      <c r="C440" s="1">
        <f t="shared" si="15"/>
        <v>-2315</v>
      </c>
      <c r="D440" s="1">
        <v>0</v>
      </c>
      <c r="E440" s="1">
        <v>2302.4499999999998</v>
      </c>
      <c r="F440" s="1">
        <v>0.4073</v>
      </c>
      <c r="G440" s="1">
        <v>2.7052999999999998</v>
      </c>
      <c r="H440" s="1">
        <v>3.2158000000000002</v>
      </c>
      <c r="I440" s="1">
        <v>1.2827</v>
      </c>
      <c r="J440" s="1">
        <v>4.2309999999999999</v>
      </c>
      <c r="K440" s="1">
        <v>2302.4499999999998</v>
      </c>
      <c r="L440" s="1">
        <v>0</v>
      </c>
    </row>
    <row r="441" spans="1:12" x14ac:dyDescent="0.35">
      <c r="A441" s="6" t="s">
        <v>56</v>
      </c>
      <c r="B441" s="1" t="str">
        <f t="shared" si="14"/>
        <v>Corumba IV</v>
      </c>
      <c r="C441" s="1">
        <f t="shared" si="15"/>
        <v>-2314</v>
      </c>
      <c r="D441" s="1">
        <v>0</v>
      </c>
      <c r="E441" s="1">
        <v>0</v>
      </c>
      <c r="F441" s="1">
        <v>0</v>
      </c>
      <c r="G441" s="1">
        <v>0.3629</v>
      </c>
      <c r="H441" s="1">
        <v>30.510400000000001</v>
      </c>
      <c r="I441" s="1">
        <v>5.2211999999999996</v>
      </c>
      <c r="J441" s="1">
        <v>25.652100000000001</v>
      </c>
      <c r="K441" s="1">
        <v>0</v>
      </c>
      <c r="L441" s="1">
        <v>0</v>
      </c>
    </row>
    <row r="442" spans="1:12" hidden="1" x14ac:dyDescent="0.35">
      <c r="A442" s="6" t="s">
        <v>57</v>
      </c>
      <c r="B442" s="1" t="str">
        <f t="shared" si="14"/>
        <v>Lago Paranoa</v>
      </c>
      <c r="C442" s="1">
        <f t="shared" si="15"/>
        <v>-2314</v>
      </c>
      <c r="D442" s="1">
        <v>0</v>
      </c>
      <c r="E442" s="1">
        <v>2302.4499999999998</v>
      </c>
      <c r="F442" s="1">
        <v>0.4234</v>
      </c>
      <c r="G442" s="1">
        <v>2.7073999999999998</v>
      </c>
      <c r="H442" s="1">
        <v>3.4232999999999998</v>
      </c>
      <c r="I442" s="1">
        <v>1.2983</v>
      </c>
      <c r="J442" s="1">
        <v>4.4090999999999996</v>
      </c>
      <c r="K442" s="1">
        <v>2302.4499999999998</v>
      </c>
      <c r="L442" s="1">
        <v>0</v>
      </c>
    </row>
    <row r="443" spans="1:12" x14ac:dyDescent="0.35">
      <c r="A443" s="6" t="s">
        <v>58</v>
      </c>
      <c r="B443" s="1" t="str">
        <f t="shared" si="14"/>
        <v>Corumba IV</v>
      </c>
      <c r="C443" s="1">
        <f t="shared" si="15"/>
        <v>-2313</v>
      </c>
      <c r="D443" s="1">
        <v>0</v>
      </c>
      <c r="E443" s="1">
        <v>0</v>
      </c>
      <c r="F443" s="1">
        <v>0</v>
      </c>
      <c r="G443" s="1">
        <v>0.3629</v>
      </c>
      <c r="H443" s="1">
        <v>29.597200000000001</v>
      </c>
      <c r="I443" s="1">
        <v>5.2211999999999996</v>
      </c>
      <c r="J443" s="1">
        <v>24.738800000000001</v>
      </c>
      <c r="K443" s="1">
        <v>0</v>
      </c>
      <c r="L443" s="1">
        <v>0</v>
      </c>
    </row>
    <row r="444" spans="1:12" hidden="1" x14ac:dyDescent="0.35">
      <c r="A444" s="6" t="s">
        <v>59</v>
      </c>
      <c r="B444" s="1" t="str">
        <f t="shared" si="14"/>
        <v>Lago Paranoa</v>
      </c>
      <c r="C444" s="1">
        <f t="shared" si="15"/>
        <v>-2313</v>
      </c>
      <c r="D444" s="1">
        <v>0</v>
      </c>
      <c r="E444" s="1">
        <v>2302.4499999999998</v>
      </c>
      <c r="F444" s="1">
        <v>0.4234</v>
      </c>
      <c r="G444" s="1">
        <v>2.5184000000000002</v>
      </c>
      <c r="H444" s="1">
        <v>3.3205</v>
      </c>
      <c r="I444" s="1">
        <v>1.2983</v>
      </c>
      <c r="J444" s="1">
        <v>4.1172000000000004</v>
      </c>
      <c r="K444" s="1">
        <v>2302.4499999999998</v>
      </c>
      <c r="L444" s="1">
        <v>0</v>
      </c>
    </row>
    <row r="445" spans="1:12" x14ac:dyDescent="0.35">
      <c r="A445" s="6" t="s">
        <v>60</v>
      </c>
      <c r="B445" s="1" t="str">
        <f t="shared" si="14"/>
        <v>Corumba IV</v>
      </c>
      <c r="C445" s="1">
        <f t="shared" si="15"/>
        <v>-2312</v>
      </c>
      <c r="D445" s="1">
        <v>0</v>
      </c>
      <c r="E445" s="1">
        <v>0</v>
      </c>
      <c r="F445" s="1">
        <v>0</v>
      </c>
      <c r="G445" s="1">
        <v>0.3629</v>
      </c>
      <c r="H445" s="1">
        <v>27.9876</v>
      </c>
      <c r="I445" s="1">
        <v>5.2211999999999996</v>
      </c>
      <c r="J445" s="1">
        <v>23.129200000000001</v>
      </c>
      <c r="K445" s="1">
        <v>0</v>
      </c>
      <c r="L445" s="1">
        <v>0</v>
      </c>
    </row>
    <row r="446" spans="1:12" hidden="1" x14ac:dyDescent="0.35">
      <c r="A446" s="6" t="s">
        <v>61</v>
      </c>
      <c r="B446" s="1" t="str">
        <f t="shared" si="14"/>
        <v>Lago Paranoa</v>
      </c>
      <c r="C446" s="1">
        <f t="shared" si="15"/>
        <v>-2312</v>
      </c>
      <c r="D446" s="1">
        <v>0</v>
      </c>
      <c r="E446" s="1">
        <v>2302.4499999999998</v>
      </c>
      <c r="F446" s="1">
        <v>0.4234</v>
      </c>
      <c r="G446" s="1">
        <v>2.3645999999999998</v>
      </c>
      <c r="H446" s="1">
        <v>3.1781000000000001</v>
      </c>
      <c r="I446" s="1">
        <v>1.2983</v>
      </c>
      <c r="J446" s="1">
        <v>3.8210000000000002</v>
      </c>
      <c r="K446" s="1">
        <v>2302.4499999999998</v>
      </c>
      <c r="L446" s="1">
        <v>0</v>
      </c>
    </row>
    <row r="447" spans="1:12" x14ac:dyDescent="0.35">
      <c r="A447" s="6" t="s">
        <v>62</v>
      </c>
      <c r="B447" s="1" t="str">
        <f t="shared" si="14"/>
        <v>Corumba IV</v>
      </c>
      <c r="C447" s="1">
        <f t="shared" si="15"/>
        <v>-2311</v>
      </c>
      <c r="D447" s="1">
        <v>0</v>
      </c>
      <c r="E447" s="1">
        <v>0</v>
      </c>
      <c r="F447" s="1">
        <v>0</v>
      </c>
      <c r="G447" s="1">
        <v>0.3629</v>
      </c>
      <c r="H447" s="1">
        <v>27.4087</v>
      </c>
      <c r="I447" s="1">
        <v>5.2211999999999996</v>
      </c>
      <c r="J447" s="1">
        <v>22.5503</v>
      </c>
      <c r="K447" s="1">
        <v>0</v>
      </c>
      <c r="L447" s="1">
        <v>0</v>
      </c>
    </row>
    <row r="448" spans="1:12" hidden="1" x14ac:dyDescent="0.35">
      <c r="A448" s="6" t="s">
        <v>63</v>
      </c>
      <c r="B448" s="1" t="str">
        <f t="shared" si="14"/>
        <v>Lago Paranoa</v>
      </c>
      <c r="C448" s="1">
        <f t="shared" si="15"/>
        <v>-2311</v>
      </c>
      <c r="D448" s="1">
        <v>0</v>
      </c>
      <c r="E448" s="1">
        <v>2302.4499999999998</v>
      </c>
      <c r="F448" s="1">
        <v>0.4234</v>
      </c>
      <c r="G448" s="1">
        <v>2.1739999999999999</v>
      </c>
      <c r="H448" s="1">
        <v>3.0531000000000001</v>
      </c>
      <c r="I448" s="1">
        <v>1.2983</v>
      </c>
      <c r="J448" s="1">
        <v>3.5053999999999998</v>
      </c>
      <c r="K448" s="1">
        <v>2302.4499999999998</v>
      </c>
      <c r="L448" s="1">
        <v>0</v>
      </c>
    </row>
    <row r="449" spans="1:12" x14ac:dyDescent="0.35">
      <c r="A449" s="6" t="s">
        <v>64</v>
      </c>
      <c r="B449" s="1" t="str">
        <f t="shared" si="14"/>
        <v>Corumba IV</v>
      </c>
      <c r="C449" s="1">
        <f t="shared" si="15"/>
        <v>-2310</v>
      </c>
      <c r="D449" s="1">
        <v>0</v>
      </c>
      <c r="E449" s="1">
        <v>0</v>
      </c>
      <c r="F449" s="1">
        <v>0</v>
      </c>
      <c r="G449" s="1">
        <v>0.3629</v>
      </c>
      <c r="H449" s="1">
        <v>25.965800000000002</v>
      </c>
      <c r="I449" s="1">
        <v>6.1776999999999997</v>
      </c>
      <c r="J449" s="1">
        <v>20.151</v>
      </c>
      <c r="K449" s="1">
        <v>0</v>
      </c>
      <c r="L449" s="1">
        <v>0</v>
      </c>
    </row>
    <row r="450" spans="1:12" hidden="1" x14ac:dyDescent="0.35">
      <c r="A450" s="6" t="s">
        <v>65</v>
      </c>
      <c r="B450" s="1" t="str">
        <f t="shared" si="14"/>
        <v>Lago Paranoa</v>
      </c>
      <c r="C450" s="1">
        <f t="shared" si="15"/>
        <v>-2310</v>
      </c>
      <c r="D450" s="1">
        <v>0</v>
      </c>
      <c r="E450" s="1">
        <v>2302.4499999999998</v>
      </c>
      <c r="F450" s="1">
        <v>0.4234</v>
      </c>
      <c r="G450" s="1">
        <v>2.1436000000000002</v>
      </c>
      <c r="H450" s="1">
        <v>2.9155000000000002</v>
      </c>
      <c r="I450" s="1">
        <v>1.4354</v>
      </c>
      <c r="J450" s="1">
        <v>3.2004000000000001</v>
      </c>
      <c r="K450" s="1">
        <v>2302.4499999999998</v>
      </c>
      <c r="L450" s="1">
        <v>0</v>
      </c>
    </row>
    <row r="451" spans="1:12" x14ac:dyDescent="0.35">
      <c r="A451" s="6" t="s">
        <v>66</v>
      </c>
      <c r="B451" s="1" t="str">
        <f t="shared" si="14"/>
        <v>Corumba IV</v>
      </c>
      <c r="C451" s="1">
        <f t="shared" si="15"/>
        <v>-2309</v>
      </c>
      <c r="D451" s="1">
        <v>0</v>
      </c>
      <c r="E451" s="1">
        <v>0</v>
      </c>
      <c r="F451" s="1">
        <v>0</v>
      </c>
      <c r="G451" s="1">
        <v>0.3629</v>
      </c>
      <c r="H451" s="1">
        <v>24.813199999999998</v>
      </c>
      <c r="I451" s="1">
        <v>6.1776999999999997</v>
      </c>
      <c r="J451" s="1">
        <v>18.9984</v>
      </c>
      <c r="K451" s="1">
        <v>0</v>
      </c>
      <c r="L451" s="1">
        <v>0</v>
      </c>
    </row>
    <row r="452" spans="1:12" hidden="1" x14ac:dyDescent="0.35">
      <c r="A452" s="6" t="s">
        <v>67</v>
      </c>
      <c r="B452" s="1" t="str">
        <f t="shared" si="14"/>
        <v>Lago Paranoa</v>
      </c>
      <c r="C452" s="1">
        <f t="shared" si="15"/>
        <v>-2309</v>
      </c>
      <c r="D452" s="1">
        <v>0</v>
      </c>
      <c r="E452" s="1">
        <v>2302.4499999999998</v>
      </c>
      <c r="F452" s="1">
        <v>0.4234</v>
      </c>
      <c r="G452" s="1">
        <v>2.1892999999999998</v>
      </c>
      <c r="H452" s="1">
        <v>2.8033000000000001</v>
      </c>
      <c r="I452" s="1">
        <v>1.4354</v>
      </c>
      <c r="J452" s="1">
        <v>3.1337999999999999</v>
      </c>
      <c r="K452" s="1">
        <v>2302.4499999999998</v>
      </c>
      <c r="L452" s="1">
        <v>0</v>
      </c>
    </row>
    <row r="453" spans="1:12" x14ac:dyDescent="0.35">
      <c r="A453" s="6" t="s">
        <v>68</v>
      </c>
      <c r="B453" s="1" t="str">
        <f t="shared" si="14"/>
        <v>Corumba IV</v>
      </c>
      <c r="C453" s="1">
        <f t="shared" si="15"/>
        <v>-2308</v>
      </c>
      <c r="D453" s="1">
        <v>0</v>
      </c>
      <c r="E453" s="1">
        <v>0</v>
      </c>
      <c r="F453" s="1">
        <v>0</v>
      </c>
      <c r="G453" s="1">
        <v>0.3629</v>
      </c>
      <c r="H453" s="1">
        <v>23.239899999999999</v>
      </c>
      <c r="I453" s="1">
        <v>6.1776999999999997</v>
      </c>
      <c r="J453" s="1">
        <v>17.4251</v>
      </c>
      <c r="K453" s="1">
        <v>0</v>
      </c>
      <c r="L453" s="1">
        <v>0</v>
      </c>
    </row>
    <row r="454" spans="1:12" hidden="1" x14ac:dyDescent="0.35">
      <c r="A454" s="6" t="s">
        <v>69</v>
      </c>
      <c r="B454" s="1" t="str">
        <f t="shared" si="14"/>
        <v>Lago Paranoa</v>
      </c>
      <c r="C454" s="1">
        <f t="shared" si="15"/>
        <v>-2308</v>
      </c>
      <c r="D454" s="1">
        <v>0</v>
      </c>
      <c r="E454" s="1">
        <v>2302.4499999999998</v>
      </c>
      <c r="F454" s="1">
        <v>0.4234</v>
      </c>
      <c r="G454" s="1">
        <v>2.6932999999999998</v>
      </c>
      <c r="H454" s="1">
        <v>2.7974000000000001</v>
      </c>
      <c r="I454" s="1">
        <v>1.4354</v>
      </c>
      <c r="J454" s="1">
        <v>3.6318999999999999</v>
      </c>
      <c r="K454" s="1">
        <v>2302.4499999999998</v>
      </c>
      <c r="L454" s="1">
        <v>0</v>
      </c>
    </row>
    <row r="455" spans="1:12" x14ac:dyDescent="0.35">
      <c r="A455" s="6" t="s">
        <v>70</v>
      </c>
      <c r="B455" s="1" t="str">
        <f t="shared" si="14"/>
        <v>Corumba IV</v>
      </c>
      <c r="C455" s="1">
        <f t="shared" si="15"/>
        <v>-2307</v>
      </c>
      <c r="D455" s="1">
        <v>0</v>
      </c>
      <c r="E455" s="1">
        <v>0</v>
      </c>
      <c r="F455" s="1">
        <v>0</v>
      </c>
      <c r="G455" s="1">
        <v>0.3629</v>
      </c>
      <c r="H455" s="1">
        <v>29.511600000000001</v>
      </c>
      <c r="I455" s="1">
        <v>6.1776999999999997</v>
      </c>
      <c r="J455" s="1">
        <v>23.696899999999999</v>
      </c>
      <c r="K455" s="1">
        <v>0</v>
      </c>
      <c r="L455" s="1">
        <v>0</v>
      </c>
    </row>
    <row r="456" spans="1:12" hidden="1" x14ac:dyDescent="0.35">
      <c r="A456" s="6" t="s">
        <v>71</v>
      </c>
      <c r="B456" s="1" t="str">
        <f t="shared" si="14"/>
        <v>Lago Paranoa</v>
      </c>
      <c r="C456" s="1">
        <f t="shared" si="15"/>
        <v>-2307</v>
      </c>
      <c r="D456" s="1">
        <v>0</v>
      </c>
      <c r="E456" s="1">
        <v>2302.4499999999998</v>
      </c>
      <c r="F456" s="1">
        <v>0.4234</v>
      </c>
      <c r="G456" s="1">
        <v>2.6983000000000001</v>
      </c>
      <c r="H456" s="1">
        <v>3.0289999999999999</v>
      </c>
      <c r="I456" s="1">
        <v>1.4354</v>
      </c>
      <c r="J456" s="1">
        <v>3.8685999999999998</v>
      </c>
      <c r="K456" s="1">
        <v>2302.4499999999998</v>
      </c>
      <c r="L456" s="1">
        <v>0</v>
      </c>
    </row>
    <row r="457" spans="1:12" x14ac:dyDescent="0.35">
      <c r="A457" s="6" t="s">
        <v>72</v>
      </c>
      <c r="B457" s="1" t="str">
        <f t="shared" si="14"/>
        <v>Corumba IV</v>
      </c>
      <c r="C457" s="1">
        <f t="shared" si="15"/>
        <v>-2306</v>
      </c>
      <c r="D457" s="1">
        <v>0</v>
      </c>
      <c r="E457" s="1">
        <v>0</v>
      </c>
      <c r="F457" s="1">
        <v>0</v>
      </c>
      <c r="G457" s="1">
        <v>0.3629</v>
      </c>
      <c r="H457" s="1">
        <v>24.633500000000002</v>
      </c>
      <c r="I457" s="1">
        <v>6.1151999999999997</v>
      </c>
      <c r="J457" s="1">
        <v>18.8811</v>
      </c>
      <c r="K457" s="1">
        <v>0</v>
      </c>
      <c r="L457" s="1">
        <v>0</v>
      </c>
    </row>
    <row r="458" spans="1:12" hidden="1" x14ac:dyDescent="0.35">
      <c r="A458" s="6" t="s">
        <v>73</v>
      </c>
      <c r="B458" s="1" t="str">
        <f t="shared" si="14"/>
        <v>Lago Paranoa</v>
      </c>
      <c r="C458" s="1">
        <f t="shared" si="15"/>
        <v>-2306</v>
      </c>
      <c r="D458" s="1">
        <v>0</v>
      </c>
      <c r="E458" s="1">
        <v>2302.4499999999998</v>
      </c>
      <c r="F458" s="1">
        <v>0.4234</v>
      </c>
      <c r="G458" s="1">
        <v>2.2886000000000002</v>
      </c>
      <c r="H458" s="1">
        <v>2.7564000000000002</v>
      </c>
      <c r="I458" s="1">
        <v>1.4292</v>
      </c>
      <c r="J458" s="1">
        <v>3.1924000000000001</v>
      </c>
      <c r="K458" s="1">
        <v>2302.4499999999998</v>
      </c>
      <c r="L458" s="1">
        <v>0</v>
      </c>
    </row>
    <row r="459" spans="1:12" x14ac:dyDescent="0.35">
      <c r="A459" s="6" t="s">
        <v>74</v>
      </c>
      <c r="B459" s="1" t="str">
        <f t="shared" si="14"/>
        <v>Corumba IV</v>
      </c>
      <c r="C459" s="1">
        <f t="shared" si="15"/>
        <v>-2305</v>
      </c>
      <c r="D459" s="1">
        <v>0</v>
      </c>
      <c r="E459" s="1">
        <v>0</v>
      </c>
      <c r="F459" s="1">
        <v>0</v>
      </c>
      <c r="G459" s="1">
        <v>0.3629</v>
      </c>
      <c r="H459" s="1">
        <v>30.2728</v>
      </c>
      <c r="I459" s="1">
        <v>6.3300999999999998</v>
      </c>
      <c r="J459" s="1">
        <v>24.305599999999998</v>
      </c>
      <c r="K459" s="1">
        <v>0</v>
      </c>
      <c r="L459" s="1">
        <v>0</v>
      </c>
    </row>
    <row r="460" spans="1:12" hidden="1" x14ac:dyDescent="0.35">
      <c r="A460" s="6" t="s">
        <v>75</v>
      </c>
      <c r="B460" s="1" t="str">
        <f t="shared" si="14"/>
        <v>Lago Paranoa</v>
      </c>
      <c r="C460" s="1">
        <f t="shared" si="15"/>
        <v>-2305</v>
      </c>
      <c r="D460" s="1">
        <v>0</v>
      </c>
      <c r="E460" s="1">
        <v>2302.4499999999998</v>
      </c>
      <c r="F460" s="1">
        <v>0.4234</v>
      </c>
      <c r="G460" s="1">
        <v>2.4236</v>
      </c>
      <c r="H460" s="1">
        <v>3.0297000000000001</v>
      </c>
      <c r="I460" s="1">
        <v>1.4769000000000001</v>
      </c>
      <c r="J460" s="1">
        <v>3.5531999999999999</v>
      </c>
      <c r="K460" s="1">
        <v>2302.4499999999998</v>
      </c>
      <c r="L460" s="1">
        <v>0</v>
      </c>
    </row>
    <row r="461" spans="1:12" x14ac:dyDescent="0.35">
      <c r="A461" s="6" t="s">
        <v>76</v>
      </c>
      <c r="B461" s="1" t="str">
        <f t="shared" si="14"/>
        <v>Corumba IV</v>
      </c>
      <c r="C461" s="1">
        <f t="shared" si="15"/>
        <v>-2304</v>
      </c>
      <c r="D461" s="1">
        <v>0</v>
      </c>
      <c r="E461" s="1">
        <v>0</v>
      </c>
      <c r="F461" s="1">
        <v>0</v>
      </c>
      <c r="G461" s="1">
        <v>0.3629</v>
      </c>
      <c r="H461" s="1">
        <v>26.968900000000001</v>
      </c>
      <c r="I461" s="1">
        <v>6.3300999999999998</v>
      </c>
      <c r="J461" s="1">
        <v>21.0016</v>
      </c>
      <c r="K461" s="1">
        <v>0</v>
      </c>
      <c r="L461" s="1">
        <v>0</v>
      </c>
    </row>
    <row r="462" spans="1:12" hidden="1" x14ac:dyDescent="0.35">
      <c r="A462" s="6" t="s">
        <v>77</v>
      </c>
      <c r="B462" s="1" t="str">
        <f t="shared" si="14"/>
        <v>Lago Paranoa</v>
      </c>
      <c r="C462" s="1">
        <f t="shared" si="15"/>
        <v>-2304</v>
      </c>
      <c r="D462" s="1">
        <v>0</v>
      </c>
      <c r="E462" s="1">
        <v>2302.4499999999998</v>
      </c>
      <c r="F462" s="1">
        <v>0.4234</v>
      </c>
      <c r="G462" s="1">
        <v>3.0384000000000002</v>
      </c>
      <c r="H462" s="1">
        <v>3.2109000000000001</v>
      </c>
      <c r="I462" s="1">
        <v>1.4769000000000001</v>
      </c>
      <c r="J462" s="1">
        <v>4.3491</v>
      </c>
      <c r="K462" s="1">
        <v>2302.4499999999998</v>
      </c>
      <c r="L462" s="1">
        <v>0</v>
      </c>
    </row>
    <row r="463" spans="1:12" x14ac:dyDescent="0.35">
      <c r="A463" s="6" t="s">
        <v>78</v>
      </c>
      <c r="B463" s="1" t="str">
        <f t="shared" si="14"/>
        <v>Corumba IV</v>
      </c>
      <c r="C463" s="1">
        <f t="shared" si="15"/>
        <v>-2303</v>
      </c>
      <c r="D463" s="1">
        <v>0</v>
      </c>
      <c r="E463" s="1">
        <v>0</v>
      </c>
      <c r="F463" s="1">
        <v>0</v>
      </c>
      <c r="G463" s="1">
        <v>0.3629</v>
      </c>
      <c r="H463" s="1">
        <v>26.0686</v>
      </c>
      <c r="I463" s="1">
        <v>6.3300999999999998</v>
      </c>
      <c r="J463" s="1">
        <v>20.101400000000002</v>
      </c>
      <c r="K463" s="1">
        <v>0</v>
      </c>
      <c r="L463" s="1">
        <v>0</v>
      </c>
    </row>
    <row r="464" spans="1:12" hidden="1" x14ac:dyDescent="0.35">
      <c r="A464" s="6" t="s">
        <v>79</v>
      </c>
      <c r="B464" s="1" t="str">
        <f t="shared" si="14"/>
        <v>Lago Paranoa</v>
      </c>
      <c r="C464" s="1">
        <f t="shared" si="15"/>
        <v>-2303</v>
      </c>
      <c r="D464" s="1">
        <v>0</v>
      </c>
      <c r="E464" s="1">
        <v>2302.4499999999998</v>
      </c>
      <c r="F464" s="1">
        <v>0.4234</v>
      </c>
      <c r="G464" s="1">
        <v>2.7475000000000001</v>
      </c>
      <c r="H464" s="1">
        <v>3.1002000000000001</v>
      </c>
      <c r="I464" s="1">
        <v>1.4769000000000001</v>
      </c>
      <c r="J464" s="1">
        <v>3.9474999999999998</v>
      </c>
      <c r="K464" s="1">
        <v>2302.4499999999998</v>
      </c>
      <c r="L464" s="1">
        <v>0</v>
      </c>
    </row>
    <row r="465" spans="1:12" x14ac:dyDescent="0.35">
      <c r="A465" s="6" t="s">
        <v>80</v>
      </c>
      <c r="B465" s="1" t="str">
        <f t="shared" si="14"/>
        <v>Corumba IV</v>
      </c>
      <c r="C465" s="1">
        <f t="shared" si="15"/>
        <v>-2302</v>
      </c>
      <c r="D465" s="1">
        <v>0</v>
      </c>
      <c r="E465" s="1">
        <v>0</v>
      </c>
      <c r="F465" s="1">
        <v>0</v>
      </c>
      <c r="G465" s="1">
        <v>0.3629</v>
      </c>
      <c r="H465" s="1">
        <v>24.998100000000001</v>
      </c>
      <c r="I465" s="1">
        <v>5.8811999999999998</v>
      </c>
      <c r="J465" s="1">
        <v>19.479800000000001</v>
      </c>
      <c r="K465" s="1">
        <v>0</v>
      </c>
      <c r="L465" s="1">
        <v>0</v>
      </c>
    </row>
    <row r="466" spans="1:12" hidden="1" x14ac:dyDescent="0.35">
      <c r="A466" s="6" t="s">
        <v>81</v>
      </c>
      <c r="B466" s="1" t="str">
        <f t="shared" si="14"/>
        <v>Lago Paranoa</v>
      </c>
      <c r="C466" s="1">
        <f t="shared" si="15"/>
        <v>-2302</v>
      </c>
      <c r="D466" s="1">
        <v>0</v>
      </c>
      <c r="E466" s="1">
        <v>2302.4499999999998</v>
      </c>
      <c r="F466" s="1">
        <v>0.4234</v>
      </c>
      <c r="G466" s="1">
        <v>2.6629</v>
      </c>
      <c r="H466" s="1">
        <v>3.4639000000000002</v>
      </c>
      <c r="I466" s="1">
        <v>1.4135</v>
      </c>
      <c r="J466" s="1">
        <v>4.2899000000000003</v>
      </c>
      <c r="K466" s="1">
        <v>2302.4499999999998</v>
      </c>
      <c r="L466" s="1">
        <v>0</v>
      </c>
    </row>
    <row r="467" spans="1:12" x14ac:dyDescent="0.35">
      <c r="A467" s="6" t="s">
        <v>82</v>
      </c>
      <c r="B467" s="1" t="str">
        <f t="shared" si="14"/>
        <v>Corumba IV</v>
      </c>
      <c r="C467" s="1">
        <f t="shared" si="15"/>
        <v>-2301</v>
      </c>
      <c r="D467" s="1">
        <v>0</v>
      </c>
      <c r="E467" s="1">
        <v>0</v>
      </c>
      <c r="F467" s="1">
        <v>0</v>
      </c>
      <c r="G467" s="1">
        <v>0.3629</v>
      </c>
      <c r="H467" s="1">
        <v>29.835599999999999</v>
      </c>
      <c r="I467" s="1">
        <v>4.7587000000000002</v>
      </c>
      <c r="J467" s="1">
        <v>25.439800000000002</v>
      </c>
      <c r="K467" s="1">
        <v>0</v>
      </c>
      <c r="L467" s="1">
        <v>0</v>
      </c>
    </row>
    <row r="468" spans="1:12" hidden="1" x14ac:dyDescent="0.35">
      <c r="A468" s="6" t="s">
        <v>83</v>
      </c>
      <c r="B468" s="1" t="str">
        <f t="shared" si="14"/>
        <v>Lago Paranoa</v>
      </c>
      <c r="C468" s="1">
        <f t="shared" si="15"/>
        <v>-2301</v>
      </c>
      <c r="D468" s="1">
        <v>0</v>
      </c>
      <c r="E468" s="1">
        <v>2302.4499999999998</v>
      </c>
      <c r="F468" s="1">
        <v>0.4234</v>
      </c>
      <c r="G468" s="1">
        <v>2.8313999999999999</v>
      </c>
      <c r="H468" s="1">
        <v>3.5569999999999999</v>
      </c>
      <c r="I468" s="1">
        <v>1.2551000000000001</v>
      </c>
      <c r="J468" s="1">
        <v>4.71</v>
      </c>
      <c r="K468" s="1">
        <v>2302.4499999999998</v>
      </c>
      <c r="L468" s="1">
        <v>0</v>
      </c>
    </row>
    <row r="469" spans="1:12" x14ac:dyDescent="0.35">
      <c r="A469" s="6" t="s">
        <v>84</v>
      </c>
      <c r="B469" s="1" t="str">
        <f t="shared" si="14"/>
        <v>Corumba IV</v>
      </c>
      <c r="C469" s="1">
        <f t="shared" si="15"/>
        <v>-2300</v>
      </c>
      <c r="D469" s="1">
        <v>0</v>
      </c>
      <c r="E469" s="1">
        <v>0</v>
      </c>
      <c r="F469" s="1">
        <v>0</v>
      </c>
      <c r="G469" s="1">
        <v>0.3629</v>
      </c>
      <c r="H469" s="1">
        <v>33.615600000000001</v>
      </c>
      <c r="I469" s="1">
        <v>4.7587000000000002</v>
      </c>
      <c r="J469" s="1">
        <v>29.219799999999999</v>
      </c>
      <c r="K469" s="1">
        <v>0</v>
      </c>
      <c r="L469" s="1">
        <v>0</v>
      </c>
    </row>
    <row r="470" spans="1:12" hidden="1" x14ac:dyDescent="0.35">
      <c r="A470" s="6" t="s">
        <v>85</v>
      </c>
      <c r="B470" s="1" t="str">
        <f t="shared" si="14"/>
        <v>Lago Paranoa</v>
      </c>
      <c r="C470" s="1">
        <f t="shared" si="15"/>
        <v>-2300</v>
      </c>
      <c r="D470" s="1">
        <v>0</v>
      </c>
      <c r="E470" s="1">
        <v>2302.4499999999998</v>
      </c>
      <c r="F470" s="1">
        <v>0.4234</v>
      </c>
      <c r="G470" s="1">
        <v>3.3448000000000002</v>
      </c>
      <c r="H470" s="1">
        <v>3.6072000000000002</v>
      </c>
      <c r="I470" s="1">
        <v>1.2551000000000001</v>
      </c>
      <c r="J470" s="1">
        <v>5.2735000000000003</v>
      </c>
      <c r="K470" s="1">
        <v>2302.4499999999998</v>
      </c>
      <c r="L470" s="1">
        <v>0</v>
      </c>
    </row>
    <row r="471" spans="1:12" x14ac:dyDescent="0.35">
      <c r="A471" s="6" t="s">
        <v>86</v>
      </c>
      <c r="B471" s="1" t="str">
        <f t="shared" si="14"/>
        <v>Corumba IV</v>
      </c>
      <c r="C471" s="1">
        <f t="shared" si="15"/>
        <v>-2299</v>
      </c>
      <c r="D471" s="1">
        <v>0</v>
      </c>
      <c r="E471" s="1">
        <v>0</v>
      </c>
      <c r="F471" s="1">
        <v>0</v>
      </c>
      <c r="G471" s="1">
        <v>0.3629</v>
      </c>
      <c r="H471" s="1">
        <v>26.219799999999999</v>
      </c>
      <c r="I471" s="1">
        <v>4.7587000000000002</v>
      </c>
      <c r="J471" s="1">
        <v>21.824000000000002</v>
      </c>
      <c r="K471" s="1">
        <v>0</v>
      </c>
      <c r="L471" s="1">
        <v>0</v>
      </c>
    </row>
    <row r="472" spans="1:12" hidden="1" x14ac:dyDescent="0.35">
      <c r="A472" s="6" t="s">
        <v>87</v>
      </c>
      <c r="B472" s="1" t="str">
        <f t="shared" si="14"/>
        <v>Lago Paranoa</v>
      </c>
      <c r="C472" s="1">
        <f t="shared" si="15"/>
        <v>-2299</v>
      </c>
      <c r="D472" s="1">
        <v>0</v>
      </c>
      <c r="E472" s="1">
        <v>2302.4499999999998</v>
      </c>
      <c r="F472" s="1">
        <v>0.4234</v>
      </c>
      <c r="G472" s="1">
        <v>2.6858</v>
      </c>
      <c r="H472" s="1">
        <v>3.1082999999999998</v>
      </c>
      <c r="I472" s="1">
        <v>1.2551000000000001</v>
      </c>
      <c r="J472" s="1">
        <v>4.1155999999999997</v>
      </c>
      <c r="K472" s="1">
        <v>2302.4499999999998</v>
      </c>
      <c r="L472" s="1">
        <v>0</v>
      </c>
    </row>
    <row r="473" spans="1:12" x14ac:dyDescent="0.35">
      <c r="A473" s="6" t="s">
        <v>88</v>
      </c>
      <c r="B473" s="1" t="str">
        <f t="shared" si="14"/>
        <v>Corumba IV</v>
      </c>
      <c r="C473" s="1">
        <f t="shared" si="15"/>
        <v>-2298</v>
      </c>
      <c r="D473" s="1">
        <v>0</v>
      </c>
      <c r="E473" s="1">
        <v>0</v>
      </c>
      <c r="F473" s="1">
        <v>0</v>
      </c>
      <c r="G473" s="1">
        <v>0.3629</v>
      </c>
      <c r="H473" s="1">
        <v>33.9846</v>
      </c>
      <c r="I473" s="1">
        <v>4.0865999999999998</v>
      </c>
      <c r="J473" s="1">
        <v>30.2608</v>
      </c>
      <c r="K473" s="1">
        <v>0</v>
      </c>
      <c r="L473" s="1">
        <v>0</v>
      </c>
    </row>
    <row r="474" spans="1:12" hidden="1" x14ac:dyDescent="0.35">
      <c r="A474" s="6" t="s">
        <v>89</v>
      </c>
      <c r="B474" s="1" t="str">
        <f t="shared" si="14"/>
        <v>Lago Paranoa</v>
      </c>
      <c r="C474" s="1">
        <f t="shared" si="15"/>
        <v>-2298</v>
      </c>
      <c r="D474" s="1">
        <v>0</v>
      </c>
      <c r="E474" s="1">
        <v>2302.4499999999998</v>
      </c>
      <c r="F474" s="1">
        <v>0.4234</v>
      </c>
      <c r="G474" s="1">
        <v>3.2018</v>
      </c>
      <c r="H474" s="1">
        <v>3.9828000000000001</v>
      </c>
      <c r="I474" s="1">
        <v>1.0808</v>
      </c>
      <c r="J474" s="1">
        <v>5.6805000000000003</v>
      </c>
      <c r="K474" s="1">
        <v>2302.4499999999998</v>
      </c>
      <c r="L474" s="1">
        <v>0</v>
      </c>
    </row>
    <row r="475" spans="1:12" x14ac:dyDescent="0.35">
      <c r="A475" s="6" t="s">
        <v>90</v>
      </c>
      <c r="B475" s="1" t="str">
        <f t="shared" si="14"/>
        <v>Corumba IV</v>
      </c>
      <c r="C475" s="1">
        <f t="shared" si="15"/>
        <v>-2297</v>
      </c>
      <c r="D475" s="1">
        <v>0</v>
      </c>
      <c r="E475" s="1">
        <v>0</v>
      </c>
      <c r="F475" s="1">
        <v>0</v>
      </c>
      <c r="G475" s="1">
        <v>0.3629</v>
      </c>
      <c r="H475" s="1">
        <v>39.735399999999998</v>
      </c>
      <c r="I475" s="1">
        <v>3.9569999999999999</v>
      </c>
      <c r="J475" s="1">
        <v>36.141199999999998</v>
      </c>
      <c r="K475" s="1">
        <v>0</v>
      </c>
      <c r="L475" s="1">
        <v>0</v>
      </c>
    </row>
    <row r="476" spans="1:12" hidden="1" x14ac:dyDescent="0.35">
      <c r="A476" s="6" t="s">
        <v>91</v>
      </c>
      <c r="B476" s="1" t="str">
        <f t="shared" si="14"/>
        <v>Lago Paranoa</v>
      </c>
      <c r="C476" s="1">
        <f t="shared" si="15"/>
        <v>-2297</v>
      </c>
      <c r="D476" s="1">
        <v>0</v>
      </c>
      <c r="E476" s="1">
        <v>2302.4499999999998</v>
      </c>
      <c r="F476" s="1">
        <v>0.4234</v>
      </c>
      <c r="G476" s="1">
        <v>2.9213</v>
      </c>
      <c r="H476" s="1">
        <v>4.2023999999999999</v>
      </c>
      <c r="I476" s="1">
        <v>1.0043</v>
      </c>
      <c r="J476" s="1">
        <v>5.6959999999999997</v>
      </c>
      <c r="K476" s="1">
        <v>2302.4499999999998</v>
      </c>
      <c r="L476" s="1">
        <v>0</v>
      </c>
    </row>
    <row r="477" spans="1:12" x14ac:dyDescent="0.35">
      <c r="A477" s="6" t="s">
        <v>92</v>
      </c>
      <c r="B477" s="1" t="str">
        <f t="shared" si="14"/>
        <v>Corumba IV</v>
      </c>
      <c r="C477" s="1">
        <f t="shared" si="15"/>
        <v>-2296</v>
      </c>
      <c r="D477" s="1">
        <v>0</v>
      </c>
      <c r="E477" s="1">
        <v>0</v>
      </c>
      <c r="F477" s="1">
        <v>0</v>
      </c>
      <c r="G477" s="1">
        <v>0.3629</v>
      </c>
      <c r="H477" s="1">
        <v>49.585000000000001</v>
      </c>
      <c r="I477" s="1">
        <v>3.3814000000000002</v>
      </c>
      <c r="J477" s="1">
        <v>46.566400000000002</v>
      </c>
      <c r="K477" s="1">
        <v>0</v>
      </c>
      <c r="L477" s="1">
        <v>0</v>
      </c>
    </row>
    <row r="478" spans="1:12" hidden="1" x14ac:dyDescent="0.35">
      <c r="A478" s="6" t="s">
        <v>93</v>
      </c>
      <c r="B478" s="1" t="str">
        <f t="shared" si="14"/>
        <v>Lago Paranoa</v>
      </c>
      <c r="C478" s="1">
        <f t="shared" si="15"/>
        <v>-2296</v>
      </c>
      <c r="D478" s="1">
        <v>0</v>
      </c>
      <c r="E478" s="1">
        <v>2302.4499999999998</v>
      </c>
      <c r="F478" s="1">
        <v>0.4234</v>
      </c>
      <c r="G478" s="1">
        <v>2.8944999999999999</v>
      </c>
      <c r="H478" s="1">
        <v>5.1581999999999999</v>
      </c>
      <c r="I478" s="1">
        <v>0.81479999999999997</v>
      </c>
      <c r="J478" s="1">
        <v>6.8144999999999998</v>
      </c>
      <c r="K478" s="1">
        <v>2302.4499999999998</v>
      </c>
      <c r="L478" s="1">
        <v>0</v>
      </c>
    </row>
    <row r="479" spans="1:12" x14ac:dyDescent="0.35">
      <c r="A479" s="6" t="s">
        <v>94</v>
      </c>
      <c r="B479" s="1" t="str">
        <f t="shared" si="14"/>
        <v>Corumba IV</v>
      </c>
      <c r="C479" s="1">
        <f t="shared" si="15"/>
        <v>-2295</v>
      </c>
      <c r="D479" s="1">
        <v>0</v>
      </c>
      <c r="E479" s="1">
        <v>0</v>
      </c>
      <c r="F479" s="1">
        <v>0</v>
      </c>
      <c r="G479" s="1">
        <v>0.3629</v>
      </c>
      <c r="H479" s="1">
        <v>53.231000000000002</v>
      </c>
      <c r="I479" s="1">
        <v>3.3814000000000002</v>
      </c>
      <c r="J479" s="1">
        <v>50.212499999999999</v>
      </c>
      <c r="K479" s="1">
        <v>0</v>
      </c>
      <c r="L479" s="1">
        <v>0</v>
      </c>
    </row>
    <row r="480" spans="1:12" hidden="1" x14ac:dyDescent="0.35">
      <c r="A480" s="6" t="s">
        <v>95</v>
      </c>
      <c r="B480" s="1" t="str">
        <f t="shared" si="14"/>
        <v>Lago Paranoa</v>
      </c>
      <c r="C480" s="1">
        <f t="shared" si="15"/>
        <v>-2295</v>
      </c>
      <c r="D480" s="1">
        <v>0</v>
      </c>
      <c r="E480" s="1">
        <v>2302.4499999999998</v>
      </c>
      <c r="F480" s="1">
        <v>0.4234</v>
      </c>
      <c r="G480" s="1">
        <v>3.2915000000000001</v>
      </c>
      <c r="H480" s="1">
        <v>6.5225</v>
      </c>
      <c r="I480" s="1">
        <v>0.81479999999999997</v>
      </c>
      <c r="J480" s="1">
        <v>8.5759000000000007</v>
      </c>
      <c r="K480" s="1">
        <v>2302.4499999999998</v>
      </c>
      <c r="L480" s="1">
        <v>0</v>
      </c>
    </row>
    <row r="481" spans="1:12" x14ac:dyDescent="0.35">
      <c r="A481" s="6" t="s">
        <v>96</v>
      </c>
      <c r="B481" s="1" t="str">
        <f t="shared" si="14"/>
        <v>Corumba IV</v>
      </c>
      <c r="C481" s="1">
        <f t="shared" si="15"/>
        <v>-2294</v>
      </c>
      <c r="D481" s="1">
        <v>0</v>
      </c>
      <c r="E481" s="1">
        <v>0</v>
      </c>
      <c r="F481" s="1">
        <v>0</v>
      </c>
      <c r="G481" s="1">
        <v>0.3629</v>
      </c>
      <c r="H481" s="1">
        <v>89.927700000000002</v>
      </c>
      <c r="I481" s="1">
        <v>3.3814000000000002</v>
      </c>
      <c r="J481" s="1">
        <v>86.909199999999998</v>
      </c>
      <c r="K481" s="1">
        <v>0</v>
      </c>
      <c r="L481" s="1">
        <v>0</v>
      </c>
    </row>
    <row r="482" spans="1:12" hidden="1" x14ac:dyDescent="0.35">
      <c r="A482" s="6" t="s">
        <v>97</v>
      </c>
      <c r="B482" s="1" t="str">
        <f t="shared" si="14"/>
        <v>Lago Paranoa</v>
      </c>
      <c r="C482" s="1">
        <f t="shared" si="15"/>
        <v>-2294</v>
      </c>
      <c r="D482" s="1">
        <v>0</v>
      </c>
      <c r="E482" s="1">
        <v>2302.4499999999998</v>
      </c>
      <c r="F482" s="1">
        <v>0.4234</v>
      </c>
      <c r="G482" s="1">
        <v>3.3683999999999998</v>
      </c>
      <c r="H482" s="1">
        <v>7.8959000000000001</v>
      </c>
      <c r="I482" s="1">
        <v>0.81479999999999997</v>
      </c>
      <c r="J482" s="1">
        <v>10.026199999999999</v>
      </c>
      <c r="K482" s="1">
        <v>2302.4499999999998</v>
      </c>
      <c r="L482" s="1">
        <v>0</v>
      </c>
    </row>
    <row r="483" spans="1:12" x14ac:dyDescent="0.35">
      <c r="A483" s="6" t="s">
        <v>98</v>
      </c>
      <c r="B483" s="1" t="str">
        <f t="shared" si="14"/>
        <v>Corumba IV</v>
      </c>
      <c r="C483" s="1">
        <f t="shared" si="15"/>
        <v>-2293</v>
      </c>
      <c r="D483" s="1">
        <v>0</v>
      </c>
      <c r="E483" s="1">
        <v>0</v>
      </c>
      <c r="F483" s="1">
        <v>0</v>
      </c>
      <c r="G483" s="1">
        <v>0.3629</v>
      </c>
      <c r="H483" s="1">
        <v>81.090699999999998</v>
      </c>
      <c r="I483" s="1">
        <v>4.1712999999999996</v>
      </c>
      <c r="J483" s="1">
        <v>77.282300000000006</v>
      </c>
      <c r="K483" s="1">
        <v>0</v>
      </c>
      <c r="L483" s="1">
        <v>0</v>
      </c>
    </row>
    <row r="484" spans="1:12" hidden="1" x14ac:dyDescent="0.35">
      <c r="A484" s="6" t="s">
        <v>99</v>
      </c>
      <c r="B484" s="1" t="str">
        <f t="shared" si="14"/>
        <v>Lago Paranoa</v>
      </c>
      <c r="C484" s="1">
        <f t="shared" si="15"/>
        <v>-2293</v>
      </c>
      <c r="D484" s="1">
        <v>0</v>
      </c>
      <c r="E484" s="1">
        <v>2302.4499999999998</v>
      </c>
      <c r="F484" s="1">
        <v>0.32869999999999999</v>
      </c>
      <c r="G484" s="1">
        <v>4.2481999999999998</v>
      </c>
      <c r="H484" s="1">
        <v>8.8293999999999997</v>
      </c>
      <c r="I484" s="1">
        <v>1.0170999999999999</v>
      </c>
      <c r="J484" s="1">
        <v>11.7318</v>
      </c>
      <c r="K484" s="1">
        <v>2302.4499999999998</v>
      </c>
      <c r="L484" s="1">
        <v>0</v>
      </c>
    </row>
    <row r="485" spans="1:12" x14ac:dyDescent="0.35">
      <c r="A485" s="6" t="s">
        <v>100</v>
      </c>
      <c r="B485" s="1" t="str">
        <f t="shared" si="14"/>
        <v>Corumba IV</v>
      </c>
      <c r="C485" s="1">
        <f t="shared" si="15"/>
        <v>-2292</v>
      </c>
      <c r="D485" s="1">
        <v>0</v>
      </c>
      <c r="E485" s="1">
        <v>0</v>
      </c>
      <c r="F485" s="1">
        <v>0</v>
      </c>
      <c r="G485" s="1">
        <v>0.3629</v>
      </c>
      <c r="H485" s="1">
        <v>120.6455</v>
      </c>
      <c r="I485" s="1">
        <v>4.5115999999999996</v>
      </c>
      <c r="J485" s="1">
        <v>116.4967</v>
      </c>
      <c r="K485" s="1">
        <v>0</v>
      </c>
      <c r="L485" s="1">
        <v>0</v>
      </c>
    </row>
    <row r="486" spans="1:12" hidden="1" x14ac:dyDescent="0.35">
      <c r="A486" s="6" t="s">
        <v>101</v>
      </c>
      <c r="B486" s="1" t="str">
        <f t="shared" si="14"/>
        <v>Lago Paranoa</v>
      </c>
      <c r="C486" s="1">
        <f t="shared" si="15"/>
        <v>-2292</v>
      </c>
      <c r="D486" s="1">
        <v>0</v>
      </c>
      <c r="E486" s="1">
        <v>2302.4499999999998</v>
      </c>
      <c r="F486" s="1">
        <v>0.32900000000000001</v>
      </c>
      <c r="G486" s="1">
        <v>4.4386000000000001</v>
      </c>
      <c r="H486" s="1">
        <v>15.4503</v>
      </c>
      <c r="I486" s="1">
        <v>1.2252000000000001</v>
      </c>
      <c r="J486" s="1">
        <v>18.334800000000001</v>
      </c>
      <c r="K486" s="1">
        <v>2302.4499999999998</v>
      </c>
      <c r="L486" s="1">
        <v>0</v>
      </c>
    </row>
    <row r="487" spans="1:12" x14ac:dyDescent="0.35">
      <c r="A487" s="6" t="s">
        <v>923</v>
      </c>
      <c r="B487" s="1" t="str">
        <f t="shared" si="14"/>
        <v>Corumba IV</v>
      </c>
      <c r="C487" s="1">
        <f t="shared" si="15"/>
        <v>-2291</v>
      </c>
      <c r="D487" s="1">
        <v>0</v>
      </c>
      <c r="E487" s="1">
        <v>0</v>
      </c>
      <c r="F487" s="1">
        <v>0</v>
      </c>
      <c r="G487" s="1">
        <v>0.3629</v>
      </c>
      <c r="H487" s="1">
        <v>179.82859999999999</v>
      </c>
      <c r="I487" s="1">
        <v>4.5115999999999996</v>
      </c>
      <c r="J487" s="1">
        <v>175.6799</v>
      </c>
      <c r="K487" s="1">
        <v>0</v>
      </c>
      <c r="L487" s="1">
        <v>0</v>
      </c>
    </row>
    <row r="488" spans="1:12" hidden="1" x14ac:dyDescent="0.35">
      <c r="A488" s="6" t="s">
        <v>924</v>
      </c>
      <c r="B488" s="1" t="str">
        <f t="shared" si="14"/>
        <v>Lago Paranoa</v>
      </c>
      <c r="C488" s="1">
        <f t="shared" si="15"/>
        <v>-2291</v>
      </c>
      <c r="D488" s="1">
        <v>0</v>
      </c>
      <c r="E488" s="1">
        <v>2302.4499999999998</v>
      </c>
      <c r="F488" s="1">
        <v>0.32929999999999998</v>
      </c>
      <c r="G488" s="1">
        <v>4.2930000000000001</v>
      </c>
      <c r="H488" s="1">
        <v>20.174900000000001</v>
      </c>
      <c r="I488" s="1">
        <v>1.2252000000000001</v>
      </c>
      <c r="J488" s="1">
        <v>22.913499999999999</v>
      </c>
      <c r="K488" s="1">
        <v>2302.4499999999998</v>
      </c>
      <c r="L488" s="1">
        <v>0</v>
      </c>
    </row>
    <row r="489" spans="1:12" x14ac:dyDescent="0.35">
      <c r="A489" s="6" t="s">
        <v>925</v>
      </c>
      <c r="B489" s="1" t="str">
        <f t="shared" si="14"/>
        <v>Corumba IV</v>
      </c>
      <c r="C489" s="1">
        <f t="shared" si="15"/>
        <v>-2290</v>
      </c>
      <c r="D489" s="1">
        <v>0</v>
      </c>
      <c r="E489" s="1">
        <v>0</v>
      </c>
      <c r="F489" s="1">
        <v>0</v>
      </c>
      <c r="G489" s="1">
        <v>0.3629</v>
      </c>
      <c r="H489" s="1">
        <v>174.2878</v>
      </c>
      <c r="I489" s="1">
        <v>4.5115999999999996</v>
      </c>
      <c r="J489" s="1">
        <v>170.13910000000001</v>
      </c>
      <c r="K489" s="1">
        <v>0</v>
      </c>
      <c r="L489" s="1">
        <v>0</v>
      </c>
    </row>
    <row r="490" spans="1:12" hidden="1" x14ac:dyDescent="0.35">
      <c r="A490" s="6" t="s">
        <v>926</v>
      </c>
      <c r="B490" s="1" t="str">
        <f t="shared" si="14"/>
        <v>Lago Paranoa</v>
      </c>
      <c r="C490" s="1">
        <f t="shared" si="15"/>
        <v>-2290</v>
      </c>
      <c r="D490" s="1">
        <v>0</v>
      </c>
      <c r="E490" s="1">
        <v>2302.4499999999998</v>
      </c>
      <c r="F490" s="1">
        <v>0.3296</v>
      </c>
      <c r="G490" s="1">
        <v>3.5320999999999998</v>
      </c>
      <c r="H490" s="1">
        <v>15.3278</v>
      </c>
      <c r="I490" s="1">
        <v>1.2252000000000001</v>
      </c>
      <c r="J490" s="1">
        <v>17.305199999999999</v>
      </c>
      <c r="K490" s="1">
        <v>2302.4499999999998</v>
      </c>
      <c r="L490" s="1">
        <v>0</v>
      </c>
    </row>
    <row r="491" spans="1:12" x14ac:dyDescent="0.35">
      <c r="A491" s="6" t="s">
        <v>927</v>
      </c>
      <c r="B491" s="1" t="str">
        <f t="shared" si="14"/>
        <v>Corumba IV</v>
      </c>
      <c r="C491" s="1">
        <f t="shared" si="15"/>
        <v>-2289</v>
      </c>
      <c r="D491" s="1">
        <v>0</v>
      </c>
      <c r="E491" s="1">
        <v>0</v>
      </c>
      <c r="F491" s="1">
        <v>0</v>
      </c>
      <c r="G491" s="1">
        <v>0.3629</v>
      </c>
      <c r="H491" s="1">
        <v>143.04820000000001</v>
      </c>
      <c r="I491" s="1">
        <v>4.3970000000000002</v>
      </c>
      <c r="J491" s="1">
        <v>139.01400000000001</v>
      </c>
      <c r="K491" s="1">
        <v>0</v>
      </c>
      <c r="L491" s="1">
        <v>0</v>
      </c>
    </row>
    <row r="492" spans="1:12" hidden="1" x14ac:dyDescent="0.35">
      <c r="A492" s="6" t="s">
        <v>928</v>
      </c>
      <c r="B492" s="1" t="str">
        <f t="shared" si="14"/>
        <v>Lago Paranoa</v>
      </c>
      <c r="C492" s="1">
        <f t="shared" si="15"/>
        <v>-2289</v>
      </c>
      <c r="D492" s="1">
        <v>0</v>
      </c>
      <c r="E492" s="1">
        <v>2302.4499999999998</v>
      </c>
      <c r="F492" s="1">
        <v>0.32990000000000003</v>
      </c>
      <c r="G492" s="1">
        <v>3.9026000000000001</v>
      </c>
      <c r="H492" s="1">
        <v>13.2502</v>
      </c>
      <c r="I492" s="1">
        <v>1.1987000000000001</v>
      </c>
      <c r="J492" s="1">
        <v>15.6241</v>
      </c>
      <c r="K492" s="1">
        <v>2302.4499999999998</v>
      </c>
      <c r="L492" s="1">
        <v>0</v>
      </c>
    </row>
    <row r="493" spans="1:12" x14ac:dyDescent="0.35">
      <c r="A493" s="6" t="s">
        <v>929</v>
      </c>
      <c r="B493" s="1" t="str">
        <f t="shared" si="14"/>
        <v>Corumba IV</v>
      </c>
      <c r="C493" s="1">
        <f t="shared" si="15"/>
        <v>-2288</v>
      </c>
      <c r="D493" s="1">
        <v>0</v>
      </c>
      <c r="E493" s="1">
        <v>0</v>
      </c>
      <c r="F493" s="1">
        <v>0</v>
      </c>
      <c r="G493" s="1">
        <v>0.3629</v>
      </c>
      <c r="H493" s="1">
        <v>162.3776</v>
      </c>
      <c r="I493" s="1">
        <v>2.9394</v>
      </c>
      <c r="J493" s="1">
        <v>159.80109999999999</v>
      </c>
      <c r="K493" s="1">
        <v>0</v>
      </c>
      <c r="L493" s="1">
        <v>0</v>
      </c>
    </row>
    <row r="494" spans="1:12" hidden="1" x14ac:dyDescent="0.35">
      <c r="A494" s="6" t="s">
        <v>930</v>
      </c>
      <c r="B494" s="1" t="str">
        <f t="shared" si="14"/>
        <v>Lago Paranoa</v>
      </c>
      <c r="C494" s="1">
        <f t="shared" si="15"/>
        <v>-2288</v>
      </c>
      <c r="D494" s="1">
        <v>0</v>
      </c>
      <c r="E494" s="1">
        <v>2302.4499999999998</v>
      </c>
      <c r="F494" s="1">
        <v>0.36990000000000001</v>
      </c>
      <c r="G494" s="1">
        <v>3.6040999999999999</v>
      </c>
      <c r="H494" s="1">
        <v>13.9697</v>
      </c>
      <c r="I494" s="1">
        <v>0.79059999999999997</v>
      </c>
      <c r="J494" s="1">
        <v>16.4132</v>
      </c>
      <c r="K494" s="1">
        <v>2302.4499999999998</v>
      </c>
      <c r="L494" s="1">
        <v>0</v>
      </c>
    </row>
    <row r="495" spans="1:12" x14ac:dyDescent="0.35">
      <c r="A495" s="6" t="s">
        <v>931</v>
      </c>
      <c r="B495" s="1" t="str">
        <f t="shared" si="14"/>
        <v>Corumba IV</v>
      </c>
      <c r="C495" s="1">
        <f t="shared" si="15"/>
        <v>-2287</v>
      </c>
      <c r="D495" s="1">
        <v>0</v>
      </c>
      <c r="E495" s="1">
        <v>0</v>
      </c>
      <c r="F495" s="1">
        <v>0</v>
      </c>
      <c r="G495" s="1">
        <v>0.3629</v>
      </c>
      <c r="H495" s="1">
        <v>118.8372</v>
      </c>
      <c r="I495" s="1">
        <v>2.9394</v>
      </c>
      <c r="J495" s="1">
        <v>116.2607</v>
      </c>
      <c r="K495" s="1">
        <v>0</v>
      </c>
      <c r="L495" s="1">
        <v>0</v>
      </c>
    </row>
    <row r="496" spans="1:12" hidden="1" x14ac:dyDescent="0.35">
      <c r="A496" s="6" t="s">
        <v>932</v>
      </c>
      <c r="B496" s="1" t="str">
        <f t="shared" si="14"/>
        <v>Lago Paranoa</v>
      </c>
      <c r="C496" s="1">
        <f t="shared" si="15"/>
        <v>-2287</v>
      </c>
      <c r="D496" s="1">
        <v>0</v>
      </c>
      <c r="E496" s="1">
        <v>2302.4499999999998</v>
      </c>
      <c r="F496" s="1">
        <v>0.35360000000000003</v>
      </c>
      <c r="G496" s="1">
        <v>3.7441</v>
      </c>
      <c r="H496" s="1">
        <v>10.406000000000001</v>
      </c>
      <c r="I496" s="1">
        <v>0.79059999999999997</v>
      </c>
      <c r="J496" s="1">
        <v>13.005800000000001</v>
      </c>
      <c r="K496" s="1">
        <v>2302.4499999999998</v>
      </c>
      <c r="L496" s="1">
        <v>0</v>
      </c>
    </row>
    <row r="497" spans="1:12" x14ac:dyDescent="0.35">
      <c r="A497" s="6" t="s">
        <v>933</v>
      </c>
      <c r="B497" s="1" t="str">
        <f t="shared" si="14"/>
        <v>Corumba IV</v>
      </c>
      <c r="C497" s="1">
        <f t="shared" si="15"/>
        <v>-2286</v>
      </c>
      <c r="D497" s="1">
        <v>0</v>
      </c>
      <c r="E497" s="1">
        <v>0</v>
      </c>
      <c r="F497" s="1">
        <v>0</v>
      </c>
      <c r="G497" s="1">
        <v>0.3629</v>
      </c>
      <c r="H497" s="1">
        <v>110.38460000000001</v>
      </c>
      <c r="I497" s="1">
        <v>2.9394</v>
      </c>
      <c r="J497" s="1">
        <v>107.8082</v>
      </c>
      <c r="K497" s="1">
        <v>0</v>
      </c>
      <c r="L497" s="1">
        <v>0</v>
      </c>
    </row>
    <row r="498" spans="1:12" hidden="1" x14ac:dyDescent="0.35">
      <c r="A498" s="6" t="s">
        <v>934</v>
      </c>
      <c r="B498" s="1" t="str">
        <f t="shared" si="14"/>
        <v>Lago Paranoa</v>
      </c>
      <c r="C498" s="1">
        <f t="shared" si="15"/>
        <v>-2286</v>
      </c>
      <c r="D498" s="1">
        <v>0</v>
      </c>
      <c r="E498" s="1">
        <v>2302.4499999999998</v>
      </c>
      <c r="F498" s="1">
        <v>0.35389999999999999</v>
      </c>
      <c r="G498" s="1">
        <v>3.8245</v>
      </c>
      <c r="H498" s="1">
        <v>11.870699999999999</v>
      </c>
      <c r="I498" s="1">
        <v>0.79059999999999997</v>
      </c>
      <c r="J498" s="1">
        <v>14.550599999999999</v>
      </c>
      <c r="K498" s="1">
        <v>2302.4499999999998</v>
      </c>
      <c r="L498" s="1">
        <v>0</v>
      </c>
    </row>
  </sheetData>
  <autoFilter ref="A1:L498" xr:uid="{45C69EA4-7174-4DFD-A356-939AA3B4B1C0}">
    <filterColumn colId="1">
      <filters>
        <filter val="Corumba IV"/>
      </filters>
    </filterColumn>
  </autoFilter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2AA3-8D5D-418B-BA3D-2166E5AAC0F4}">
  <dimension ref="A1:L508"/>
  <sheetViews>
    <sheetView topLeftCell="B1" workbookViewId="0">
      <selection activeCell="D1" sqref="D1:L1"/>
    </sheetView>
  </sheetViews>
  <sheetFormatPr defaultRowHeight="14.5" x14ac:dyDescent="0.35"/>
  <cols>
    <col min="1" max="1" width="3.08984375" style="3" customWidth="1"/>
    <col min="2" max="2" width="13.90625" style="2" bestFit="1" customWidth="1"/>
    <col min="3" max="3" width="5.6328125" style="2" bestFit="1" customWidth="1"/>
    <col min="4" max="4" width="10.90625" style="2" bestFit="1" customWidth="1"/>
    <col min="5" max="5" width="12.1796875" style="2" bestFit="1" customWidth="1"/>
    <col min="6" max="6" width="14.08984375" style="2" bestFit="1" customWidth="1"/>
    <col min="7" max="7" width="20.7265625" style="2" bestFit="1" customWidth="1"/>
    <col min="8" max="8" width="25.81640625" style="2" bestFit="1" customWidth="1"/>
    <col min="9" max="9" width="18.26953125" style="2" bestFit="1" customWidth="1"/>
    <col min="10" max="10" width="12.90625" style="2" bestFit="1" customWidth="1"/>
    <col min="11" max="11" width="15.90625" style="2" bestFit="1" customWidth="1"/>
    <col min="12" max="12" width="15.08984375" style="2" bestFit="1" customWidth="1"/>
  </cols>
  <sheetData>
    <row r="1" spans="1:12" x14ac:dyDescent="0.35">
      <c r="B1" s="8" t="s">
        <v>12</v>
      </c>
      <c r="C1" s="8" t="s">
        <v>11</v>
      </c>
      <c r="D1" s="8" t="s">
        <v>518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</v>
      </c>
      <c r="K1" s="8" t="s">
        <v>2</v>
      </c>
      <c r="L1" s="8" t="s">
        <v>3</v>
      </c>
    </row>
    <row r="2" spans="1:12" x14ac:dyDescent="0.35">
      <c r="A2" s="3" t="s">
        <v>937</v>
      </c>
      <c r="B2" s="1" t="str">
        <f>_xlfn.TEXTBEFORE(_xlfn.TEXTAFTER(A2,"["),"]")</f>
        <v>Corumba IV</v>
      </c>
      <c r="C2" s="1">
        <f>--_xlfn.TEXTBEFORE(_xlfn.TEXTAFTER(A2,"Week "),":")</f>
        <v>-1609</v>
      </c>
      <c r="D2" s="2">
        <v>0</v>
      </c>
      <c r="E2" s="2">
        <v>0</v>
      </c>
      <c r="F2" s="2">
        <v>0</v>
      </c>
      <c r="G2" s="2">
        <v>2.4579</v>
      </c>
      <c r="H2" s="2">
        <v>129.7236</v>
      </c>
      <c r="I2" s="2">
        <v>3.7149000000000001</v>
      </c>
      <c r="J2" s="2">
        <v>128.4666</v>
      </c>
      <c r="K2" s="2">
        <v>0</v>
      </c>
      <c r="L2" s="2">
        <v>0</v>
      </c>
    </row>
    <row r="3" spans="1:12" x14ac:dyDescent="0.35">
      <c r="A3" s="3" t="s">
        <v>938</v>
      </c>
      <c r="B3" s="1" t="str">
        <f t="shared" ref="B3:B66" si="0">_xlfn.TEXTBEFORE(_xlfn.TEXTAFTER(A3,"["),"]")</f>
        <v>Lago Paranoa</v>
      </c>
      <c r="C3" s="1">
        <f>--_xlfn.TEXTBEFORE(_xlfn.TEXTAFTER(A3,"Week "),":")</f>
        <v>-1609</v>
      </c>
      <c r="D3" s="2">
        <v>0</v>
      </c>
      <c r="E3" s="2">
        <v>2302.4499999999998</v>
      </c>
      <c r="F3" s="2">
        <v>0.4234</v>
      </c>
      <c r="G3" s="2">
        <v>5.2164000000000001</v>
      </c>
      <c r="H3" s="2">
        <v>11.1227</v>
      </c>
      <c r="I3" s="2">
        <v>1.0248999999999999</v>
      </c>
      <c r="J3" s="2">
        <v>14.8908</v>
      </c>
      <c r="K3" s="2">
        <v>2302.4499999999998</v>
      </c>
      <c r="L3" s="2">
        <v>0</v>
      </c>
    </row>
    <row r="4" spans="1:12" x14ac:dyDescent="0.35">
      <c r="A4" s="3" t="s">
        <v>939</v>
      </c>
      <c r="B4" s="1" t="str">
        <f t="shared" si="0"/>
        <v>Corumba IV</v>
      </c>
      <c r="C4" s="1">
        <f t="shared" ref="C4:C67" si="1">--_xlfn.TEXTBEFORE(_xlfn.TEXTAFTER(A4,"Week "),":")</f>
        <v>-1608</v>
      </c>
      <c r="D4" s="2">
        <v>0</v>
      </c>
      <c r="E4" s="2">
        <v>0</v>
      </c>
      <c r="F4" s="2">
        <v>0</v>
      </c>
      <c r="G4" s="2">
        <v>1.9652000000000001</v>
      </c>
      <c r="H4" s="2">
        <v>126.1284</v>
      </c>
      <c r="I4" s="2">
        <v>3.0709</v>
      </c>
      <c r="J4" s="2">
        <v>125.0227</v>
      </c>
      <c r="K4" s="2">
        <v>0</v>
      </c>
      <c r="L4" s="2">
        <v>0</v>
      </c>
    </row>
    <row r="5" spans="1:12" x14ac:dyDescent="0.35">
      <c r="A5" s="3" t="s">
        <v>940</v>
      </c>
      <c r="B5" s="1" t="str">
        <f t="shared" si="0"/>
        <v>Lago Paranoa</v>
      </c>
      <c r="C5" s="1">
        <f t="shared" si="1"/>
        <v>-1608</v>
      </c>
      <c r="D5" s="2">
        <v>0</v>
      </c>
      <c r="E5" s="2">
        <v>2302.4499999999998</v>
      </c>
      <c r="F5" s="2">
        <v>0.4234</v>
      </c>
      <c r="G5" s="2">
        <v>6.1821999999999999</v>
      </c>
      <c r="H5" s="2">
        <v>11.4353</v>
      </c>
      <c r="I5" s="2">
        <v>0.87439999999999996</v>
      </c>
      <c r="J5" s="2">
        <v>16.319800000000001</v>
      </c>
      <c r="K5" s="2">
        <v>2302.4499999999998</v>
      </c>
      <c r="L5" s="2">
        <v>0</v>
      </c>
    </row>
    <row r="6" spans="1:12" x14ac:dyDescent="0.35">
      <c r="A6" s="3" t="s">
        <v>941</v>
      </c>
      <c r="B6" s="1" t="str">
        <f t="shared" si="0"/>
        <v>Corumba IV</v>
      </c>
      <c r="C6" s="1">
        <f t="shared" si="1"/>
        <v>-1607</v>
      </c>
      <c r="D6" s="2">
        <v>0</v>
      </c>
      <c r="E6" s="2">
        <v>0</v>
      </c>
      <c r="F6" s="2">
        <v>0</v>
      </c>
      <c r="G6" s="2">
        <v>1.3671</v>
      </c>
      <c r="H6" s="2">
        <v>106.04559999999999</v>
      </c>
      <c r="I6" s="2">
        <v>3.0709</v>
      </c>
      <c r="J6" s="2">
        <v>104.34180000000001</v>
      </c>
      <c r="K6" s="2">
        <v>0</v>
      </c>
      <c r="L6" s="2">
        <v>0</v>
      </c>
    </row>
    <row r="7" spans="1:12" x14ac:dyDescent="0.35">
      <c r="A7" s="3" t="s">
        <v>942</v>
      </c>
      <c r="B7" s="1" t="str">
        <f t="shared" si="0"/>
        <v>Lago Paranoa</v>
      </c>
      <c r="C7" s="1">
        <f t="shared" si="1"/>
        <v>-1607</v>
      </c>
      <c r="D7" s="2">
        <v>0</v>
      </c>
      <c r="E7" s="2">
        <v>2302.4499999999998</v>
      </c>
      <c r="F7" s="2">
        <v>0.4234</v>
      </c>
      <c r="G7" s="2">
        <v>5.6097000000000001</v>
      </c>
      <c r="H7" s="2">
        <v>9.5017999999999994</v>
      </c>
      <c r="I7" s="2">
        <v>0.87439999999999996</v>
      </c>
      <c r="J7" s="2">
        <v>13.813700000000001</v>
      </c>
      <c r="K7" s="2">
        <v>2302.4499999999998</v>
      </c>
      <c r="L7" s="2">
        <v>0</v>
      </c>
    </row>
    <row r="8" spans="1:12" x14ac:dyDescent="0.35">
      <c r="A8" s="3" t="s">
        <v>943</v>
      </c>
      <c r="B8" s="1" t="str">
        <f t="shared" si="0"/>
        <v>Corumba IV</v>
      </c>
      <c r="C8" s="1">
        <f t="shared" si="1"/>
        <v>-1606</v>
      </c>
      <c r="D8" s="2">
        <v>0</v>
      </c>
      <c r="E8" s="2">
        <v>0</v>
      </c>
      <c r="F8" s="2">
        <v>0</v>
      </c>
      <c r="G8" s="2">
        <v>3.7774000000000001</v>
      </c>
      <c r="H8" s="2">
        <v>147.44159999999999</v>
      </c>
      <c r="I8" s="2">
        <v>3.202</v>
      </c>
      <c r="J8" s="2">
        <v>148.017</v>
      </c>
      <c r="K8" s="2">
        <v>0</v>
      </c>
      <c r="L8" s="2">
        <v>0</v>
      </c>
    </row>
    <row r="9" spans="1:12" x14ac:dyDescent="0.35">
      <c r="A9" s="3" t="s">
        <v>944</v>
      </c>
      <c r="B9" s="1" t="str">
        <f t="shared" si="0"/>
        <v>Lago Paranoa</v>
      </c>
      <c r="C9" s="1">
        <f t="shared" si="1"/>
        <v>-1606</v>
      </c>
      <c r="D9" s="2">
        <v>0</v>
      </c>
      <c r="E9" s="2">
        <v>2302.4499999999998</v>
      </c>
      <c r="F9" s="2">
        <v>0.4234</v>
      </c>
      <c r="G9" s="2">
        <v>7.9132999999999996</v>
      </c>
      <c r="H9" s="2">
        <v>15.882099999999999</v>
      </c>
      <c r="I9" s="2">
        <v>0.91539999999999999</v>
      </c>
      <c r="J9" s="2">
        <v>22.456700000000001</v>
      </c>
      <c r="K9" s="2">
        <v>2302.4499999999998</v>
      </c>
      <c r="L9" s="2">
        <v>0</v>
      </c>
    </row>
    <row r="10" spans="1:12" x14ac:dyDescent="0.35">
      <c r="A10" s="3" t="s">
        <v>945</v>
      </c>
      <c r="B10" s="1" t="str">
        <f t="shared" si="0"/>
        <v>Corumba IV</v>
      </c>
      <c r="C10" s="1">
        <f t="shared" si="1"/>
        <v>-1605</v>
      </c>
      <c r="D10" s="2">
        <v>0</v>
      </c>
      <c r="E10" s="2">
        <v>0</v>
      </c>
      <c r="F10" s="2">
        <v>0</v>
      </c>
      <c r="G10" s="2">
        <v>3.9258000000000002</v>
      </c>
      <c r="H10" s="2">
        <v>140.11920000000001</v>
      </c>
      <c r="I10" s="2">
        <v>3.7734999999999999</v>
      </c>
      <c r="J10" s="2">
        <v>140.2715</v>
      </c>
      <c r="K10" s="2">
        <v>0</v>
      </c>
      <c r="L10" s="2">
        <v>0</v>
      </c>
    </row>
    <row r="11" spans="1:12" x14ac:dyDescent="0.35">
      <c r="A11" s="3" t="s">
        <v>946</v>
      </c>
      <c r="B11" s="1" t="str">
        <f t="shared" si="0"/>
        <v>Lago Paranoa</v>
      </c>
      <c r="C11" s="1">
        <f t="shared" si="1"/>
        <v>-1605</v>
      </c>
      <c r="D11" s="2">
        <v>0</v>
      </c>
      <c r="E11" s="2">
        <v>2302.4499999999998</v>
      </c>
      <c r="F11" s="2">
        <v>0.4234</v>
      </c>
      <c r="G11" s="2">
        <v>9.4361999999999995</v>
      </c>
      <c r="H11" s="2">
        <v>20.9893</v>
      </c>
      <c r="I11" s="2">
        <v>1.0671999999999999</v>
      </c>
      <c r="J11" s="2">
        <v>28.934899999999999</v>
      </c>
      <c r="K11" s="2">
        <v>2302.4499999999998</v>
      </c>
      <c r="L11" s="2">
        <v>0</v>
      </c>
    </row>
    <row r="12" spans="1:12" x14ac:dyDescent="0.35">
      <c r="A12" s="3" t="s">
        <v>947</v>
      </c>
      <c r="B12" s="1" t="str">
        <f t="shared" si="0"/>
        <v>Corumba IV</v>
      </c>
      <c r="C12" s="1">
        <f t="shared" si="1"/>
        <v>-1604</v>
      </c>
      <c r="D12" s="2">
        <v>0</v>
      </c>
      <c r="E12" s="2">
        <v>0</v>
      </c>
      <c r="F12" s="2">
        <v>0</v>
      </c>
      <c r="G12" s="2">
        <v>3.0762</v>
      </c>
      <c r="H12" s="2">
        <v>140.49850000000001</v>
      </c>
      <c r="I12" s="2">
        <v>3.2366999999999999</v>
      </c>
      <c r="J12" s="2">
        <v>140.33799999999999</v>
      </c>
      <c r="K12" s="2">
        <v>0</v>
      </c>
      <c r="L12" s="2">
        <v>0</v>
      </c>
    </row>
    <row r="13" spans="1:12" x14ac:dyDescent="0.35">
      <c r="A13" s="3" t="s">
        <v>948</v>
      </c>
      <c r="B13" s="1" t="str">
        <f t="shared" si="0"/>
        <v>Lago Paranoa</v>
      </c>
      <c r="C13" s="1">
        <f t="shared" si="1"/>
        <v>-1604</v>
      </c>
      <c r="D13" s="2">
        <v>0</v>
      </c>
      <c r="E13" s="2">
        <v>2302.4499999999998</v>
      </c>
      <c r="F13" s="2">
        <v>0.4234</v>
      </c>
      <c r="G13" s="2">
        <v>7.6714000000000002</v>
      </c>
      <c r="H13" s="2">
        <v>14.248799999999999</v>
      </c>
      <c r="I13" s="2">
        <v>0.83179999999999998</v>
      </c>
      <c r="J13" s="2">
        <v>20.665099999999999</v>
      </c>
      <c r="K13" s="2">
        <v>2302.4499999999998</v>
      </c>
      <c r="L13" s="2">
        <v>0</v>
      </c>
    </row>
    <row r="14" spans="1:12" x14ac:dyDescent="0.35">
      <c r="A14" s="3" t="s">
        <v>949</v>
      </c>
      <c r="B14" s="1" t="str">
        <f t="shared" si="0"/>
        <v>Corumba IV</v>
      </c>
      <c r="C14" s="1">
        <f t="shared" si="1"/>
        <v>-1603</v>
      </c>
      <c r="D14" s="2">
        <v>0</v>
      </c>
      <c r="E14" s="2">
        <v>0</v>
      </c>
      <c r="F14" s="2">
        <v>0</v>
      </c>
      <c r="G14" s="2">
        <v>2.3504</v>
      </c>
      <c r="H14" s="2">
        <v>101.12</v>
      </c>
      <c r="I14" s="2">
        <v>3.2366999999999999</v>
      </c>
      <c r="J14" s="2">
        <v>100.2336</v>
      </c>
      <c r="K14" s="2">
        <v>0</v>
      </c>
      <c r="L14" s="2">
        <v>0</v>
      </c>
    </row>
    <row r="15" spans="1:12" x14ac:dyDescent="0.35">
      <c r="A15" s="3" t="s">
        <v>950</v>
      </c>
      <c r="B15" s="1" t="str">
        <f t="shared" si="0"/>
        <v>Lago Paranoa</v>
      </c>
      <c r="C15" s="1">
        <f t="shared" si="1"/>
        <v>-1603</v>
      </c>
      <c r="D15" s="2">
        <v>0</v>
      </c>
      <c r="E15" s="2">
        <v>2302.4499999999998</v>
      </c>
      <c r="F15" s="2">
        <v>0.4234</v>
      </c>
      <c r="G15" s="2">
        <v>5.5715000000000003</v>
      </c>
      <c r="H15" s="2">
        <v>11.408099999999999</v>
      </c>
      <c r="I15" s="2">
        <v>0.83179999999999998</v>
      </c>
      <c r="J15" s="2">
        <v>15.724399999999999</v>
      </c>
      <c r="K15" s="2">
        <v>2302.4499999999998</v>
      </c>
      <c r="L15" s="2">
        <v>0</v>
      </c>
    </row>
    <row r="16" spans="1:12" x14ac:dyDescent="0.35">
      <c r="A16" s="3" t="s">
        <v>951</v>
      </c>
      <c r="B16" s="1" t="str">
        <f t="shared" si="0"/>
        <v>Corumba IV</v>
      </c>
      <c r="C16" s="1">
        <f t="shared" si="1"/>
        <v>-1602</v>
      </c>
      <c r="D16" s="2">
        <v>0</v>
      </c>
      <c r="E16" s="2">
        <v>0</v>
      </c>
      <c r="F16" s="2">
        <v>0</v>
      </c>
      <c r="G16" s="2">
        <v>2.4089999999999998</v>
      </c>
      <c r="H16" s="2">
        <v>105.395</v>
      </c>
      <c r="I16" s="2">
        <v>3.2366999999999999</v>
      </c>
      <c r="J16" s="2">
        <v>104.5673</v>
      </c>
      <c r="K16" s="2">
        <v>0</v>
      </c>
      <c r="L16" s="2">
        <v>0</v>
      </c>
    </row>
    <row r="17" spans="1:12" x14ac:dyDescent="0.35">
      <c r="A17" s="3" t="s">
        <v>952</v>
      </c>
      <c r="B17" s="1" t="str">
        <f t="shared" si="0"/>
        <v>Lago Paranoa</v>
      </c>
      <c r="C17" s="1">
        <f t="shared" si="1"/>
        <v>-1602</v>
      </c>
      <c r="D17" s="2">
        <v>0</v>
      </c>
      <c r="E17" s="2">
        <v>2302.4499999999998</v>
      </c>
      <c r="F17" s="2">
        <v>0.4234</v>
      </c>
      <c r="G17" s="2">
        <v>5.5217000000000001</v>
      </c>
      <c r="H17" s="2">
        <v>12.100899999999999</v>
      </c>
      <c r="I17" s="2">
        <v>0.83179999999999998</v>
      </c>
      <c r="J17" s="2">
        <v>16.3675</v>
      </c>
      <c r="K17" s="2">
        <v>2302.4499999999998</v>
      </c>
      <c r="L17" s="2">
        <v>0</v>
      </c>
    </row>
    <row r="18" spans="1:12" x14ac:dyDescent="0.35">
      <c r="A18" s="3" t="s">
        <v>953</v>
      </c>
      <c r="B18" s="1" t="str">
        <f t="shared" si="0"/>
        <v>Corumba IV</v>
      </c>
      <c r="C18" s="1">
        <f t="shared" si="1"/>
        <v>-1601</v>
      </c>
      <c r="D18" s="2">
        <v>0</v>
      </c>
      <c r="E18" s="2">
        <v>0</v>
      </c>
      <c r="F18" s="2">
        <v>0</v>
      </c>
      <c r="G18" s="2">
        <v>2.2141999999999999</v>
      </c>
      <c r="H18" s="2">
        <v>110.5168</v>
      </c>
      <c r="I18" s="2">
        <v>2.8008000000000002</v>
      </c>
      <c r="J18" s="2">
        <v>109.9303</v>
      </c>
      <c r="K18" s="2">
        <v>0</v>
      </c>
      <c r="L18" s="2">
        <v>0</v>
      </c>
    </row>
    <row r="19" spans="1:12" x14ac:dyDescent="0.35">
      <c r="A19" s="3" t="s">
        <v>954</v>
      </c>
      <c r="B19" s="1" t="str">
        <f t="shared" si="0"/>
        <v>Lago Paranoa</v>
      </c>
      <c r="C19" s="1">
        <f t="shared" si="1"/>
        <v>-1601</v>
      </c>
      <c r="D19" s="2">
        <v>0</v>
      </c>
      <c r="E19" s="2">
        <v>2302.4499999999998</v>
      </c>
      <c r="F19" s="2">
        <v>0.4234</v>
      </c>
      <c r="G19" s="2">
        <v>5.4751000000000003</v>
      </c>
      <c r="H19" s="2">
        <v>12.050599999999999</v>
      </c>
      <c r="I19" s="2">
        <v>0.76910000000000001</v>
      </c>
      <c r="J19" s="2">
        <v>16.333200000000001</v>
      </c>
      <c r="K19" s="2">
        <v>2302.4499999999998</v>
      </c>
      <c r="L19" s="2">
        <v>0</v>
      </c>
    </row>
    <row r="20" spans="1:12" x14ac:dyDescent="0.35">
      <c r="A20" s="3" t="s">
        <v>955</v>
      </c>
      <c r="B20" s="1" t="str">
        <f t="shared" si="0"/>
        <v>Corumba IV</v>
      </c>
      <c r="C20" s="1">
        <f t="shared" si="1"/>
        <v>-1600</v>
      </c>
      <c r="D20" s="2">
        <v>0</v>
      </c>
      <c r="E20" s="2">
        <v>0</v>
      </c>
      <c r="F20" s="2">
        <v>0</v>
      </c>
      <c r="G20" s="2">
        <v>1.4449000000000001</v>
      </c>
      <c r="H20" s="2">
        <v>92.206100000000006</v>
      </c>
      <c r="I20" s="2">
        <v>3.1825000000000001</v>
      </c>
      <c r="J20" s="2">
        <v>90.468500000000006</v>
      </c>
      <c r="K20" s="2">
        <v>0</v>
      </c>
      <c r="L20" s="2">
        <v>0</v>
      </c>
    </row>
    <row r="21" spans="1:12" x14ac:dyDescent="0.35">
      <c r="A21" s="3" t="s">
        <v>956</v>
      </c>
      <c r="B21" s="1" t="str">
        <f t="shared" si="0"/>
        <v>Lago Paranoa</v>
      </c>
      <c r="C21" s="1">
        <f t="shared" si="1"/>
        <v>-1600</v>
      </c>
      <c r="D21" s="2">
        <v>0</v>
      </c>
      <c r="E21" s="2">
        <v>2302.4499999999998</v>
      </c>
      <c r="F21" s="2">
        <v>0.4234</v>
      </c>
      <c r="G21" s="2">
        <v>4.5716000000000001</v>
      </c>
      <c r="H21" s="2">
        <v>9.1491000000000007</v>
      </c>
      <c r="I21" s="2">
        <v>0.81889999999999996</v>
      </c>
      <c r="J21" s="2">
        <v>12.478400000000001</v>
      </c>
      <c r="K21" s="2">
        <v>2302.4499999999998</v>
      </c>
      <c r="L21" s="2">
        <v>0</v>
      </c>
    </row>
    <row r="22" spans="1:12" x14ac:dyDescent="0.35">
      <c r="A22" s="3" t="s">
        <v>957</v>
      </c>
      <c r="B22" s="1" t="str">
        <f t="shared" si="0"/>
        <v>Corumba IV</v>
      </c>
      <c r="C22" s="1">
        <f t="shared" si="1"/>
        <v>-1599</v>
      </c>
      <c r="D22" s="2">
        <v>0</v>
      </c>
      <c r="E22" s="2">
        <v>0</v>
      </c>
      <c r="F22" s="2">
        <v>0</v>
      </c>
      <c r="G22" s="2">
        <v>1.3842000000000001</v>
      </c>
      <c r="H22" s="2">
        <v>87.837699999999998</v>
      </c>
      <c r="I22" s="2">
        <v>3.2751999999999999</v>
      </c>
      <c r="J22" s="2">
        <v>85.946700000000007</v>
      </c>
      <c r="K22" s="2">
        <v>0</v>
      </c>
      <c r="L22" s="2">
        <v>0</v>
      </c>
    </row>
    <row r="23" spans="1:12" x14ac:dyDescent="0.35">
      <c r="A23" s="3" t="s">
        <v>958</v>
      </c>
      <c r="B23" s="1" t="str">
        <f t="shared" si="0"/>
        <v>Lago Paranoa</v>
      </c>
      <c r="C23" s="1">
        <f t="shared" si="1"/>
        <v>-1599</v>
      </c>
      <c r="D23" s="2">
        <v>0</v>
      </c>
      <c r="E23" s="2">
        <v>2302.4499999999998</v>
      </c>
      <c r="F23" s="2">
        <v>0.4234</v>
      </c>
      <c r="G23" s="2">
        <v>4.1641000000000004</v>
      </c>
      <c r="H23" s="2">
        <v>8.4068000000000005</v>
      </c>
      <c r="I23" s="2">
        <v>0.83130000000000004</v>
      </c>
      <c r="J23" s="2">
        <v>11.3162</v>
      </c>
      <c r="K23" s="2">
        <v>2302.4499999999998</v>
      </c>
      <c r="L23" s="2">
        <v>0</v>
      </c>
    </row>
    <row r="24" spans="1:12" x14ac:dyDescent="0.35">
      <c r="A24" s="3" t="s">
        <v>959</v>
      </c>
      <c r="B24" s="1" t="str">
        <f t="shared" si="0"/>
        <v>Corumba IV</v>
      </c>
      <c r="C24" s="1">
        <f t="shared" si="1"/>
        <v>-1598</v>
      </c>
      <c r="D24" s="2">
        <v>0</v>
      </c>
      <c r="E24" s="2">
        <v>0</v>
      </c>
      <c r="F24" s="2">
        <v>0</v>
      </c>
      <c r="G24" s="2">
        <v>3.2776999999999998</v>
      </c>
      <c r="H24" s="2">
        <v>90.484099999999998</v>
      </c>
      <c r="I24" s="2">
        <v>3.2751999999999999</v>
      </c>
      <c r="J24" s="2">
        <v>90.486599999999996</v>
      </c>
      <c r="K24" s="2">
        <v>0</v>
      </c>
      <c r="L24" s="2">
        <v>0</v>
      </c>
    </row>
    <row r="25" spans="1:12" x14ac:dyDescent="0.35">
      <c r="A25" s="3" t="s">
        <v>960</v>
      </c>
      <c r="B25" s="1" t="str">
        <f t="shared" si="0"/>
        <v>Lago Paranoa</v>
      </c>
      <c r="C25" s="1">
        <f t="shared" si="1"/>
        <v>-1598</v>
      </c>
      <c r="D25" s="2">
        <v>0</v>
      </c>
      <c r="E25" s="2">
        <v>2302.4499999999998</v>
      </c>
      <c r="F25" s="2">
        <v>0.4234</v>
      </c>
      <c r="G25" s="2">
        <v>6.6890999999999998</v>
      </c>
      <c r="H25" s="2">
        <v>15.1744</v>
      </c>
      <c r="I25" s="2">
        <v>0.83130000000000004</v>
      </c>
      <c r="J25" s="2">
        <v>20.608799999999999</v>
      </c>
      <c r="K25" s="2">
        <v>2302.4499999999998</v>
      </c>
      <c r="L25" s="2">
        <v>0</v>
      </c>
    </row>
    <row r="26" spans="1:12" x14ac:dyDescent="0.35">
      <c r="A26" s="3" t="s">
        <v>961</v>
      </c>
      <c r="B26" s="1" t="str">
        <f t="shared" si="0"/>
        <v>Corumba IV</v>
      </c>
      <c r="C26" s="1">
        <f t="shared" si="1"/>
        <v>-1597</v>
      </c>
      <c r="D26" s="2">
        <v>0</v>
      </c>
      <c r="E26" s="2">
        <v>0</v>
      </c>
      <c r="F26" s="2">
        <v>0</v>
      </c>
      <c r="G26" s="2">
        <v>1.5488999999999999</v>
      </c>
      <c r="H26" s="2">
        <v>111.3031</v>
      </c>
      <c r="I26" s="2">
        <v>3.4497</v>
      </c>
      <c r="J26" s="2">
        <v>109.4023</v>
      </c>
      <c r="K26" s="2">
        <v>0</v>
      </c>
      <c r="L26" s="2">
        <v>0</v>
      </c>
    </row>
    <row r="27" spans="1:12" x14ac:dyDescent="0.35">
      <c r="A27" s="3" t="s">
        <v>962</v>
      </c>
      <c r="B27" s="1" t="str">
        <f t="shared" si="0"/>
        <v>Lago Paranoa</v>
      </c>
      <c r="C27" s="1">
        <f t="shared" si="1"/>
        <v>-1597</v>
      </c>
      <c r="D27" s="2">
        <v>0</v>
      </c>
      <c r="E27" s="2">
        <v>2302.4499999999998</v>
      </c>
      <c r="F27" s="2">
        <v>0.4234</v>
      </c>
      <c r="G27" s="2">
        <v>4.9081000000000001</v>
      </c>
      <c r="H27" s="2">
        <v>9.6198999999999995</v>
      </c>
      <c r="I27" s="2">
        <v>0.86570000000000003</v>
      </c>
      <c r="J27" s="2">
        <v>13.239000000000001</v>
      </c>
      <c r="K27" s="2">
        <v>2302.4499999999998</v>
      </c>
      <c r="L27" s="2">
        <v>0</v>
      </c>
    </row>
    <row r="28" spans="1:12" x14ac:dyDescent="0.35">
      <c r="A28" s="3" t="s">
        <v>963</v>
      </c>
      <c r="B28" s="1" t="str">
        <f t="shared" si="0"/>
        <v>Corumba IV</v>
      </c>
      <c r="C28" s="1">
        <f t="shared" si="1"/>
        <v>-1596</v>
      </c>
      <c r="D28" s="2">
        <v>0</v>
      </c>
      <c r="E28" s="2">
        <v>0</v>
      </c>
      <c r="F28" s="2">
        <v>0</v>
      </c>
      <c r="G28" s="2">
        <v>0.96079999999999999</v>
      </c>
      <c r="H28" s="2">
        <v>86.6661</v>
      </c>
      <c r="I28" s="2">
        <v>3.6280000000000001</v>
      </c>
      <c r="J28" s="2">
        <v>83.998900000000006</v>
      </c>
      <c r="K28" s="2">
        <v>0</v>
      </c>
      <c r="L28" s="2">
        <v>0</v>
      </c>
    </row>
    <row r="29" spans="1:12" x14ac:dyDescent="0.35">
      <c r="A29" s="3" t="s">
        <v>964</v>
      </c>
      <c r="B29" s="1" t="str">
        <f t="shared" si="0"/>
        <v>Lago Paranoa</v>
      </c>
      <c r="C29" s="1">
        <f t="shared" si="1"/>
        <v>-1596</v>
      </c>
      <c r="D29" s="2">
        <v>0</v>
      </c>
      <c r="E29" s="2">
        <v>2302.4499999999998</v>
      </c>
      <c r="F29" s="2">
        <v>0.4234</v>
      </c>
      <c r="G29" s="2">
        <v>4.1923000000000004</v>
      </c>
      <c r="H29" s="2">
        <v>7.9005999999999998</v>
      </c>
      <c r="I29" s="2">
        <v>0.98919999999999997</v>
      </c>
      <c r="J29" s="2">
        <v>10.680300000000001</v>
      </c>
      <c r="K29" s="2">
        <v>2302.4499999999998</v>
      </c>
      <c r="L29" s="2">
        <v>0</v>
      </c>
    </row>
    <row r="30" spans="1:12" x14ac:dyDescent="0.35">
      <c r="A30" s="3" t="s">
        <v>965</v>
      </c>
      <c r="B30" s="1" t="str">
        <f t="shared" si="0"/>
        <v>Corumba IV</v>
      </c>
      <c r="C30" s="1">
        <f t="shared" si="1"/>
        <v>-1595</v>
      </c>
      <c r="D30" s="2">
        <v>0</v>
      </c>
      <c r="E30" s="2">
        <v>0</v>
      </c>
      <c r="F30" s="2">
        <v>0</v>
      </c>
      <c r="G30" s="2">
        <v>1.1874</v>
      </c>
      <c r="H30" s="2">
        <v>73.770099999999999</v>
      </c>
      <c r="I30" s="2">
        <v>3.5872000000000002</v>
      </c>
      <c r="J30" s="2">
        <v>71.370199999999997</v>
      </c>
      <c r="K30" s="2">
        <v>0</v>
      </c>
      <c r="L30" s="2">
        <v>0</v>
      </c>
    </row>
    <row r="31" spans="1:12" x14ac:dyDescent="0.35">
      <c r="A31" s="3" t="s">
        <v>966</v>
      </c>
      <c r="B31" s="1" t="str">
        <f t="shared" si="0"/>
        <v>Lago Paranoa</v>
      </c>
      <c r="C31" s="1">
        <f t="shared" si="1"/>
        <v>-1595</v>
      </c>
      <c r="D31" s="2">
        <v>0</v>
      </c>
      <c r="E31" s="2">
        <v>2302.4499999999998</v>
      </c>
      <c r="F31" s="2">
        <v>0.4234</v>
      </c>
      <c r="G31" s="2">
        <v>4.3624999999999998</v>
      </c>
      <c r="H31" s="2">
        <v>8.56</v>
      </c>
      <c r="I31" s="2">
        <v>1.0475000000000001</v>
      </c>
      <c r="J31" s="2">
        <v>11.451599999999999</v>
      </c>
      <c r="K31" s="2">
        <v>2302.4499999999998</v>
      </c>
      <c r="L31" s="2">
        <v>0</v>
      </c>
    </row>
    <row r="32" spans="1:12" x14ac:dyDescent="0.35">
      <c r="A32" s="3" t="s">
        <v>967</v>
      </c>
      <c r="B32" s="1" t="str">
        <f t="shared" si="0"/>
        <v>Corumba IV</v>
      </c>
      <c r="C32" s="1">
        <f t="shared" si="1"/>
        <v>-1594</v>
      </c>
      <c r="D32" s="2">
        <v>0</v>
      </c>
      <c r="E32" s="2">
        <v>0</v>
      </c>
      <c r="F32" s="2">
        <v>0</v>
      </c>
      <c r="G32" s="2">
        <v>1.7205999999999999</v>
      </c>
      <c r="H32" s="2">
        <v>81.665300000000002</v>
      </c>
      <c r="I32" s="2">
        <v>3.5872000000000002</v>
      </c>
      <c r="J32" s="2">
        <v>79.798699999999997</v>
      </c>
      <c r="K32" s="2">
        <v>0</v>
      </c>
      <c r="L32" s="2">
        <v>0</v>
      </c>
    </row>
    <row r="33" spans="1:12" x14ac:dyDescent="0.35">
      <c r="A33" s="3" t="s">
        <v>968</v>
      </c>
      <c r="B33" s="1" t="str">
        <f t="shared" si="0"/>
        <v>Lago Paranoa</v>
      </c>
      <c r="C33" s="1">
        <f t="shared" si="1"/>
        <v>-1594</v>
      </c>
      <c r="D33" s="2">
        <v>0</v>
      </c>
      <c r="E33" s="2">
        <v>2302.4499999999998</v>
      </c>
      <c r="F33" s="2">
        <v>0.4234</v>
      </c>
      <c r="G33" s="2">
        <v>5.0644999999999998</v>
      </c>
      <c r="H33" s="2">
        <v>10.7584</v>
      </c>
      <c r="I33" s="2">
        <v>1.0475000000000001</v>
      </c>
      <c r="J33" s="2">
        <v>14.3521</v>
      </c>
      <c r="K33" s="2">
        <v>2302.4499999999998</v>
      </c>
      <c r="L33" s="2">
        <v>0</v>
      </c>
    </row>
    <row r="34" spans="1:12" x14ac:dyDescent="0.35">
      <c r="A34" s="3" t="s">
        <v>969</v>
      </c>
      <c r="B34" s="1" t="str">
        <f t="shared" si="0"/>
        <v>Corumba IV</v>
      </c>
      <c r="C34" s="1">
        <f t="shared" si="1"/>
        <v>-1593</v>
      </c>
      <c r="D34" s="2">
        <v>0</v>
      </c>
      <c r="E34" s="2">
        <v>0</v>
      </c>
      <c r="F34" s="2">
        <v>0</v>
      </c>
      <c r="G34" s="2">
        <v>1.0774999999999999</v>
      </c>
      <c r="H34" s="2">
        <v>94.084400000000002</v>
      </c>
      <c r="I34" s="2">
        <v>3.5872000000000002</v>
      </c>
      <c r="J34" s="2">
        <v>91.574700000000007</v>
      </c>
      <c r="K34" s="2">
        <v>0</v>
      </c>
      <c r="L34" s="2">
        <v>0</v>
      </c>
    </row>
    <row r="35" spans="1:12" x14ac:dyDescent="0.35">
      <c r="A35" s="3" t="s">
        <v>970</v>
      </c>
      <c r="B35" s="1" t="str">
        <f t="shared" si="0"/>
        <v>Lago Paranoa</v>
      </c>
      <c r="C35" s="1">
        <f t="shared" si="1"/>
        <v>-1593</v>
      </c>
      <c r="D35" s="2">
        <v>0</v>
      </c>
      <c r="E35" s="2">
        <v>2302.4499999999998</v>
      </c>
      <c r="F35" s="2">
        <v>0.4234</v>
      </c>
      <c r="G35" s="2">
        <v>4.0289000000000001</v>
      </c>
      <c r="H35" s="2">
        <v>7.5536000000000003</v>
      </c>
      <c r="I35" s="2">
        <v>1.0475000000000001</v>
      </c>
      <c r="J35" s="2">
        <v>10.111599999999999</v>
      </c>
      <c r="K35" s="2">
        <v>2302.4499999999998</v>
      </c>
      <c r="L35" s="2">
        <v>0</v>
      </c>
    </row>
    <row r="36" spans="1:12" x14ac:dyDescent="0.35">
      <c r="A36" s="3" t="s">
        <v>971</v>
      </c>
      <c r="B36" s="1" t="str">
        <f t="shared" si="0"/>
        <v>Corumba IV</v>
      </c>
      <c r="C36" s="1">
        <f t="shared" si="1"/>
        <v>-1592</v>
      </c>
      <c r="D36" s="2">
        <v>0</v>
      </c>
      <c r="E36" s="2">
        <v>0</v>
      </c>
      <c r="F36" s="2">
        <v>0</v>
      </c>
      <c r="G36" s="2">
        <v>0.46560000000000001</v>
      </c>
      <c r="H36" s="2">
        <v>75.833299999999994</v>
      </c>
      <c r="I36" s="2">
        <v>3.8073999999999999</v>
      </c>
      <c r="J36" s="2">
        <v>72.491600000000005</v>
      </c>
      <c r="K36" s="2">
        <v>0</v>
      </c>
      <c r="L36" s="2">
        <v>0</v>
      </c>
    </row>
    <row r="37" spans="1:12" x14ac:dyDescent="0.35">
      <c r="A37" s="3" t="s">
        <v>972</v>
      </c>
      <c r="B37" s="1" t="str">
        <f t="shared" si="0"/>
        <v>Lago Paranoa</v>
      </c>
      <c r="C37" s="1">
        <f t="shared" si="1"/>
        <v>-1592</v>
      </c>
      <c r="D37" s="2">
        <v>0</v>
      </c>
      <c r="E37" s="2">
        <v>2302.4499999999998</v>
      </c>
      <c r="F37" s="2">
        <v>0.4234</v>
      </c>
      <c r="G37" s="2">
        <v>3.6907999999999999</v>
      </c>
      <c r="H37" s="2">
        <v>6.4923000000000002</v>
      </c>
      <c r="I37" s="2">
        <v>1.0809</v>
      </c>
      <c r="J37" s="2">
        <v>8.6788000000000007</v>
      </c>
      <c r="K37" s="2">
        <v>2302.4499999999998</v>
      </c>
      <c r="L37" s="2">
        <v>0</v>
      </c>
    </row>
    <row r="38" spans="1:12" x14ac:dyDescent="0.35">
      <c r="A38" s="3" t="s">
        <v>973</v>
      </c>
      <c r="B38" s="1" t="str">
        <f t="shared" si="0"/>
        <v>Corumba IV</v>
      </c>
      <c r="C38" s="1">
        <f t="shared" si="1"/>
        <v>-1591</v>
      </c>
      <c r="D38" s="2">
        <v>0</v>
      </c>
      <c r="E38" s="2">
        <v>0</v>
      </c>
      <c r="F38" s="2">
        <v>0</v>
      </c>
      <c r="G38" s="2">
        <v>0.3629</v>
      </c>
      <c r="H38" s="2">
        <v>65.569800000000001</v>
      </c>
      <c r="I38" s="2">
        <v>4.6563999999999997</v>
      </c>
      <c r="J38" s="2">
        <v>61.276299999999999</v>
      </c>
      <c r="K38" s="2">
        <v>0</v>
      </c>
      <c r="L38" s="2">
        <v>0</v>
      </c>
    </row>
    <row r="39" spans="1:12" x14ac:dyDescent="0.35">
      <c r="A39" s="3" t="s">
        <v>974</v>
      </c>
      <c r="B39" s="1" t="str">
        <f t="shared" si="0"/>
        <v>Lago Paranoa</v>
      </c>
      <c r="C39" s="1">
        <f t="shared" si="1"/>
        <v>-1591</v>
      </c>
      <c r="D39" s="2">
        <v>0</v>
      </c>
      <c r="E39" s="2">
        <v>2302.4499999999998</v>
      </c>
      <c r="F39" s="2">
        <v>0.4234</v>
      </c>
      <c r="G39" s="2">
        <v>3.8187000000000002</v>
      </c>
      <c r="H39" s="2">
        <v>6.1948999999999996</v>
      </c>
      <c r="I39" s="2">
        <v>1.1615</v>
      </c>
      <c r="J39" s="2">
        <v>8.4286999999999992</v>
      </c>
      <c r="K39" s="2">
        <v>2302.4499999999998</v>
      </c>
      <c r="L39" s="2">
        <v>0</v>
      </c>
    </row>
    <row r="40" spans="1:12" x14ac:dyDescent="0.35">
      <c r="A40" s="3" t="s">
        <v>975</v>
      </c>
      <c r="B40" s="1" t="str">
        <f t="shared" si="0"/>
        <v>Corumba IV</v>
      </c>
      <c r="C40" s="1">
        <f t="shared" si="1"/>
        <v>-1590</v>
      </c>
      <c r="D40" s="2">
        <v>0</v>
      </c>
      <c r="E40" s="2">
        <v>0</v>
      </c>
      <c r="F40" s="2">
        <v>0</v>
      </c>
      <c r="G40" s="2">
        <v>0.3629</v>
      </c>
      <c r="H40" s="2">
        <v>61.536700000000003</v>
      </c>
      <c r="I40" s="2">
        <v>4.3025000000000002</v>
      </c>
      <c r="J40" s="2">
        <v>57.597099999999998</v>
      </c>
      <c r="K40" s="2">
        <v>0</v>
      </c>
      <c r="L40" s="2">
        <v>0</v>
      </c>
    </row>
    <row r="41" spans="1:12" x14ac:dyDescent="0.35">
      <c r="A41" s="3" t="s">
        <v>976</v>
      </c>
      <c r="B41" s="1" t="str">
        <f t="shared" si="0"/>
        <v>Lago Paranoa</v>
      </c>
      <c r="C41" s="1">
        <f t="shared" si="1"/>
        <v>-1590</v>
      </c>
      <c r="D41" s="2">
        <v>0</v>
      </c>
      <c r="E41" s="2">
        <v>2302.4499999999998</v>
      </c>
      <c r="F41" s="2">
        <v>0.4234</v>
      </c>
      <c r="G41" s="2">
        <v>3.8054000000000001</v>
      </c>
      <c r="H41" s="2">
        <v>5.6276999999999999</v>
      </c>
      <c r="I41" s="2">
        <v>1.0718000000000001</v>
      </c>
      <c r="J41" s="2">
        <v>7.9379</v>
      </c>
      <c r="K41" s="2">
        <v>2302.4499999999998</v>
      </c>
      <c r="L41" s="2">
        <v>0</v>
      </c>
    </row>
    <row r="42" spans="1:12" x14ac:dyDescent="0.35">
      <c r="A42" s="3" t="s">
        <v>977</v>
      </c>
      <c r="B42" s="1" t="str">
        <f t="shared" si="0"/>
        <v>Corumba IV</v>
      </c>
      <c r="C42" s="1">
        <f t="shared" si="1"/>
        <v>-1589</v>
      </c>
      <c r="D42" s="2">
        <v>0</v>
      </c>
      <c r="E42" s="2">
        <v>0</v>
      </c>
      <c r="F42" s="2">
        <v>0</v>
      </c>
      <c r="G42" s="2">
        <v>0.3629</v>
      </c>
      <c r="H42" s="2">
        <v>57.1631</v>
      </c>
      <c r="I42" s="2">
        <v>4.3025000000000002</v>
      </c>
      <c r="J42" s="2">
        <v>53.223500000000001</v>
      </c>
      <c r="K42" s="2">
        <v>0</v>
      </c>
      <c r="L42" s="2">
        <v>0</v>
      </c>
    </row>
    <row r="43" spans="1:12" x14ac:dyDescent="0.35">
      <c r="A43" s="3" t="s">
        <v>978</v>
      </c>
      <c r="B43" s="1" t="str">
        <f t="shared" si="0"/>
        <v>Lago Paranoa</v>
      </c>
      <c r="C43" s="1">
        <f t="shared" si="1"/>
        <v>-1589</v>
      </c>
      <c r="D43" s="2">
        <v>0</v>
      </c>
      <c r="E43" s="2">
        <v>2302.4499999999998</v>
      </c>
      <c r="F43" s="2">
        <v>0.4234</v>
      </c>
      <c r="G43" s="2">
        <v>3.5911</v>
      </c>
      <c r="H43" s="2">
        <v>5.1314000000000002</v>
      </c>
      <c r="I43" s="2">
        <v>1.0718000000000001</v>
      </c>
      <c r="J43" s="2">
        <v>7.2272999999999996</v>
      </c>
      <c r="K43" s="2">
        <v>2302.4499999999998</v>
      </c>
      <c r="L43" s="2">
        <v>0</v>
      </c>
    </row>
    <row r="44" spans="1:12" x14ac:dyDescent="0.35">
      <c r="A44" s="3" t="s">
        <v>979</v>
      </c>
      <c r="B44" s="1" t="str">
        <f t="shared" si="0"/>
        <v>Corumba IV</v>
      </c>
      <c r="C44" s="1">
        <f t="shared" si="1"/>
        <v>-1588</v>
      </c>
      <c r="D44" s="2">
        <v>0</v>
      </c>
      <c r="E44" s="2">
        <v>0</v>
      </c>
      <c r="F44" s="2">
        <v>0</v>
      </c>
      <c r="G44" s="2">
        <v>0.3629</v>
      </c>
      <c r="H44" s="2">
        <v>54.111499999999999</v>
      </c>
      <c r="I44" s="2">
        <v>4.3025000000000002</v>
      </c>
      <c r="J44" s="2">
        <v>50.171900000000001</v>
      </c>
      <c r="K44" s="2">
        <v>0</v>
      </c>
      <c r="L44" s="2">
        <v>0</v>
      </c>
    </row>
    <row r="45" spans="1:12" x14ac:dyDescent="0.35">
      <c r="A45" s="3" t="s">
        <v>980</v>
      </c>
      <c r="B45" s="1" t="str">
        <f t="shared" si="0"/>
        <v>Lago Paranoa</v>
      </c>
      <c r="C45" s="1">
        <f t="shared" si="1"/>
        <v>-1588</v>
      </c>
      <c r="D45" s="2">
        <v>0</v>
      </c>
      <c r="E45" s="2">
        <v>2302.4499999999998</v>
      </c>
      <c r="F45" s="2">
        <v>0.4234</v>
      </c>
      <c r="G45" s="2">
        <v>3.3792</v>
      </c>
      <c r="H45" s="2">
        <v>4.7881999999999998</v>
      </c>
      <c r="I45" s="2">
        <v>1.0718000000000001</v>
      </c>
      <c r="J45" s="2">
        <v>6.6722999999999999</v>
      </c>
      <c r="K45" s="2">
        <v>2302.4499999999998</v>
      </c>
      <c r="L45" s="2">
        <v>0</v>
      </c>
    </row>
    <row r="46" spans="1:12" x14ac:dyDescent="0.35">
      <c r="A46" s="3" t="s">
        <v>981</v>
      </c>
      <c r="B46" s="1" t="str">
        <f t="shared" si="0"/>
        <v>Corumba IV</v>
      </c>
      <c r="C46" s="1">
        <f t="shared" si="1"/>
        <v>-1587</v>
      </c>
      <c r="D46" s="2">
        <v>0</v>
      </c>
      <c r="E46" s="2">
        <v>0</v>
      </c>
      <c r="F46" s="2">
        <v>0</v>
      </c>
      <c r="G46" s="2">
        <v>0.3629</v>
      </c>
      <c r="H46" s="2">
        <v>51.484000000000002</v>
      </c>
      <c r="I46" s="2">
        <v>4.9062999999999999</v>
      </c>
      <c r="J46" s="2">
        <v>46.940600000000003</v>
      </c>
      <c r="K46" s="2">
        <v>0</v>
      </c>
      <c r="L46" s="2">
        <v>0</v>
      </c>
    </row>
    <row r="47" spans="1:12" x14ac:dyDescent="0.35">
      <c r="A47" s="3" t="s">
        <v>982</v>
      </c>
      <c r="B47" s="1" t="str">
        <f t="shared" si="0"/>
        <v>Lago Paranoa</v>
      </c>
      <c r="C47" s="1">
        <f t="shared" si="1"/>
        <v>-1587</v>
      </c>
      <c r="D47" s="2">
        <v>0</v>
      </c>
      <c r="E47" s="2">
        <v>2302.4499999999998</v>
      </c>
      <c r="F47" s="2">
        <v>0.4234</v>
      </c>
      <c r="G47" s="2">
        <v>3.1976</v>
      </c>
      <c r="H47" s="2">
        <v>4.3708999999999998</v>
      </c>
      <c r="I47" s="2">
        <v>1.2524999999999999</v>
      </c>
      <c r="J47" s="2">
        <v>5.8925999999999998</v>
      </c>
      <c r="K47" s="2">
        <v>2302.4499999999998</v>
      </c>
      <c r="L47" s="2">
        <v>0</v>
      </c>
    </row>
    <row r="48" spans="1:12" x14ac:dyDescent="0.35">
      <c r="A48" s="3" t="s">
        <v>983</v>
      </c>
      <c r="B48" s="1" t="str">
        <f t="shared" si="0"/>
        <v>Corumba IV</v>
      </c>
      <c r="C48" s="1">
        <f t="shared" si="1"/>
        <v>-1716</v>
      </c>
      <c r="D48" s="2">
        <v>0</v>
      </c>
      <c r="E48" s="2">
        <v>0</v>
      </c>
      <c r="F48" s="2">
        <v>0</v>
      </c>
      <c r="G48" s="2">
        <v>1.2815000000000001</v>
      </c>
      <c r="H48" s="2">
        <v>92.931799999999996</v>
      </c>
      <c r="I48" s="2">
        <v>4.3541999999999996</v>
      </c>
      <c r="J48" s="2">
        <v>89.859099999999998</v>
      </c>
      <c r="K48" s="2">
        <v>0</v>
      </c>
      <c r="L48" s="2">
        <v>0</v>
      </c>
    </row>
    <row r="49" spans="1:12" x14ac:dyDescent="0.35">
      <c r="A49" s="3" t="s">
        <v>984</v>
      </c>
      <c r="B49" s="1" t="str">
        <f t="shared" si="0"/>
        <v>Lago Paranoa</v>
      </c>
      <c r="C49" s="1">
        <f t="shared" si="1"/>
        <v>-1716</v>
      </c>
      <c r="D49" s="2">
        <v>0</v>
      </c>
      <c r="E49" s="2">
        <v>2302.4499999999998</v>
      </c>
      <c r="F49" s="2">
        <v>0.4234</v>
      </c>
      <c r="G49" s="2">
        <v>5.5686999999999998</v>
      </c>
      <c r="H49" s="2">
        <v>6.3057999999999996</v>
      </c>
      <c r="I49" s="2">
        <v>1.0811999999999999</v>
      </c>
      <c r="J49" s="2">
        <v>10.369899999999999</v>
      </c>
      <c r="K49" s="2">
        <v>2302.4499999999998</v>
      </c>
      <c r="L49" s="2">
        <v>0</v>
      </c>
    </row>
    <row r="50" spans="1:12" x14ac:dyDescent="0.35">
      <c r="A50" s="3" t="s">
        <v>985</v>
      </c>
      <c r="B50" s="1" t="str">
        <f t="shared" si="0"/>
        <v>Corumba IV</v>
      </c>
      <c r="C50" s="1">
        <f t="shared" si="1"/>
        <v>-1715</v>
      </c>
      <c r="D50" s="2">
        <v>0</v>
      </c>
      <c r="E50" s="2">
        <v>0</v>
      </c>
      <c r="F50" s="2">
        <v>0</v>
      </c>
      <c r="G50" s="2">
        <v>1.3924000000000001</v>
      </c>
      <c r="H50" s="2">
        <v>137.39850000000001</v>
      </c>
      <c r="I50" s="2">
        <v>4.3541999999999996</v>
      </c>
      <c r="J50" s="2">
        <v>134.4366</v>
      </c>
      <c r="K50" s="2">
        <v>0</v>
      </c>
      <c r="L50" s="2">
        <v>0</v>
      </c>
    </row>
    <row r="51" spans="1:12" x14ac:dyDescent="0.35">
      <c r="A51" s="3" t="s">
        <v>986</v>
      </c>
      <c r="B51" s="1" t="str">
        <f t="shared" si="0"/>
        <v>Lago Paranoa</v>
      </c>
      <c r="C51" s="1">
        <f t="shared" si="1"/>
        <v>-1715</v>
      </c>
      <c r="D51" s="2">
        <v>0</v>
      </c>
      <c r="E51" s="2">
        <v>2302.4499999999998</v>
      </c>
      <c r="F51" s="2">
        <v>0.4234</v>
      </c>
      <c r="G51" s="2">
        <v>4.5091000000000001</v>
      </c>
      <c r="H51" s="2">
        <v>7.3349000000000002</v>
      </c>
      <c r="I51" s="2">
        <v>1.0811999999999999</v>
      </c>
      <c r="J51" s="2">
        <v>10.339499999999999</v>
      </c>
      <c r="K51" s="2">
        <v>2302.4499999999998</v>
      </c>
      <c r="L51" s="2">
        <v>0</v>
      </c>
    </row>
    <row r="52" spans="1:12" x14ac:dyDescent="0.35">
      <c r="A52" s="3" t="s">
        <v>987</v>
      </c>
      <c r="B52" s="1" t="str">
        <f t="shared" si="0"/>
        <v>Corumba IV</v>
      </c>
      <c r="C52" s="1">
        <f t="shared" si="1"/>
        <v>-1714</v>
      </c>
      <c r="D52" s="2">
        <v>0</v>
      </c>
      <c r="E52" s="2">
        <v>0</v>
      </c>
      <c r="F52" s="2">
        <v>0</v>
      </c>
      <c r="G52" s="2">
        <v>0.39269999999999999</v>
      </c>
      <c r="H52" s="2">
        <v>98.802700000000002</v>
      </c>
      <c r="I52" s="2">
        <v>4.3541999999999996</v>
      </c>
      <c r="J52" s="2">
        <v>94.841099999999997</v>
      </c>
      <c r="K52" s="2">
        <v>0</v>
      </c>
      <c r="L52" s="2">
        <v>0</v>
      </c>
    </row>
    <row r="53" spans="1:12" x14ac:dyDescent="0.35">
      <c r="A53" s="3" t="s">
        <v>988</v>
      </c>
      <c r="B53" s="1" t="str">
        <f t="shared" si="0"/>
        <v>Lago Paranoa</v>
      </c>
      <c r="C53" s="1">
        <f t="shared" si="1"/>
        <v>-1714</v>
      </c>
      <c r="D53" s="2">
        <v>0</v>
      </c>
      <c r="E53" s="2">
        <v>2302.4499999999998</v>
      </c>
      <c r="F53" s="2">
        <v>0.4234</v>
      </c>
      <c r="G53" s="2">
        <v>3.9260000000000002</v>
      </c>
      <c r="H53" s="2">
        <v>4.7553999999999998</v>
      </c>
      <c r="I53" s="2">
        <v>1.0811999999999999</v>
      </c>
      <c r="J53" s="2">
        <v>7.1768000000000001</v>
      </c>
      <c r="K53" s="2">
        <v>2302.4499999999998</v>
      </c>
      <c r="L53" s="2">
        <v>0</v>
      </c>
    </row>
    <row r="54" spans="1:12" x14ac:dyDescent="0.35">
      <c r="A54" s="3" t="s">
        <v>989</v>
      </c>
      <c r="B54" s="1" t="str">
        <f t="shared" si="0"/>
        <v>Corumba IV</v>
      </c>
      <c r="C54" s="1">
        <f t="shared" si="1"/>
        <v>-1713</v>
      </c>
      <c r="D54" s="2">
        <v>0</v>
      </c>
      <c r="E54" s="2">
        <v>0</v>
      </c>
      <c r="F54" s="2">
        <v>0</v>
      </c>
      <c r="G54" s="2">
        <v>0.3629</v>
      </c>
      <c r="H54" s="2">
        <v>86.225499999999997</v>
      </c>
      <c r="I54" s="2">
        <v>4.1821999999999999</v>
      </c>
      <c r="J54" s="2">
        <v>82.406099999999995</v>
      </c>
      <c r="K54" s="2">
        <v>0</v>
      </c>
      <c r="L54" s="2">
        <v>0</v>
      </c>
    </row>
    <row r="55" spans="1:12" x14ac:dyDescent="0.35">
      <c r="A55" s="3" t="s">
        <v>990</v>
      </c>
      <c r="B55" s="1" t="str">
        <f t="shared" si="0"/>
        <v>Lago Paranoa</v>
      </c>
      <c r="C55" s="1">
        <f t="shared" si="1"/>
        <v>-1713</v>
      </c>
      <c r="D55" s="2">
        <v>0</v>
      </c>
      <c r="E55" s="2">
        <v>2302.4499999999998</v>
      </c>
      <c r="F55" s="2">
        <v>0.4234</v>
      </c>
      <c r="G55" s="2">
        <v>3.75</v>
      </c>
      <c r="H55" s="2">
        <v>4.3773999999999997</v>
      </c>
      <c r="I55" s="2">
        <v>1.0351999999999999</v>
      </c>
      <c r="J55" s="2">
        <v>6.6688999999999998</v>
      </c>
      <c r="K55" s="2">
        <v>2302.4499999999998</v>
      </c>
      <c r="L55" s="2">
        <v>0</v>
      </c>
    </row>
    <row r="56" spans="1:12" x14ac:dyDescent="0.35">
      <c r="A56" s="3" t="s">
        <v>991</v>
      </c>
      <c r="B56" s="1" t="str">
        <f t="shared" si="0"/>
        <v>Corumba IV</v>
      </c>
      <c r="C56" s="1">
        <f t="shared" si="1"/>
        <v>-1712</v>
      </c>
      <c r="D56" s="2">
        <v>0</v>
      </c>
      <c r="E56" s="2">
        <v>0</v>
      </c>
      <c r="F56" s="2">
        <v>0</v>
      </c>
      <c r="G56" s="2">
        <v>0.3629</v>
      </c>
      <c r="H56" s="2">
        <v>87.768600000000006</v>
      </c>
      <c r="I56" s="2">
        <v>3.7522000000000002</v>
      </c>
      <c r="J56" s="2">
        <v>84.379300000000001</v>
      </c>
      <c r="K56" s="2">
        <v>0</v>
      </c>
      <c r="L56" s="2">
        <v>0</v>
      </c>
    </row>
    <row r="57" spans="1:12" x14ac:dyDescent="0.35">
      <c r="A57" s="3" t="s">
        <v>992</v>
      </c>
      <c r="B57" s="1" t="str">
        <f t="shared" si="0"/>
        <v>Lago Paranoa</v>
      </c>
      <c r="C57" s="1">
        <f t="shared" si="1"/>
        <v>-1712</v>
      </c>
      <c r="D57" s="2">
        <v>0</v>
      </c>
      <c r="E57" s="2">
        <v>2302.4499999999998</v>
      </c>
      <c r="F57" s="2">
        <v>0.4234</v>
      </c>
      <c r="G57" s="2">
        <v>4.1281999999999996</v>
      </c>
      <c r="H57" s="2">
        <v>4.7333999999999996</v>
      </c>
      <c r="I57" s="2">
        <v>0.92030000000000001</v>
      </c>
      <c r="J57" s="2">
        <v>7.5179999999999998</v>
      </c>
      <c r="K57" s="2">
        <v>2302.4499999999998</v>
      </c>
      <c r="L57" s="2">
        <v>0</v>
      </c>
    </row>
    <row r="58" spans="1:12" x14ac:dyDescent="0.35">
      <c r="A58" s="3" t="s">
        <v>993</v>
      </c>
      <c r="B58" s="1" t="str">
        <f t="shared" si="0"/>
        <v>Corumba IV</v>
      </c>
      <c r="C58" s="1">
        <f t="shared" si="1"/>
        <v>-1711</v>
      </c>
      <c r="D58" s="2">
        <v>0</v>
      </c>
      <c r="E58" s="2">
        <v>0</v>
      </c>
      <c r="F58" s="2">
        <v>0</v>
      </c>
      <c r="G58" s="2">
        <v>1.008</v>
      </c>
      <c r="H58" s="2">
        <v>117.714</v>
      </c>
      <c r="I58" s="2">
        <v>3.7522000000000002</v>
      </c>
      <c r="J58" s="2">
        <v>114.96980000000001</v>
      </c>
      <c r="K58" s="2">
        <v>0</v>
      </c>
      <c r="L58" s="2">
        <v>0</v>
      </c>
    </row>
    <row r="59" spans="1:12" x14ac:dyDescent="0.35">
      <c r="A59" s="3" t="s">
        <v>994</v>
      </c>
      <c r="B59" s="1" t="str">
        <f t="shared" si="0"/>
        <v>Lago Paranoa</v>
      </c>
      <c r="C59" s="1">
        <f t="shared" si="1"/>
        <v>-1711</v>
      </c>
      <c r="D59" s="2">
        <v>0</v>
      </c>
      <c r="E59" s="2">
        <v>2302.4499999999998</v>
      </c>
      <c r="F59" s="2">
        <v>0.4234</v>
      </c>
      <c r="G59" s="2">
        <v>4.6280999999999999</v>
      </c>
      <c r="H59" s="2">
        <v>6.8349000000000002</v>
      </c>
      <c r="I59" s="2">
        <v>0.92030000000000001</v>
      </c>
      <c r="J59" s="2">
        <v>10.119300000000001</v>
      </c>
      <c r="K59" s="2">
        <v>2302.4499999999998</v>
      </c>
      <c r="L59" s="2">
        <v>0</v>
      </c>
    </row>
    <row r="60" spans="1:12" x14ac:dyDescent="0.35">
      <c r="A60" s="3" t="s">
        <v>995</v>
      </c>
      <c r="B60" s="1" t="str">
        <f t="shared" si="0"/>
        <v>Corumba IV</v>
      </c>
      <c r="C60" s="1">
        <f t="shared" si="1"/>
        <v>-1710</v>
      </c>
      <c r="D60" s="2">
        <v>0</v>
      </c>
      <c r="E60" s="2">
        <v>0</v>
      </c>
      <c r="F60" s="2">
        <v>0</v>
      </c>
      <c r="G60" s="2">
        <v>4.1081000000000003</v>
      </c>
      <c r="H60" s="2">
        <v>108.2765</v>
      </c>
      <c r="I60" s="2">
        <v>3.7522000000000002</v>
      </c>
      <c r="J60" s="2">
        <v>108.6324</v>
      </c>
      <c r="K60" s="2">
        <v>0</v>
      </c>
      <c r="L60" s="2">
        <v>0</v>
      </c>
    </row>
    <row r="61" spans="1:12" x14ac:dyDescent="0.35">
      <c r="A61" s="3" t="s">
        <v>996</v>
      </c>
      <c r="B61" s="1" t="str">
        <f t="shared" si="0"/>
        <v>Lago Paranoa</v>
      </c>
      <c r="C61" s="1">
        <f t="shared" si="1"/>
        <v>-1710</v>
      </c>
      <c r="D61" s="2">
        <v>0</v>
      </c>
      <c r="E61" s="2">
        <v>2302.4499999999998</v>
      </c>
      <c r="F61" s="2">
        <v>0.4234</v>
      </c>
      <c r="G61" s="2">
        <v>5.5338000000000003</v>
      </c>
      <c r="H61" s="2">
        <v>9.5116999999999994</v>
      </c>
      <c r="I61" s="2">
        <v>0.92030000000000001</v>
      </c>
      <c r="J61" s="2">
        <v>13.7018</v>
      </c>
      <c r="K61" s="2">
        <v>2302.4499999999998</v>
      </c>
      <c r="L61" s="2">
        <v>0</v>
      </c>
    </row>
    <row r="62" spans="1:12" x14ac:dyDescent="0.35">
      <c r="A62" s="3" t="s">
        <v>997</v>
      </c>
      <c r="B62" s="1" t="str">
        <f t="shared" si="0"/>
        <v>Corumba IV</v>
      </c>
      <c r="C62" s="1">
        <f t="shared" si="1"/>
        <v>-1709</v>
      </c>
      <c r="D62" s="2">
        <v>0</v>
      </c>
      <c r="E62" s="2">
        <v>0</v>
      </c>
      <c r="F62" s="2">
        <v>0</v>
      </c>
      <c r="G62" s="2">
        <v>1.946</v>
      </c>
      <c r="H62" s="2">
        <v>108.4648</v>
      </c>
      <c r="I62" s="2">
        <v>3.5800999999999998</v>
      </c>
      <c r="J62" s="2">
        <v>106.8308</v>
      </c>
      <c r="K62" s="2">
        <v>0</v>
      </c>
      <c r="L62" s="2">
        <v>0</v>
      </c>
    </row>
    <row r="63" spans="1:12" x14ac:dyDescent="0.35">
      <c r="A63" s="3" t="s">
        <v>998</v>
      </c>
      <c r="B63" s="1" t="str">
        <f t="shared" si="0"/>
        <v>Lago Paranoa</v>
      </c>
      <c r="C63" s="1">
        <f t="shared" si="1"/>
        <v>-1709</v>
      </c>
      <c r="D63" s="2">
        <v>0</v>
      </c>
      <c r="E63" s="2">
        <v>2302.4499999999998</v>
      </c>
      <c r="F63" s="2">
        <v>0.4234</v>
      </c>
      <c r="G63" s="2">
        <v>4.6638999999999999</v>
      </c>
      <c r="H63" s="2">
        <v>7.3163999999999998</v>
      </c>
      <c r="I63" s="2">
        <v>0.88870000000000005</v>
      </c>
      <c r="J63" s="2">
        <v>10.668200000000001</v>
      </c>
      <c r="K63" s="2">
        <v>2302.4499999999998</v>
      </c>
      <c r="L63" s="2">
        <v>0</v>
      </c>
    </row>
    <row r="64" spans="1:12" x14ac:dyDescent="0.35">
      <c r="A64" s="3" t="s">
        <v>999</v>
      </c>
      <c r="B64" s="1" t="str">
        <f t="shared" si="0"/>
        <v>Corumba IV</v>
      </c>
      <c r="C64" s="1">
        <f t="shared" si="1"/>
        <v>-1708</v>
      </c>
      <c r="D64" s="2">
        <v>0</v>
      </c>
      <c r="E64" s="2">
        <v>0</v>
      </c>
      <c r="F64" s="2">
        <v>0</v>
      </c>
      <c r="G64" s="2">
        <v>2.3963999999999999</v>
      </c>
      <c r="H64" s="2">
        <v>120.5591</v>
      </c>
      <c r="I64" s="2">
        <v>3.2810000000000001</v>
      </c>
      <c r="J64" s="2">
        <v>119.67449999999999</v>
      </c>
      <c r="K64" s="2">
        <v>0</v>
      </c>
      <c r="L64" s="2">
        <v>0</v>
      </c>
    </row>
    <row r="65" spans="1:12" x14ac:dyDescent="0.35">
      <c r="A65" s="3" t="s">
        <v>1000</v>
      </c>
      <c r="B65" s="1" t="str">
        <f t="shared" si="0"/>
        <v>Lago Paranoa</v>
      </c>
      <c r="C65" s="1">
        <f t="shared" si="1"/>
        <v>-1708</v>
      </c>
      <c r="D65" s="2">
        <v>0</v>
      </c>
      <c r="E65" s="2">
        <v>2302.4499999999998</v>
      </c>
      <c r="F65" s="2">
        <v>0.4234</v>
      </c>
      <c r="G65" s="2">
        <v>4.8337000000000003</v>
      </c>
      <c r="H65" s="2">
        <v>11.584300000000001</v>
      </c>
      <c r="I65" s="2">
        <v>0.89759999999999995</v>
      </c>
      <c r="J65" s="2">
        <v>15.097</v>
      </c>
      <c r="K65" s="2">
        <v>2302.4499999999998</v>
      </c>
      <c r="L65" s="2">
        <v>0</v>
      </c>
    </row>
    <row r="66" spans="1:12" x14ac:dyDescent="0.35">
      <c r="A66" s="3" t="s">
        <v>1001</v>
      </c>
      <c r="B66" s="1" t="str">
        <f t="shared" si="0"/>
        <v>Corumba IV</v>
      </c>
      <c r="C66" s="1">
        <f t="shared" si="1"/>
        <v>-1707</v>
      </c>
      <c r="D66" s="2">
        <v>0</v>
      </c>
      <c r="E66" s="2">
        <v>0</v>
      </c>
      <c r="F66" s="2">
        <v>0</v>
      </c>
      <c r="G66" s="2">
        <v>4.4436999999999998</v>
      </c>
      <c r="H66" s="2">
        <v>145.1891</v>
      </c>
      <c r="I66" s="2">
        <v>3.2810000000000001</v>
      </c>
      <c r="J66" s="2">
        <v>146.3518</v>
      </c>
      <c r="K66" s="2">
        <v>0</v>
      </c>
      <c r="L66" s="2">
        <v>0</v>
      </c>
    </row>
    <row r="67" spans="1:12" x14ac:dyDescent="0.35">
      <c r="A67" s="3" t="s">
        <v>1002</v>
      </c>
      <c r="B67" s="1" t="str">
        <f t="shared" ref="B67:B130" si="2">_xlfn.TEXTBEFORE(_xlfn.TEXTAFTER(A67,"["),"]")</f>
        <v>Lago Paranoa</v>
      </c>
      <c r="C67" s="1">
        <f t="shared" si="1"/>
        <v>-1707</v>
      </c>
      <c r="D67" s="2">
        <v>0</v>
      </c>
      <c r="E67" s="2">
        <v>2302.4499999999998</v>
      </c>
      <c r="F67" s="2">
        <v>0.4234</v>
      </c>
      <c r="G67" s="2">
        <v>5.3833000000000002</v>
      </c>
      <c r="H67" s="2">
        <v>16.709499999999998</v>
      </c>
      <c r="I67" s="2">
        <v>0.89759999999999995</v>
      </c>
      <c r="J67" s="2">
        <v>20.771799999999999</v>
      </c>
      <c r="K67" s="2">
        <v>2302.4499999999998</v>
      </c>
      <c r="L67" s="2">
        <v>0</v>
      </c>
    </row>
    <row r="68" spans="1:12" x14ac:dyDescent="0.35">
      <c r="A68" s="3" t="s">
        <v>1003</v>
      </c>
      <c r="B68" s="1" t="str">
        <f t="shared" si="2"/>
        <v>Corumba IV</v>
      </c>
      <c r="C68" s="1">
        <f t="shared" ref="C68:C131" si="3">--_xlfn.TEXTBEFORE(_xlfn.TEXTAFTER(A68,"Week "),":")</f>
        <v>-1706</v>
      </c>
      <c r="D68" s="2">
        <v>0</v>
      </c>
      <c r="E68" s="2">
        <v>0</v>
      </c>
      <c r="F68" s="2">
        <v>0</v>
      </c>
      <c r="G68" s="2">
        <v>8.5939999999999994</v>
      </c>
      <c r="H68" s="2">
        <v>285.57709999999997</v>
      </c>
      <c r="I68" s="2">
        <v>3.2810000000000001</v>
      </c>
      <c r="J68" s="2">
        <v>290.89</v>
      </c>
      <c r="K68" s="2">
        <v>0</v>
      </c>
      <c r="L68" s="2">
        <v>0</v>
      </c>
    </row>
    <row r="69" spans="1:12" x14ac:dyDescent="0.35">
      <c r="A69" s="3" t="s">
        <v>1004</v>
      </c>
      <c r="B69" s="1" t="str">
        <f t="shared" si="2"/>
        <v>Lago Paranoa</v>
      </c>
      <c r="C69" s="1">
        <f t="shared" si="3"/>
        <v>-1706</v>
      </c>
      <c r="D69" s="2">
        <v>0</v>
      </c>
      <c r="E69" s="2">
        <v>2302.4499999999998</v>
      </c>
      <c r="F69" s="2">
        <v>0.4234</v>
      </c>
      <c r="G69" s="2">
        <v>9.0312999999999999</v>
      </c>
      <c r="H69" s="2">
        <v>20.545100000000001</v>
      </c>
      <c r="I69" s="2">
        <v>0.89759999999999995</v>
      </c>
      <c r="J69" s="2">
        <v>28.255400000000002</v>
      </c>
      <c r="K69" s="2">
        <v>2302.4499999999998</v>
      </c>
      <c r="L69" s="2">
        <v>0</v>
      </c>
    </row>
    <row r="70" spans="1:12" x14ac:dyDescent="0.35">
      <c r="A70" s="3" t="s">
        <v>1005</v>
      </c>
      <c r="B70" s="1" t="str">
        <f t="shared" si="2"/>
        <v>Corumba IV</v>
      </c>
      <c r="C70" s="1">
        <f t="shared" si="3"/>
        <v>-1705</v>
      </c>
      <c r="D70" s="2">
        <v>0</v>
      </c>
      <c r="E70" s="2">
        <v>0</v>
      </c>
      <c r="F70" s="2">
        <v>0</v>
      </c>
      <c r="G70" s="2">
        <v>2.794</v>
      </c>
      <c r="H70" s="2">
        <v>207.64689999999999</v>
      </c>
      <c r="I70" s="2">
        <v>3.0194999999999999</v>
      </c>
      <c r="J70" s="2">
        <v>207.42140000000001</v>
      </c>
      <c r="K70" s="2">
        <v>0</v>
      </c>
      <c r="L70" s="2">
        <v>0</v>
      </c>
    </row>
    <row r="71" spans="1:12" x14ac:dyDescent="0.35">
      <c r="A71" s="3" t="s">
        <v>1006</v>
      </c>
      <c r="B71" s="1" t="str">
        <f t="shared" si="2"/>
        <v>Lago Paranoa</v>
      </c>
      <c r="C71" s="1">
        <f t="shared" si="3"/>
        <v>-1705</v>
      </c>
      <c r="D71" s="2">
        <v>0</v>
      </c>
      <c r="E71" s="2">
        <v>2302.4499999999998</v>
      </c>
      <c r="F71" s="2">
        <v>0.4234</v>
      </c>
      <c r="G71" s="2">
        <v>4.3368000000000002</v>
      </c>
      <c r="H71" s="2">
        <v>9.7492000000000001</v>
      </c>
      <c r="I71" s="2">
        <v>0.86009999999999998</v>
      </c>
      <c r="J71" s="2">
        <v>12.8026</v>
      </c>
      <c r="K71" s="2">
        <v>2302.4499999999998</v>
      </c>
      <c r="L71" s="2">
        <v>0</v>
      </c>
    </row>
    <row r="72" spans="1:12" x14ac:dyDescent="0.35">
      <c r="A72" s="3" t="s">
        <v>1007</v>
      </c>
      <c r="B72" s="1" t="str">
        <f t="shared" si="2"/>
        <v>Corumba IV</v>
      </c>
      <c r="C72" s="1">
        <f t="shared" si="3"/>
        <v>-1704</v>
      </c>
      <c r="D72" s="2">
        <v>0</v>
      </c>
      <c r="E72" s="2">
        <v>0</v>
      </c>
      <c r="F72" s="2">
        <v>0</v>
      </c>
      <c r="G72" s="2">
        <v>2.0962000000000001</v>
      </c>
      <c r="H72" s="2">
        <v>172.22800000000001</v>
      </c>
      <c r="I72" s="2">
        <v>4.7601000000000004</v>
      </c>
      <c r="J72" s="2">
        <v>169.5641</v>
      </c>
      <c r="K72" s="2">
        <v>0</v>
      </c>
      <c r="L72" s="2">
        <v>0</v>
      </c>
    </row>
    <row r="73" spans="1:12" x14ac:dyDescent="0.35">
      <c r="A73" s="3" t="s">
        <v>1008</v>
      </c>
      <c r="B73" s="1" t="str">
        <f t="shared" si="2"/>
        <v>Lago Paranoa</v>
      </c>
      <c r="C73" s="1">
        <f t="shared" si="3"/>
        <v>-1704</v>
      </c>
      <c r="D73" s="2">
        <v>0</v>
      </c>
      <c r="E73" s="2">
        <v>2302.4499999999998</v>
      </c>
      <c r="F73" s="2">
        <v>0.4234</v>
      </c>
      <c r="G73" s="2">
        <v>3.8641000000000001</v>
      </c>
      <c r="H73" s="2">
        <v>7.4781000000000004</v>
      </c>
      <c r="I73" s="2">
        <v>1.2276</v>
      </c>
      <c r="J73" s="2">
        <v>9.6913</v>
      </c>
      <c r="K73" s="2">
        <v>2302.4499999999998</v>
      </c>
      <c r="L73" s="2">
        <v>0</v>
      </c>
    </row>
    <row r="74" spans="1:12" x14ac:dyDescent="0.35">
      <c r="A74" s="3" t="s">
        <v>1009</v>
      </c>
      <c r="B74" s="1" t="str">
        <f t="shared" si="2"/>
        <v>Corumba IV</v>
      </c>
      <c r="C74" s="1">
        <f t="shared" si="3"/>
        <v>-1703</v>
      </c>
      <c r="D74" s="2">
        <v>0</v>
      </c>
      <c r="E74" s="2">
        <v>0</v>
      </c>
      <c r="F74" s="2">
        <v>0</v>
      </c>
      <c r="G74" s="2">
        <v>3.5465</v>
      </c>
      <c r="H74" s="2">
        <v>141.85839999999999</v>
      </c>
      <c r="I74" s="2">
        <v>5.1083999999999996</v>
      </c>
      <c r="J74" s="2">
        <v>140.29660000000001</v>
      </c>
      <c r="K74" s="2">
        <v>0</v>
      </c>
      <c r="L74" s="2">
        <v>0</v>
      </c>
    </row>
    <row r="75" spans="1:12" x14ac:dyDescent="0.35">
      <c r="A75" s="3" t="s">
        <v>1010</v>
      </c>
      <c r="B75" s="1" t="str">
        <f t="shared" si="2"/>
        <v>Lago Paranoa</v>
      </c>
      <c r="C75" s="1">
        <f t="shared" si="3"/>
        <v>-1703</v>
      </c>
      <c r="D75" s="2">
        <v>0</v>
      </c>
      <c r="E75" s="2">
        <v>2302.4499999999998</v>
      </c>
      <c r="F75" s="2">
        <v>0.4234</v>
      </c>
      <c r="G75" s="2">
        <v>6.9962</v>
      </c>
      <c r="H75" s="2">
        <v>17.431000000000001</v>
      </c>
      <c r="I75" s="2">
        <v>1.2971999999999999</v>
      </c>
      <c r="J75" s="2">
        <v>22.706800000000001</v>
      </c>
      <c r="K75" s="2">
        <v>2302.4499999999998</v>
      </c>
      <c r="L75" s="2">
        <v>0</v>
      </c>
    </row>
    <row r="76" spans="1:12" x14ac:dyDescent="0.35">
      <c r="A76" s="3" t="s">
        <v>1011</v>
      </c>
      <c r="B76" s="1" t="str">
        <f t="shared" si="2"/>
        <v>Corumba IV</v>
      </c>
      <c r="C76" s="1">
        <f t="shared" si="3"/>
        <v>-1702</v>
      </c>
      <c r="D76" s="2">
        <v>0</v>
      </c>
      <c r="E76" s="2">
        <v>0</v>
      </c>
      <c r="F76" s="2">
        <v>0</v>
      </c>
      <c r="G76" s="2">
        <v>1.502</v>
      </c>
      <c r="H76" s="2">
        <v>122.4383</v>
      </c>
      <c r="I76" s="2">
        <v>5.1083999999999996</v>
      </c>
      <c r="J76" s="2">
        <v>118.83199999999999</v>
      </c>
      <c r="K76" s="2">
        <v>0</v>
      </c>
      <c r="L76" s="2">
        <v>0</v>
      </c>
    </row>
    <row r="77" spans="1:12" x14ac:dyDescent="0.35">
      <c r="A77" s="3" t="s">
        <v>1012</v>
      </c>
      <c r="B77" s="1" t="str">
        <f t="shared" si="2"/>
        <v>Lago Paranoa</v>
      </c>
      <c r="C77" s="1">
        <f t="shared" si="3"/>
        <v>-1702</v>
      </c>
      <c r="D77" s="2">
        <v>0</v>
      </c>
      <c r="E77" s="2">
        <v>2302.4499999999998</v>
      </c>
      <c r="F77" s="2">
        <v>0.4234</v>
      </c>
      <c r="G77" s="2">
        <v>4.3975999999999997</v>
      </c>
      <c r="H77" s="2">
        <v>8.2600999999999996</v>
      </c>
      <c r="I77" s="2">
        <v>1.2971999999999999</v>
      </c>
      <c r="J77" s="2">
        <v>10.937200000000001</v>
      </c>
      <c r="K77" s="2">
        <v>2302.4499999999998</v>
      </c>
      <c r="L77" s="2">
        <v>0</v>
      </c>
    </row>
    <row r="78" spans="1:12" x14ac:dyDescent="0.35">
      <c r="A78" s="3" t="s">
        <v>1013</v>
      </c>
      <c r="B78" s="1" t="str">
        <f t="shared" si="2"/>
        <v>Corumba IV</v>
      </c>
      <c r="C78" s="1">
        <f t="shared" si="3"/>
        <v>-1701</v>
      </c>
      <c r="D78" s="2">
        <v>0</v>
      </c>
      <c r="E78" s="2">
        <v>0</v>
      </c>
      <c r="F78" s="2">
        <v>0</v>
      </c>
      <c r="G78" s="2">
        <v>3.6175000000000002</v>
      </c>
      <c r="H78" s="2">
        <v>169.01050000000001</v>
      </c>
      <c r="I78" s="2">
        <v>5.1083999999999996</v>
      </c>
      <c r="J78" s="2">
        <v>167.5196</v>
      </c>
      <c r="K78" s="2">
        <v>0</v>
      </c>
      <c r="L78" s="2">
        <v>0</v>
      </c>
    </row>
    <row r="79" spans="1:12" x14ac:dyDescent="0.35">
      <c r="A79" s="3" t="s">
        <v>1014</v>
      </c>
      <c r="B79" s="1" t="str">
        <f t="shared" si="2"/>
        <v>Lago Paranoa</v>
      </c>
      <c r="C79" s="1">
        <f t="shared" si="3"/>
        <v>-1701</v>
      </c>
      <c r="D79" s="2">
        <v>0</v>
      </c>
      <c r="E79" s="2">
        <v>2302.4499999999998</v>
      </c>
      <c r="F79" s="2">
        <v>0.4234</v>
      </c>
      <c r="G79" s="2">
        <v>6.1769999999999996</v>
      </c>
      <c r="H79" s="2">
        <v>15.2232</v>
      </c>
      <c r="I79" s="2">
        <v>1.2971999999999999</v>
      </c>
      <c r="J79" s="2">
        <v>19.679600000000001</v>
      </c>
      <c r="K79" s="2">
        <v>2302.4499999999998</v>
      </c>
      <c r="L79" s="2">
        <v>0</v>
      </c>
    </row>
    <row r="80" spans="1:12" x14ac:dyDescent="0.35">
      <c r="A80" s="3" t="s">
        <v>1015</v>
      </c>
      <c r="B80" s="1" t="str">
        <f t="shared" si="2"/>
        <v>Corumba IV</v>
      </c>
      <c r="C80" s="1">
        <f t="shared" si="3"/>
        <v>-1700</v>
      </c>
      <c r="D80" s="2">
        <v>0</v>
      </c>
      <c r="E80" s="2">
        <v>0</v>
      </c>
      <c r="F80" s="2">
        <v>0</v>
      </c>
      <c r="G80" s="2">
        <v>1.9459</v>
      </c>
      <c r="H80" s="2">
        <v>119.8411</v>
      </c>
      <c r="I80" s="2">
        <v>5.1215000000000002</v>
      </c>
      <c r="J80" s="2">
        <v>116.6656</v>
      </c>
      <c r="K80" s="2">
        <v>0</v>
      </c>
      <c r="L80" s="2">
        <v>0</v>
      </c>
    </row>
    <row r="81" spans="1:12" x14ac:dyDescent="0.35">
      <c r="A81" s="3" t="s">
        <v>1016</v>
      </c>
      <c r="B81" s="1" t="str">
        <f t="shared" si="2"/>
        <v>Lago Paranoa</v>
      </c>
      <c r="C81" s="1">
        <f t="shared" si="3"/>
        <v>-1700</v>
      </c>
      <c r="D81" s="2">
        <v>0</v>
      </c>
      <c r="E81" s="2">
        <v>2302.4499999999998</v>
      </c>
      <c r="F81" s="2">
        <v>0.4234</v>
      </c>
      <c r="G81" s="2">
        <v>4.4630000000000001</v>
      </c>
      <c r="H81" s="2">
        <v>8.8399000000000001</v>
      </c>
      <c r="I81" s="2">
        <v>1.2466999999999999</v>
      </c>
      <c r="J81" s="2">
        <v>11.6328</v>
      </c>
      <c r="K81" s="2">
        <v>2302.4499999999998</v>
      </c>
      <c r="L81" s="2">
        <v>0</v>
      </c>
    </row>
    <row r="82" spans="1:12" x14ac:dyDescent="0.35">
      <c r="A82" s="3" t="s">
        <v>1017</v>
      </c>
      <c r="B82" s="1" t="str">
        <f t="shared" si="2"/>
        <v>Corumba IV</v>
      </c>
      <c r="C82" s="1">
        <f t="shared" si="3"/>
        <v>-1699</v>
      </c>
      <c r="D82" s="2">
        <v>0</v>
      </c>
      <c r="E82" s="2">
        <v>0</v>
      </c>
      <c r="F82" s="2">
        <v>0</v>
      </c>
      <c r="G82" s="2">
        <v>1.1970000000000001</v>
      </c>
      <c r="H82" s="2">
        <v>108.8009</v>
      </c>
      <c r="I82" s="2">
        <v>4.5877999999999997</v>
      </c>
      <c r="J82" s="2">
        <v>105.4102</v>
      </c>
      <c r="K82" s="2">
        <v>0</v>
      </c>
      <c r="L82" s="2">
        <v>0</v>
      </c>
    </row>
    <row r="83" spans="1:12" x14ac:dyDescent="0.35">
      <c r="A83" s="3" t="s">
        <v>1018</v>
      </c>
      <c r="B83" s="1" t="str">
        <f t="shared" si="2"/>
        <v>Lago Paranoa</v>
      </c>
      <c r="C83" s="1">
        <f t="shared" si="3"/>
        <v>-1699</v>
      </c>
      <c r="D83" s="2">
        <v>0</v>
      </c>
      <c r="E83" s="2">
        <v>2302.4499999999998</v>
      </c>
      <c r="F83" s="2">
        <v>0.4234</v>
      </c>
      <c r="G83" s="2">
        <v>3.9079999999999999</v>
      </c>
      <c r="H83" s="2">
        <v>6.7573999999999996</v>
      </c>
      <c r="I83" s="2">
        <v>1.1693</v>
      </c>
      <c r="J83" s="2">
        <v>9.0728000000000009</v>
      </c>
      <c r="K83" s="2">
        <v>2302.4499999999998</v>
      </c>
      <c r="L83" s="2">
        <v>0</v>
      </c>
    </row>
    <row r="84" spans="1:12" x14ac:dyDescent="0.35">
      <c r="A84" s="3" t="s">
        <v>1019</v>
      </c>
      <c r="B84" s="1" t="str">
        <f t="shared" si="2"/>
        <v>Corumba IV</v>
      </c>
      <c r="C84" s="1">
        <f t="shared" si="3"/>
        <v>-1698</v>
      </c>
      <c r="D84" s="2">
        <v>0</v>
      </c>
      <c r="E84" s="2">
        <v>0</v>
      </c>
      <c r="F84" s="2">
        <v>0</v>
      </c>
      <c r="G84" s="2">
        <v>0.81210000000000004</v>
      </c>
      <c r="H84" s="2">
        <v>104.6572</v>
      </c>
      <c r="I84" s="2">
        <v>4.5877999999999997</v>
      </c>
      <c r="J84" s="2">
        <v>100.8815</v>
      </c>
      <c r="K84" s="2">
        <v>0</v>
      </c>
      <c r="L84" s="2">
        <v>0</v>
      </c>
    </row>
    <row r="85" spans="1:12" x14ac:dyDescent="0.35">
      <c r="A85" s="3" t="s">
        <v>1020</v>
      </c>
      <c r="B85" s="1" t="str">
        <f t="shared" si="2"/>
        <v>Lago Paranoa</v>
      </c>
      <c r="C85" s="1">
        <f t="shared" si="3"/>
        <v>-1698</v>
      </c>
      <c r="D85" s="2">
        <v>0</v>
      </c>
      <c r="E85" s="2">
        <v>2302.4499999999998</v>
      </c>
      <c r="F85" s="2">
        <v>0.4234</v>
      </c>
      <c r="G85" s="2">
        <v>3.3614000000000002</v>
      </c>
      <c r="H85" s="2">
        <v>5.5964</v>
      </c>
      <c r="I85" s="2">
        <v>1.1693</v>
      </c>
      <c r="J85" s="2">
        <v>7.3651</v>
      </c>
      <c r="K85" s="2">
        <v>2302.4499999999998</v>
      </c>
      <c r="L85" s="2">
        <v>0</v>
      </c>
    </row>
    <row r="86" spans="1:12" x14ac:dyDescent="0.35">
      <c r="A86" s="3" t="s">
        <v>1021</v>
      </c>
      <c r="B86" s="1" t="str">
        <f t="shared" si="2"/>
        <v>Corumba IV</v>
      </c>
      <c r="C86" s="1">
        <f t="shared" si="3"/>
        <v>-1697</v>
      </c>
      <c r="D86" s="2">
        <v>0</v>
      </c>
      <c r="E86" s="2">
        <v>0</v>
      </c>
      <c r="F86" s="2">
        <v>0</v>
      </c>
      <c r="G86" s="2">
        <v>0.56399999999999995</v>
      </c>
      <c r="H86" s="2">
        <v>94.555300000000003</v>
      </c>
      <c r="I86" s="2">
        <v>4.5877999999999997</v>
      </c>
      <c r="J86" s="2">
        <v>90.531499999999994</v>
      </c>
      <c r="K86" s="2">
        <v>0</v>
      </c>
      <c r="L86" s="2">
        <v>0</v>
      </c>
    </row>
    <row r="87" spans="1:12" x14ac:dyDescent="0.35">
      <c r="A87" s="3" t="s">
        <v>1022</v>
      </c>
      <c r="B87" s="1" t="str">
        <f t="shared" si="2"/>
        <v>Lago Paranoa</v>
      </c>
      <c r="C87" s="1">
        <f t="shared" si="3"/>
        <v>-1697</v>
      </c>
      <c r="D87" s="2">
        <v>0</v>
      </c>
      <c r="E87" s="2">
        <v>2302.4499999999998</v>
      </c>
      <c r="F87" s="2">
        <v>0.4234</v>
      </c>
      <c r="G87" s="2">
        <v>3.0379</v>
      </c>
      <c r="H87" s="2">
        <v>5.0872999999999999</v>
      </c>
      <c r="I87" s="2">
        <v>1.1693</v>
      </c>
      <c r="J87" s="2">
        <v>6.5326000000000004</v>
      </c>
      <c r="K87" s="2">
        <v>2302.4499999999998</v>
      </c>
      <c r="L87" s="2">
        <v>0</v>
      </c>
    </row>
    <row r="88" spans="1:12" x14ac:dyDescent="0.35">
      <c r="A88" s="3" t="s">
        <v>1023</v>
      </c>
      <c r="B88" s="1" t="str">
        <f t="shared" si="2"/>
        <v>Corumba IV</v>
      </c>
      <c r="C88" s="1">
        <f t="shared" si="3"/>
        <v>-1696</v>
      </c>
      <c r="D88" s="2">
        <v>0</v>
      </c>
      <c r="E88" s="2">
        <v>0</v>
      </c>
      <c r="F88" s="2">
        <v>0</v>
      </c>
      <c r="G88" s="2">
        <v>0.3629</v>
      </c>
      <c r="H88" s="2">
        <v>86.311000000000007</v>
      </c>
      <c r="I88" s="2">
        <v>4.8657000000000004</v>
      </c>
      <c r="J88" s="2">
        <v>81.808199999999999</v>
      </c>
      <c r="K88" s="2">
        <v>0</v>
      </c>
      <c r="L88" s="2">
        <v>0</v>
      </c>
    </row>
    <row r="89" spans="1:12" x14ac:dyDescent="0.35">
      <c r="A89" s="3" t="s">
        <v>1024</v>
      </c>
      <c r="B89" s="1" t="str">
        <f t="shared" si="2"/>
        <v>Lago Paranoa</v>
      </c>
      <c r="C89" s="1">
        <f t="shared" si="3"/>
        <v>-1696</v>
      </c>
      <c r="D89" s="2">
        <v>0</v>
      </c>
      <c r="E89" s="2">
        <v>2302.4499999999998</v>
      </c>
      <c r="F89" s="2">
        <v>0.4234</v>
      </c>
      <c r="G89" s="2">
        <v>2.9508999999999999</v>
      </c>
      <c r="H89" s="2">
        <v>4.4093999999999998</v>
      </c>
      <c r="I89" s="2">
        <v>1.1990000000000001</v>
      </c>
      <c r="J89" s="2">
        <v>5.7380000000000004</v>
      </c>
      <c r="K89" s="2">
        <v>2302.4499999999998</v>
      </c>
      <c r="L89" s="2">
        <v>0</v>
      </c>
    </row>
    <row r="90" spans="1:12" x14ac:dyDescent="0.35">
      <c r="A90" s="3" t="s">
        <v>1025</v>
      </c>
      <c r="B90" s="1" t="str">
        <f t="shared" si="2"/>
        <v>Corumba IV</v>
      </c>
      <c r="C90" s="1">
        <f t="shared" si="3"/>
        <v>-1695</v>
      </c>
      <c r="D90" s="2">
        <v>0</v>
      </c>
      <c r="E90" s="2">
        <v>0</v>
      </c>
      <c r="F90" s="2">
        <v>0</v>
      </c>
      <c r="G90" s="2">
        <v>0.3629</v>
      </c>
      <c r="H90" s="2">
        <v>75.085099999999997</v>
      </c>
      <c r="I90" s="2">
        <v>4.5734000000000004</v>
      </c>
      <c r="J90" s="2">
        <v>70.874600000000001</v>
      </c>
      <c r="K90" s="2">
        <v>0</v>
      </c>
      <c r="L90" s="2">
        <v>0</v>
      </c>
    </row>
    <row r="91" spans="1:12" x14ac:dyDescent="0.35">
      <c r="A91" s="3" t="s">
        <v>1026</v>
      </c>
      <c r="B91" s="1" t="str">
        <f t="shared" si="2"/>
        <v>Lago Paranoa</v>
      </c>
      <c r="C91" s="1">
        <f t="shared" si="3"/>
        <v>-1695</v>
      </c>
      <c r="D91" s="2">
        <v>0</v>
      </c>
      <c r="E91" s="2">
        <v>2302.4499999999998</v>
      </c>
      <c r="F91" s="2">
        <v>0.4234</v>
      </c>
      <c r="G91" s="2">
        <v>3.0356000000000001</v>
      </c>
      <c r="H91" s="2">
        <v>4.7446000000000002</v>
      </c>
      <c r="I91" s="2">
        <v>1.1022000000000001</v>
      </c>
      <c r="J91" s="2">
        <v>6.2545999999999999</v>
      </c>
      <c r="K91" s="2">
        <v>2302.4499999999998</v>
      </c>
      <c r="L91" s="2">
        <v>0</v>
      </c>
    </row>
    <row r="92" spans="1:12" x14ac:dyDescent="0.35">
      <c r="A92" s="3" t="s">
        <v>1027</v>
      </c>
      <c r="B92" s="1" t="str">
        <f t="shared" si="2"/>
        <v>Corumba IV</v>
      </c>
      <c r="C92" s="1">
        <f t="shared" si="3"/>
        <v>-1694</v>
      </c>
      <c r="D92" s="2">
        <v>0</v>
      </c>
      <c r="E92" s="2">
        <v>0</v>
      </c>
      <c r="F92" s="2">
        <v>0</v>
      </c>
      <c r="G92" s="2">
        <v>0.3629</v>
      </c>
      <c r="H92" s="2">
        <v>69.835400000000007</v>
      </c>
      <c r="I92" s="2">
        <v>5.5640999999999998</v>
      </c>
      <c r="J92" s="2">
        <v>64.634200000000007</v>
      </c>
      <c r="K92" s="2">
        <v>0</v>
      </c>
      <c r="L92" s="2">
        <v>0</v>
      </c>
    </row>
    <row r="93" spans="1:12" x14ac:dyDescent="0.35">
      <c r="A93" s="3" t="s">
        <v>1028</v>
      </c>
      <c r="B93" s="1" t="str">
        <f t="shared" si="2"/>
        <v>Lago Paranoa</v>
      </c>
      <c r="C93" s="1">
        <f t="shared" si="3"/>
        <v>-1694</v>
      </c>
      <c r="D93" s="2">
        <v>0</v>
      </c>
      <c r="E93" s="2">
        <v>2302.4499999999998</v>
      </c>
      <c r="F93" s="2">
        <v>0.4234</v>
      </c>
      <c r="G93" s="2">
        <v>3.0045000000000002</v>
      </c>
      <c r="H93" s="2">
        <v>4.9936999999999996</v>
      </c>
      <c r="I93" s="2">
        <v>1.343</v>
      </c>
      <c r="J93" s="2">
        <v>6.2319000000000004</v>
      </c>
      <c r="K93" s="2">
        <v>2302.4499999999998</v>
      </c>
      <c r="L93" s="2">
        <v>0</v>
      </c>
    </row>
    <row r="94" spans="1:12" x14ac:dyDescent="0.35">
      <c r="A94" s="3" t="s">
        <v>1029</v>
      </c>
      <c r="B94" s="1" t="str">
        <f t="shared" si="2"/>
        <v>Corumba IV</v>
      </c>
      <c r="C94" s="1">
        <f t="shared" si="3"/>
        <v>-1693</v>
      </c>
      <c r="D94" s="2">
        <v>0</v>
      </c>
      <c r="E94" s="2">
        <v>0</v>
      </c>
      <c r="F94" s="2">
        <v>0</v>
      </c>
      <c r="G94" s="2">
        <v>0.3629</v>
      </c>
      <c r="H94" s="2">
        <v>64.662599999999998</v>
      </c>
      <c r="I94" s="2">
        <v>5.5640999999999998</v>
      </c>
      <c r="J94" s="2">
        <v>59.461399999999998</v>
      </c>
      <c r="K94" s="2">
        <v>0</v>
      </c>
      <c r="L94" s="2">
        <v>0</v>
      </c>
    </row>
    <row r="95" spans="1:12" x14ac:dyDescent="0.35">
      <c r="A95" s="3" t="s">
        <v>1030</v>
      </c>
      <c r="B95" s="1" t="str">
        <f t="shared" si="2"/>
        <v>Lago Paranoa</v>
      </c>
      <c r="C95" s="1">
        <f t="shared" si="3"/>
        <v>-1693</v>
      </c>
      <c r="D95" s="2">
        <v>0</v>
      </c>
      <c r="E95" s="2">
        <v>2302.4499999999998</v>
      </c>
      <c r="F95" s="2">
        <v>0.4234</v>
      </c>
      <c r="G95" s="2">
        <v>2.5834000000000001</v>
      </c>
      <c r="H95" s="2">
        <v>4.3452000000000002</v>
      </c>
      <c r="I95" s="2">
        <v>1.343</v>
      </c>
      <c r="J95" s="2">
        <v>5.1623000000000001</v>
      </c>
      <c r="K95" s="2">
        <v>2302.4499999999998</v>
      </c>
      <c r="L95" s="2">
        <v>0</v>
      </c>
    </row>
    <row r="96" spans="1:12" x14ac:dyDescent="0.35">
      <c r="A96" s="3" t="s">
        <v>1031</v>
      </c>
      <c r="B96" s="1" t="str">
        <f t="shared" si="2"/>
        <v>Corumba IV</v>
      </c>
      <c r="C96" s="1">
        <f t="shared" si="3"/>
        <v>-1692</v>
      </c>
      <c r="D96" s="2">
        <v>0</v>
      </c>
      <c r="E96" s="2">
        <v>0</v>
      </c>
      <c r="F96" s="2">
        <v>0</v>
      </c>
      <c r="G96" s="2">
        <v>0.3629</v>
      </c>
      <c r="H96" s="2">
        <v>61.493499999999997</v>
      </c>
      <c r="I96" s="2">
        <v>5.5640999999999998</v>
      </c>
      <c r="J96" s="2">
        <v>56.292299999999997</v>
      </c>
      <c r="K96" s="2">
        <v>0</v>
      </c>
      <c r="L96" s="2">
        <v>0</v>
      </c>
    </row>
    <row r="97" spans="1:12" x14ac:dyDescent="0.35">
      <c r="A97" s="3" t="s">
        <v>1032</v>
      </c>
      <c r="B97" s="1" t="str">
        <f t="shared" si="2"/>
        <v>Lago Paranoa</v>
      </c>
      <c r="C97" s="1">
        <f t="shared" si="3"/>
        <v>-1692</v>
      </c>
      <c r="D97" s="2">
        <v>0</v>
      </c>
      <c r="E97" s="2">
        <v>2302.4499999999998</v>
      </c>
      <c r="F97" s="2">
        <v>0.4234</v>
      </c>
      <c r="G97" s="2">
        <v>3.0947</v>
      </c>
      <c r="H97" s="2">
        <v>4.1707000000000001</v>
      </c>
      <c r="I97" s="2">
        <v>1.343</v>
      </c>
      <c r="J97" s="2">
        <v>5.4991000000000003</v>
      </c>
      <c r="K97" s="2">
        <v>2302.4499999999998</v>
      </c>
      <c r="L97" s="2">
        <v>0</v>
      </c>
    </row>
    <row r="98" spans="1:12" x14ac:dyDescent="0.35">
      <c r="A98" s="3" t="s">
        <v>1033</v>
      </c>
      <c r="B98" s="1" t="str">
        <f t="shared" si="2"/>
        <v>Corumba IV</v>
      </c>
      <c r="C98" s="1">
        <f t="shared" si="3"/>
        <v>-1691</v>
      </c>
      <c r="D98" s="2">
        <v>0</v>
      </c>
      <c r="E98" s="2">
        <v>0</v>
      </c>
      <c r="F98" s="2">
        <v>0</v>
      </c>
      <c r="G98" s="2">
        <v>0.3629</v>
      </c>
      <c r="H98" s="2">
        <v>57.058599999999998</v>
      </c>
      <c r="I98" s="2">
        <v>5.6459999999999999</v>
      </c>
      <c r="J98" s="2">
        <v>51.775399999999998</v>
      </c>
      <c r="K98" s="2">
        <v>0</v>
      </c>
      <c r="L98" s="2">
        <v>0</v>
      </c>
    </row>
    <row r="99" spans="1:12" x14ac:dyDescent="0.35">
      <c r="A99" s="3" t="s">
        <v>1034</v>
      </c>
      <c r="B99" s="1" t="str">
        <f t="shared" si="2"/>
        <v>Lago Paranoa</v>
      </c>
      <c r="C99" s="1">
        <f t="shared" si="3"/>
        <v>-1691</v>
      </c>
      <c r="D99" s="2">
        <v>0</v>
      </c>
      <c r="E99" s="2">
        <v>2302.4499999999998</v>
      </c>
      <c r="F99" s="2">
        <v>0.4234</v>
      </c>
      <c r="G99" s="2">
        <v>2.7059000000000002</v>
      </c>
      <c r="H99" s="2">
        <v>4.1612999999999998</v>
      </c>
      <c r="I99" s="2">
        <v>1.3427</v>
      </c>
      <c r="J99" s="2">
        <v>5.1012000000000004</v>
      </c>
      <c r="K99" s="2">
        <v>2302.4499999999998</v>
      </c>
      <c r="L99" s="2">
        <v>0</v>
      </c>
    </row>
    <row r="100" spans="1:12" x14ac:dyDescent="0.35">
      <c r="A100" s="3" t="s">
        <v>1035</v>
      </c>
      <c r="B100" s="1" t="str">
        <f t="shared" si="2"/>
        <v>Corumba IV</v>
      </c>
      <c r="C100" s="1">
        <f t="shared" si="3"/>
        <v>-1690</v>
      </c>
      <c r="D100" s="2">
        <v>0</v>
      </c>
      <c r="E100" s="2">
        <v>0</v>
      </c>
      <c r="F100" s="2">
        <v>0</v>
      </c>
      <c r="G100" s="2">
        <v>0.3629</v>
      </c>
      <c r="H100" s="2">
        <v>51.77</v>
      </c>
      <c r="I100" s="2">
        <v>5.6597</v>
      </c>
      <c r="J100" s="2">
        <v>46.473199999999999</v>
      </c>
      <c r="K100" s="2">
        <v>0</v>
      </c>
      <c r="L100" s="2">
        <v>0</v>
      </c>
    </row>
    <row r="101" spans="1:12" x14ac:dyDescent="0.35">
      <c r="A101" s="3" t="s">
        <v>1036</v>
      </c>
      <c r="B101" s="1" t="str">
        <f t="shared" si="2"/>
        <v>Lago Paranoa</v>
      </c>
      <c r="C101" s="1">
        <f t="shared" si="3"/>
        <v>-1690</v>
      </c>
      <c r="D101" s="2">
        <v>0</v>
      </c>
      <c r="E101" s="2">
        <v>2302.4499999999998</v>
      </c>
      <c r="F101" s="2">
        <v>0.4234</v>
      </c>
      <c r="G101" s="2">
        <v>2.8317000000000001</v>
      </c>
      <c r="H101" s="2">
        <v>4.2428999999999997</v>
      </c>
      <c r="I101" s="2">
        <v>1.3426</v>
      </c>
      <c r="J101" s="2">
        <v>5.3086000000000002</v>
      </c>
      <c r="K101" s="2">
        <v>2302.4499999999998</v>
      </c>
      <c r="L101" s="2">
        <v>0</v>
      </c>
    </row>
    <row r="102" spans="1:12" x14ac:dyDescent="0.35">
      <c r="A102" s="3" t="s">
        <v>1037</v>
      </c>
      <c r="B102" s="1" t="str">
        <f t="shared" si="2"/>
        <v>Corumba IV</v>
      </c>
      <c r="C102" s="1">
        <f t="shared" si="3"/>
        <v>-1689</v>
      </c>
      <c r="D102" s="2">
        <v>0</v>
      </c>
      <c r="E102" s="2">
        <v>0</v>
      </c>
      <c r="F102" s="2">
        <v>0</v>
      </c>
      <c r="G102" s="2">
        <v>0.3629</v>
      </c>
      <c r="H102" s="2">
        <v>48.517099999999999</v>
      </c>
      <c r="I102" s="2">
        <v>5.6597</v>
      </c>
      <c r="J102" s="2">
        <v>43.220199999999998</v>
      </c>
      <c r="K102" s="2">
        <v>0</v>
      </c>
      <c r="L102" s="2">
        <v>0</v>
      </c>
    </row>
    <row r="103" spans="1:12" x14ac:dyDescent="0.35">
      <c r="A103" s="3" t="s">
        <v>1038</v>
      </c>
      <c r="B103" s="1" t="str">
        <f t="shared" si="2"/>
        <v>Lago Paranoa</v>
      </c>
      <c r="C103" s="1">
        <f t="shared" si="3"/>
        <v>-1689</v>
      </c>
      <c r="D103" s="2">
        <v>0</v>
      </c>
      <c r="E103" s="2">
        <v>2302.4499999999998</v>
      </c>
      <c r="F103" s="2">
        <v>0.4234</v>
      </c>
      <c r="G103" s="2">
        <v>3.3791000000000002</v>
      </c>
      <c r="H103" s="2">
        <v>4.1529999999999996</v>
      </c>
      <c r="I103" s="2">
        <v>1.3426</v>
      </c>
      <c r="J103" s="2">
        <v>5.7660999999999998</v>
      </c>
      <c r="K103" s="2">
        <v>2302.4499999999998</v>
      </c>
      <c r="L103" s="2">
        <v>0</v>
      </c>
    </row>
    <row r="104" spans="1:12" x14ac:dyDescent="0.35">
      <c r="A104" s="3" t="s">
        <v>1039</v>
      </c>
      <c r="B104" s="1" t="str">
        <f t="shared" si="2"/>
        <v>Corumba IV</v>
      </c>
      <c r="C104" s="1">
        <f t="shared" si="3"/>
        <v>-1688</v>
      </c>
      <c r="D104" s="2">
        <v>0</v>
      </c>
      <c r="E104" s="2">
        <v>0</v>
      </c>
      <c r="F104" s="2">
        <v>0</v>
      </c>
      <c r="G104" s="2">
        <v>0.3629</v>
      </c>
      <c r="H104" s="2">
        <v>45.9544</v>
      </c>
      <c r="I104" s="2">
        <v>5.6597</v>
      </c>
      <c r="J104" s="2">
        <v>40.657600000000002</v>
      </c>
      <c r="K104" s="2">
        <v>0</v>
      </c>
      <c r="L104" s="2">
        <v>0</v>
      </c>
    </row>
    <row r="105" spans="1:12" x14ac:dyDescent="0.35">
      <c r="A105" s="3" t="s">
        <v>1040</v>
      </c>
      <c r="B105" s="1" t="str">
        <f t="shared" si="2"/>
        <v>Lago Paranoa</v>
      </c>
      <c r="C105" s="1">
        <f t="shared" si="3"/>
        <v>-1688</v>
      </c>
      <c r="D105" s="2">
        <v>0</v>
      </c>
      <c r="E105" s="2">
        <v>2302.4499999999998</v>
      </c>
      <c r="F105" s="2">
        <v>0.4234</v>
      </c>
      <c r="G105" s="2">
        <v>3.7873999999999999</v>
      </c>
      <c r="H105" s="2">
        <v>4.2198000000000002</v>
      </c>
      <c r="I105" s="2">
        <v>1.3426</v>
      </c>
      <c r="J105" s="2">
        <v>6.2412000000000001</v>
      </c>
      <c r="K105" s="2">
        <v>2302.4499999999998</v>
      </c>
      <c r="L105" s="2">
        <v>0</v>
      </c>
    </row>
    <row r="106" spans="1:12" x14ac:dyDescent="0.35">
      <c r="A106" s="3" t="s">
        <v>1041</v>
      </c>
      <c r="B106" s="1" t="str">
        <f t="shared" si="2"/>
        <v>Corumba IV</v>
      </c>
      <c r="C106" s="1">
        <f t="shared" si="3"/>
        <v>-1687</v>
      </c>
      <c r="D106" s="2">
        <v>0</v>
      </c>
      <c r="E106" s="2">
        <v>0</v>
      </c>
      <c r="F106" s="2">
        <v>0</v>
      </c>
      <c r="G106" s="2">
        <v>0.3629</v>
      </c>
      <c r="H106" s="2">
        <v>42.570999999999998</v>
      </c>
      <c r="I106" s="2">
        <v>5.8762999999999996</v>
      </c>
      <c r="J106" s="2">
        <v>37.057600000000001</v>
      </c>
      <c r="K106" s="2">
        <v>0</v>
      </c>
      <c r="L106" s="2">
        <v>0</v>
      </c>
    </row>
    <row r="107" spans="1:12" x14ac:dyDescent="0.35">
      <c r="A107" s="3" t="s">
        <v>1042</v>
      </c>
      <c r="B107" s="1" t="str">
        <f t="shared" si="2"/>
        <v>Lago Paranoa</v>
      </c>
      <c r="C107" s="1">
        <f t="shared" si="3"/>
        <v>-1687</v>
      </c>
      <c r="D107" s="2">
        <v>0</v>
      </c>
      <c r="E107" s="2">
        <v>2302.4499999999998</v>
      </c>
      <c r="F107" s="2">
        <v>0.4234</v>
      </c>
      <c r="G107" s="2">
        <v>3.3847</v>
      </c>
      <c r="H107" s="2">
        <v>3.9794999999999998</v>
      </c>
      <c r="I107" s="2">
        <v>1.4874000000000001</v>
      </c>
      <c r="J107" s="2">
        <v>5.4534000000000002</v>
      </c>
      <c r="K107" s="2">
        <v>2302.4499999999998</v>
      </c>
      <c r="L107" s="2">
        <v>0</v>
      </c>
    </row>
    <row r="108" spans="1:12" x14ac:dyDescent="0.35">
      <c r="A108" s="3" t="s">
        <v>1043</v>
      </c>
      <c r="B108" s="1" t="str">
        <f t="shared" si="2"/>
        <v>Corumba IV</v>
      </c>
      <c r="C108" s="1">
        <f t="shared" si="3"/>
        <v>-1686</v>
      </c>
      <c r="D108" s="2">
        <v>0</v>
      </c>
      <c r="E108" s="2">
        <v>0</v>
      </c>
      <c r="F108" s="2">
        <v>0</v>
      </c>
      <c r="G108" s="2">
        <v>0.3629</v>
      </c>
      <c r="H108" s="2">
        <v>40.302999999999997</v>
      </c>
      <c r="I108" s="2">
        <v>5.4048999999999996</v>
      </c>
      <c r="J108" s="2">
        <v>35.261000000000003</v>
      </c>
      <c r="K108" s="2">
        <v>0</v>
      </c>
      <c r="L108" s="2">
        <v>0</v>
      </c>
    </row>
    <row r="109" spans="1:12" x14ac:dyDescent="0.35">
      <c r="A109" s="3" t="s">
        <v>1044</v>
      </c>
      <c r="B109" s="1" t="str">
        <f t="shared" si="2"/>
        <v>Lago Paranoa</v>
      </c>
      <c r="C109" s="1">
        <f t="shared" si="3"/>
        <v>-1686</v>
      </c>
      <c r="D109" s="2">
        <v>0</v>
      </c>
      <c r="E109" s="2">
        <v>2302.4499999999998</v>
      </c>
      <c r="F109" s="2">
        <v>0.4234</v>
      </c>
      <c r="G109" s="2">
        <v>3.2551999999999999</v>
      </c>
      <c r="H109" s="2">
        <v>3.9306000000000001</v>
      </c>
      <c r="I109" s="2">
        <v>1.4232</v>
      </c>
      <c r="J109" s="2">
        <v>5.3391999999999999</v>
      </c>
      <c r="K109" s="2">
        <v>2302.4499999999998</v>
      </c>
      <c r="L109" s="2">
        <v>0</v>
      </c>
    </row>
    <row r="110" spans="1:12" x14ac:dyDescent="0.35">
      <c r="A110" s="3" t="s">
        <v>1045</v>
      </c>
      <c r="B110" s="1" t="str">
        <f t="shared" si="2"/>
        <v>Corumba IV</v>
      </c>
      <c r="C110" s="1">
        <f t="shared" si="3"/>
        <v>-1685</v>
      </c>
      <c r="D110" s="2">
        <v>0</v>
      </c>
      <c r="E110" s="2">
        <v>0</v>
      </c>
      <c r="F110" s="2">
        <v>0</v>
      </c>
      <c r="G110" s="2">
        <v>0.3629</v>
      </c>
      <c r="H110" s="2">
        <v>38.847999999999999</v>
      </c>
      <c r="I110" s="2">
        <v>5.4048999999999996</v>
      </c>
      <c r="J110" s="2">
        <v>33.805999999999997</v>
      </c>
      <c r="K110" s="2">
        <v>0</v>
      </c>
      <c r="L110" s="2">
        <v>0</v>
      </c>
    </row>
    <row r="111" spans="1:12" x14ac:dyDescent="0.35">
      <c r="A111" s="3" t="s">
        <v>1046</v>
      </c>
      <c r="B111" s="1" t="str">
        <f t="shared" si="2"/>
        <v>Lago Paranoa</v>
      </c>
      <c r="C111" s="1">
        <f t="shared" si="3"/>
        <v>-1685</v>
      </c>
      <c r="D111" s="2">
        <v>0</v>
      </c>
      <c r="E111" s="2">
        <v>2302.4499999999998</v>
      </c>
      <c r="F111" s="2">
        <v>0.4234</v>
      </c>
      <c r="G111" s="2">
        <v>2.6141999999999999</v>
      </c>
      <c r="H111" s="2">
        <v>3.7839999999999998</v>
      </c>
      <c r="I111" s="2">
        <v>1.4232</v>
      </c>
      <c r="J111" s="2">
        <v>4.5514999999999999</v>
      </c>
      <c r="K111" s="2">
        <v>2302.4499999999998</v>
      </c>
      <c r="L111" s="2">
        <v>0</v>
      </c>
    </row>
    <row r="112" spans="1:12" x14ac:dyDescent="0.35">
      <c r="A112" s="3" t="s">
        <v>1047</v>
      </c>
      <c r="B112" s="1" t="str">
        <f t="shared" si="2"/>
        <v>Corumba IV</v>
      </c>
      <c r="C112" s="1">
        <f t="shared" si="3"/>
        <v>-1684</v>
      </c>
      <c r="D112" s="2">
        <v>0</v>
      </c>
      <c r="E112" s="2">
        <v>0</v>
      </c>
      <c r="F112" s="2">
        <v>0</v>
      </c>
      <c r="G112" s="2">
        <v>0.3629</v>
      </c>
      <c r="H112" s="2">
        <v>36.6708</v>
      </c>
      <c r="I112" s="2">
        <v>5.4048999999999996</v>
      </c>
      <c r="J112" s="2">
        <v>31.628799999999998</v>
      </c>
      <c r="K112" s="2">
        <v>0</v>
      </c>
      <c r="L112" s="2">
        <v>0</v>
      </c>
    </row>
    <row r="113" spans="1:12" x14ac:dyDescent="0.35">
      <c r="A113" s="3" t="s">
        <v>1048</v>
      </c>
      <c r="B113" s="1" t="str">
        <f t="shared" si="2"/>
        <v>Lago Paranoa</v>
      </c>
      <c r="C113" s="1">
        <f t="shared" si="3"/>
        <v>-1684</v>
      </c>
      <c r="D113" s="2">
        <v>0</v>
      </c>
      <c r="E113" s="2">
        <v>2302.4499999999998</v>
      </c>
      <c r="F113" s="2">
        <v>0.4234</v>
      </c>
      <c r="G113" s="2">
        <v>2.5095000000000001</v>
      </c>
      <c r="H113" s="2">
        <v>3.7311999999999999</v>
      </c>
      <c r="I113" s="2">
        <v>1.4232</v>
      </c>
      <c r="J113" s="2">
        <v>4.3940999999999999</v>
      </c>
      <c r="K113" s="2">
        <v>2302.4499999999998</v>
      </c>
      <c r="L113" s="2">
        <v>0</v>
      </c>
    </row>
    <row r="114" spans="1:12" x14ac:dyDescent="0.35">
      <c r="A114" s="3" t="s">
        <v>1049</v>
      </c>
      <c r="B114" s="1" t="str">
        <f t="shared" si="2"/>
        <v>Corumba IV</v>
      </c>
      <c r="C114" s="1">
        <f t="shared" si="3"/>
        <v>-1683</v>
      </c>
      <c r="D114" s="2">
        <v>0</v>
      </c>
      <c r="E114" s="2">
        <v>0</v>
      </c>
      <c r="F114" s="2">
        <v>0</v>
      </c>
      <c r="G114" s="2">
        <v>0.3629</v>
      </c>
      <c r="H114" s="2">
        <v>33.470500000000001</v>
      </c>
      <c r="I114" s="2">
        <v>5.5544000000000002</v>
      </c>
      <c r="J114" s="2">
        <v>28.279</v>
      </c>
      <c r="K114" s="2">
        <v>0</v>
      </c>
      <c r="L114" s="2">
        <v>0</v>
      </c>
    </row>
    <row r="115" spans="1:12" x14ac:dyDescent="0.35">
      <c r="A115" s="3" t="s">
        <v>1050</v>
      </c>
      <c r="B115" s="1" t="str">
        <f t="shared" si="2"/>
        <v>Lago Paranoa</v>
      </c>
      <c r="C115" s="1">
        <f t="shared" si="3"/>
        <v>-1683</v>
      </c>
      <c r="D115" s="2">
        <v>0</v>
      </c>
      <c r="E115" s="2">
        <v>2302.4499999999998</v>
      </c>
      <c r="F115" s="2">
        <v>0.4234</v>
      </c>
      <c r="G115" s="2">
        <v>2.5316000000000001</v>
      </c>
      <c r="H115" s="2">
        <v>3.5727000000000002</v>
      </c>
      <c r="I115" s="2">
        <v>1.4531000000000001</v>
      </c>
      <c r="J115" s="2">
        <v>4.2278000000000002</v>
      </c>
      <c r="K115" s="2">
        <v>2302.4499999999998</v>
      </c>
      <c r="L115" s="2">
        <v>0</v>
      </c>
    </row>
    <row r="116" spans="1:12" x14ac:dyDescent="0.35">
      <c r="A116" s="3" t="s">
        <v>1051</v>
      </c>
      <c r="B116" s="1" t="str">
        <f t="shared" si="2"/>
        <v>Corumba IV</v>
      </c>
      <c r="C116" s="1">
        <f t="shared" si="3"/>
        <v>-1682</v>
      </c>
      <c r="D116" s="2">
        <v>0</v>
      </c>
      <c r="E116" s="2">
        <v>0</v>
      </c>
      <c r="F116" s="2">
        <v>0</v>
      </c>
      <c r="G116" s="2">
        <v>0.3629</v>
      </c>
      <c r="H116" s="2">
        <v>29.787299999999998</v>
      </c>
      <c r="I116" s="2">
        <v>5.4349999999999996</v>
      </c>
      <c r="J116" s="2">
        <v>24.7151</v>
      </c>
      <c r="K116" s="2">
        <v>0</v>
      </c>
      <c r="L116" s="2">
        <v>0</v>
      </c>
    </row>
    <row r="117" spans="1:12" x14ac:dyDescent="0.35">
      <c r="A117" s="3" t="s">
        <v>1052</v>
      </c>
      <c r="B117" s="1" t="str">
        <f t="shared" si="2"/>
        <v>Lago Paranoa</v>
      </c>
      <c r="C117" s="1">
        <f t="shared" si="3"/>
        <v>-1682</v>
      </c>
      <c r="D117" s="2">
        <v>0</v>
      </c>
      <c r="E117" s="2">
        <v>2302.4499999999998</v>
      </c>
      <c r="F117" s="2">
        <v>0.4234</v>
      </c>
      <c r="G117" s="2">
        <v>2.4289999999999998</v>
      </c>
      <c r="H117" s="2">
        <v>3.1766000000000001</v>
      </c>
      <c r="I117" s="2">
        <v>1.5058</v>
      </c>
      <c r="J117" s="2">
        <v>3.6762999999999999</v>
      </c>
      <c r="K117" s="2">
        <v>2302.4499999999998</v>
      </c>
      <c r="L117" s="2">
        <v>0</v>
      </c>
    </row>
    <row r="118" spans="1:12" x14ac:dyDescent="0.35">
      <c r="A118" s="3" t="s">
        <v>1053</v>
      </c>
      <c r="B118" s="1" t="str">
        <f t="shared" si="2"/>
        <v>Corumba IV</v>
      </c>
      <c r="C118" s="1">
        <f t="shared" si="3"/>
        <v>-1681</v>
      </c>
      <c r="D118" s="2">
        <v>0</v>
      </c>
      <c r="E118" s="2">
        <v>0</v>
      </c>
      <c r="F118" s="2">
        <v>0</v>
      </c>
      <c r="G118" s="2">
        <v>0.3629</v>
      </c>
      <c r="H118" s="2">
        <v>26.5913</v>
      </c>
      <c r="I118" s="2">
        <v>5.8089000000000004</v>
      </c>
      <c r="J118" s="2">
        <v>21.145299999999999</v>
      </c>
      <c r="K118" s="2">
        <v>0</v>
      </c>
      <c r="L118" s="2">
        <v>0</v>
      </c>
    </row>
    <row r="119" spans="1:12" x14ac:dyDescent="0.35">
      <c r="A119" s="3" t="s">
        <v>1054</v>
      </c>
      <c r="B119" s="1" t="str">
        <f t="shared" si="2"/>
        <v>Lago Paranoa</v>
      </c>
      <c r="C119" s="1">
        <f t="shared" si="3"/>
        <v>-1681</v>
      </c>
      <c r="D119" s="2">
        <v>0</v>
      </c>
      <c r="E119" s="2">
        <v>2302.4499999999998</v>
      </c>
      <c r="F119" s="2">
        <v>0.4234</v>
      </c>
      <c r="G119" s="2">
        <v>2.6680999999999999</v>
      </c>
      <c r="H119" s="2">
        <v>2.8241999999999998</v>
      </c>
      <c r="I119" s="2">
        <v>1.5805</v>
      </c>
      <c r="J119" s="2">
        <v>3.4883999999999999</v>
      </c>
      <c r="K119" s="2">
        <v>2302.4499999999998</v>
      </c>
      <c r="L119" s="2">
        <v>0</v>
      </c>
    </row>
    <row r="120" spans="1:12" x14ac:dyDescent="0.35">
      <c r="A120" s="3" t="s">
        <v>1055</v>
      </c>
      <c r="B120" s="1" t="str">
        <f t="shared" si="2"/>
        <v>Corumba IV</v>
      </c>
      <c r="C120" s="1">
        <f t="shared" si="3"/>
        <v>-1680</v>
      </c>
      <c r="D120" s="2">
        <v>0</v>
      </c>
      <c r="E120" s="2">
        <v>0</v>
      </c>
      <c r="F120" s="2">
        <v>0</v>
      </c>
      <c r="G120" s="2">
        <v>0.3629</v>
      </c>
      <c r="H120" s="2">
        <v>23.911200000000001</v>
      </c>
      <c r="I120" s="2">
        <v>5.8089000000000004</v>
      </c>
      <c r="J120" s="2">
        <v>18.465199999999999</v>
      </c>
      <c r="K120" s="2">
        <v>0</v>
      </c>
      <c r="L120" s="2">
        <v>0</v>
      </c>
    </row>
    <row r="121" spans="1:12" x14ac:dyDescent="0.35">
      <c r="A121" s="3" t="s">
        <v>1056</v>
      </c>
      <c r="B121" s="1" t="str">
        <f t="shared" si="2"/>
        <v>Lago Paranoa</v>
      </c>
      <c r="C121" s="1">
        <f t="shared" si="3"/>
        <v>-1680</v>
      </c>
      <c r="D121" s="2">
        <v>0</v>
      </c>
      <c r="E121" s="2">
        <v>2302.4499999999998</v>
      </c>
      <c r="F121" s="2">
        <v>0.4234</v>
      </c>
      <c r="G121" s="2">
        <v>2.4815999999999998</v>
      </c>
      <c r="H121" s="2">
        <v>2.6886999999999999</v>
      </c>
      <c r="I121" s="2">
        <v>1.5805</v>
      </c>
      <c r="J121" s="2">
        <v>3.1665000000000001</v>
      </c>
      <c r="K121" s="2">
        <v>2302.4499999999998</v>
      </c>
      <c r="L121" s="2">
        <v>0</v>
      </c>
    </row>
    <row r="122" spans="1:12" x14ac:dyDescent="0.35">
      <c r="A122" s="3" t="s">
        <v>1057</v>
      </c>
      <c r="B122" s="1" t="str">
        <f t="shared" si="2"/>
        <v>Corumba IV</v>
      </c>
      <c r="C122" s="1">
        <f t="shared" si="3"/>
        <v>-1679</v>
      </c>
      <c r="D122" s="2">
        <v>0</v>
      </c>
      <c r="E122" s="2">
        <v>0</v>
      </c>
      <c r="F122" s="2">
        <v>0</v>
      </c>
      <c r="G122" s="2">
        <v>0.3629</v>
      </c>
      <c r="H122" s="2">
        <v>26.750299999999999</v>
      </c>
      <c r="I122" s="2">
        <v>5.8089000000000004</v>
      </c>
      <c r="J122" s="2">
        <v>21.304300000000001</v>
      </c>
      <c r="K122" s="2">
        <v>0</v>
      </c>
      <c r="L122" s="2">
        <v>0</v>
      </c>
    </row>
    <row r="123" spans="1:12" x14ac:dyDescent="0.35">
      <c r="A123" s="3" t="s">
        <v>1058</v>
      </c>
      <c r="B123" s="1" t="str">
        <f t="shared" si="2"/>
        <v>Lago Paranoa</v>
      </c>
      <c r="C123" s="1">
        <f t="shared" si="3"/>
        <v>-1679</v>
      </c>
      <c r="D123" s="2">
        <v>0</v>
      </c>
      <c r="E123" s="2">
        <v>2302.4499999999998</v>
      </c>
      <c r="F123" s="2">
        <v>0.4234</v>
      </c>
      <c r="G123" s="2">
        <v>2.4581</v>
      </c>
      <c r="H123" s="2">
        <v>2.7545000000000002</v>
      </c>
      <c r="I123" s="2">
        <v>1.5805</v>
      </c>
      <c r="J123" s="2">
        <v>3.2086999999999999</v>
      </c>
      <c r="K123" s="2">
        <v>2302.4499999999998</v>
      </c>
      <c r="L123" s="2">
        <v>0</v>
      </c>
    </row>
    <row r="124" spans="1:12" x14ac:dyDescent="0.35">
      <c r="A124" s="3" t="s">
        <v>1059</v>
      </c>
      <c r="B124" s="1" t="str">
        <f t="shared" si="2"/>
        <v>Corumba IV</v>
      </c>
      <c r="C124" s="1">
        <f t="shared" si="3"/>
        <v>-1678</v>
      </c>
      <c r="D124" s="2">
        <v>0</v>
      </c>
      <c r="E124" s="2">
        <v>0</v>
      </c>
      <c r="F124" s="2">
        <v>0</v>
      </c>
      <c r="G124" s="2">
        <v>0.3629</v>
      </c>
      <c r="H124" s="2">
        <v>24.558299999999999</v>
      </c>
      <c r="I124" s="2">
        <v>5.3632</v>
      </c>
      <c r="J124" s="2">
        <v>19.5581</v>
      </c>
      <c r="K124" s="2">
        <v>0</v>
      </c>
      <c r="L124" s="2">
        <v>0</v>
      </c>
    </row>
    <row r="125" spans="1:12" x14ac:dyDescent="0.35">
      <c r="A125" s="3" t="s">
        <v>1060</v>
      </c>
      <c r="B125" s="1" t="str">
        <f t="shared" si="2"/>
        <v>Lago Paranoa</v>
      </c>
      <c r="C125" s="1">
        <f t="shared" si="3"/>
        <v>-1678</v>
      </c>
      <c r="D125" s="2">
        <v>0</v>
      </c>
      <c r="E125" s="2">
        <v>2302.4499999999998</v>
      </c>
      <c r="F125" s="2">
        <v>0.4234</v>
      </c>
      <c r="G125" s="2">
        <v>2.4592000000000001</v>
      </c>
      <c r="H125" s="2">
        <v>2.6372</v>
      </c>
      <c r="I125" s="2">
        <v>1.4476</v>
      </c>
      <c r="J125" s="2">
        <v>3.2254</v>
      </c>
      <c r="K125" s="2">
        <v>2302.4499999999998</v>
      </c>
      <c r="L125" s="2">
        <v>0</v>
      </c>
    </row>
    <row r="126" spans="1:12" x14ac:dyDescent="0.35">
      <c r="A126" s="3" t="s">
        <v>1061</v>
      </c>
      <c r="B126" s="1" t="str">
        <f t="shared" si="2"/>
        <v>Corumba IV</v>
      </c>
      <c r="C126" s="1">
        <f t="shared" si="3"/>
        <v>-1677</v>
      </c>
      <c r="D126" s="2">
        <v>0</v>
      </c>
      <c r="E126" s="2">
        <v>0</v>
      </c>
      <c r="F126" s="2">
        <v>0</v>
      </c>
      <c r="G126" s="2">
        <v>0.3629</v>
      </c>
      <c r="H126" s="2">
        <v>25.947600000000001</v>
      </c>
      <c r="I126" s="2">
        <v>5.1017000000000001</v>
      </c>
      <c r="J126" s="2">
        <v>21.2088</v>
      </c>
      <c r="K126" s="2">
        <v>0</v>
      </c>
      <c r="L126" s="2">
        <v>0</v>
      </c>
    </row>
    <row r="127" spans="1:12" x14ac:dyDescent="0.35">
      <c r="A127" s="3" t="s">
        <v>1062</v>
      </c>
      <c r="B127" s="1" t="str">
        <f t="shared" si="2"/>
        <v>Lago Paranoa</v>
      </c>
      <c r="C127" s="1">
        <f t="shared" si="3"/>
        <v>-1677</v>
      </c>
      <c r="D127" s="2">
        <v>0</v>
      </c>
      <c r="E127" s="2">
        <v>2302.4499999999998</v>
      </c>
      <c r="F127" s="2">
        <v>0.4234</v>
      </c>
      <c r="G127" s="2">
        <v>2.7660999999999998</v>
      </c>
      <c r="H127" s="2">
        <v>3.3565999999999998</v>
      </c>
      <c r="I127" s="2">
        <v>1.3842000000000001</v>
      </c>
      <c r="J127" s="2">
        <v>4.3151000000000002</v>
      </c>
      <c r="K127" s="2">
        <v>2302.4499999999998</v>
      </c>
      <c r="L127" s="2">
        <v>0</v>
      </c>
    </row>
    <row r="128" spans="1:12" x14ac:dyDescent="0.35">
      <c r="A128" s="3" t="s">
        <v>1063</v>
      </c>
      <c r="B128" s="1" t="str">
        <f t="shared" si="2"/>
        <v>Corumba IV</v>
      </c>
      <c r="C128" s="1">
        <f t="shared" si="3"/>
        <v>-1676</v>
      </c>
      <c r="D128" s="2">
        <v>0</v>
      </c>
      <c r="E128" s="2">
        <v>0</v>
      </c>
      <c r="F128" s="2">
        <v>0</v>
      </c>
      <c r="G128" s="2">
        <v>0.3629</v>
      </c>
      <c r="H128" s="2">
        <v>26.161899999999999</v>
      </c>
      <c r="I128" s="2">
        <v>5.1017000000000001</v>
      </c>
      <c r="J128" s="2">
        <v>21.423100000000002</v>
      </c>
      <c r="K128" s="2">
        <v>0</v>
      </c>
      <c r="L128" s="2">
        <v>0</v>
      </c>
    </row>
    <row r="129" spans="1:12" x14ac:dyDescent="0.35">
      <c r="A129" s="3" t="s">
        <v>1064</v>
      </c>
      <c r="B129" s="1" t="str">
        <f t="shared" si="2"/>
        <v>Lago Paranoa</v>
      </c>
      <c r="C129" s="1">
        <f t="shared" si="3"/>
        <v>-1676</v>
      </c>
      <c r="D129" s="2">
        <v>0</v>
      </c>
      <c r="E129" s="2">
        <v>2302.4499999999998</v>
      </c>
      <c r="F129" s="2">
        <v>0.4234</v>
      </c>
      <c r="G129" s="2">
        <v>2.4573</v>
      </c>
      <c r="H129" s="2">
        <v>2.7755000000000001</v>
      </c>
      <c r="I129" s="2">
        <v>1.3842000000000001</v>
      </c>
      <c r="J129" s="2">
        <v>3.4253</v>
      </c>
      <c r="K129" s="2">
        <v>2302.4499999999998</v>
      </c>
      <c r="L129" s="2">
        <v>0</v>
      </c>
    </row>
    <row r="130" spans="1:12" x14ac:dyDescent="0.35">
      <c r="A130" s="3" t="s">
        <v>1065</v>
      </c>
      <c r="B130" s="1" t="str">
        <f t="shared" si="2"/>
        <v>Corumba IV</v>
      </c>
      <c r="C130" s="1">
        <f t="shared" si="3"/>
        <v>-1675</v>
      </c>
      <c r="D130" s="2">
        <v>0</v>
      </c>
      <c r="E130" s="2">
        <v>0</v>
      </c>
      <c r="F130" s="2">
        <v>0</v>
      </c>
      <c r="G130" s="2">
        <v>0.3629</v>
      </c>
      <c r="H130" s="2">
        <v>37.679900000000004</v>
      </c>
      <c r="I130" s="2">
        <v>5.1017000000000001</v>
      </c>
      <c r="J130" s="2">
        <v>32.941000000000003</v>
      </c>
      <c r="K130" s="2">
        <v>0</v>
      </c>
      <c r="L130" s="2">
        <v>0</v>
      </c>
    </row>
    <row r="131" spans="1:12" x14ac:dyDescent="0.35">
      <c r="A131" s="3" t="s">
        <v>1066</v>
      </c>
      <c r="B131" s="1" t="str">
        <f t="shared" ref="B131:B194" si="4">_xlfn.TEXTBEFORE(_xlfn.TEXTAFTER(A131,"["),"]")</f>
        <v>Lago Paranoa</v>
      </c>
      <c r="C131" s="1">
        <f t="shared" si="3"/>
        <v>-1675</v>
      </c>
      <c r="D131" s="2">
        <v>0</v>
      </c>
      <c r="E131" s="2">
        <v>2302.4499999999998</v>
      </c>
      <c r="F131" s="2">
        <v>0.4234</v>
      </c>
      <c r="G131" s="2">
        <v>3.0945</v>
      </c>
      <c r="H131" s="2">
        <v>4.8002000000000002</v>
      </c>
      <c r="I131" s="2">
        <v>1.3842000000000001</v>
      </c>
      <c r="J131" s="2">
        <v>6.0871000000000004</v>
      </c>
      <c r="K131" s="2">
        <v>2302.4499999999998</v>
      </c>
      <c r="L131" s="2">
        <v>0</v>
      </c>
    </row>
    <row r="132" spans="1:12" x14ac:dyDescent="0.35">
      <c r="A132" s="3" t="s">
        <v>1067</v>
      </c>
      <c r="B132" s="1" t="str">
        <f t="shared" si="4"/>
        <v>Corumba IV</v>
      </c>
      <c r="C132" s="1">
        <f t="shared" ref="C132:C195" si="5">--_xlfn.TEXTBEFORE(_xlfn.TEXTAFTER(A132,"Week "),":")</f>
        <v>-1674</v>
      </c>
      <c r="D132" s="2">
        <v>0</v>
      </c>
      <c r="E132" s="2">
        <v>0</v>
      </c>
      <c r="F132" s="2">
        <v>0</v>
      </c>
      <c r="G132" s="2">
        <v>0.3629</v>
      </c>
      <c r="H132" s="2">
        <v>76.366399999999999</v>
      </c>
      <c r="I132" s="2">
        <v>4.7222999999999997</v>
      </c>
      <c r="J132" s="2">
        <v>72.007000000000005</v>
      </c>
      <c r="K132" s="2">
        <v>0</v>
      </c>
      <c r="L132" s="2">
        <v>0</v>
      </c>
    </row>
    <row r="133" spans="1:12" x14ac:dyDescent="0.35">
      <c r="A133" s="3" t="s">
        <v>1068</v>
      </c>
      <c r="B133" s="1" t="str">
        <f t="shared" si="4"/>
        <v>Lago Paranoa</v>
      </c>
      <c r="C133" s="1">
        <f t="shared" si="5"/>
        <v>-1674</v>
      </c>
      <c r="D133" s="2">
        <v>0</v>
      </c>
      <c r="E133" s="2">
        <v>2302.4499999999998</v>
      </c>
      <c r="F133" s="2">
        <v>0.4234</v>
      </c>
      <c r="G133" s="2">
        <v>4.2173999999999996</v>
      </c>
      <c r="H133" s="2">
        <v>8.0595999999999997</v>
      </c>
      <c r="I133" s="2">
        <v>1.2242</v>
      </c>
      <c r="J133" s="2">
        <v>10.6294</v>
      </c>
      <c r="K133" s="2">
        <v>2302.4499999999998</v>
      </c>
      <c r="L133" s="2">
        <v>0</v>
      </c>
    </row>
    <row r="134" spans="1:12" x14ac:dyDescent="0.35">
      <c r="A134" s="3" t="s">
        <v>1069</v>
      </c>
      <c r="B134" s="1" t="str">
        <f t="shared" si="4"/>
        <v>Corumba IV</v>
      </c>
      <c r="C134" s="1">
        <f t="shared" si="5"/>
        <v>-1673</v>
      </c>
      <c r="D134" s="2">
        <v>0</v>
      </c>
      <c r="E134" s="2">
        <v>0</v>
      </c>
      <c r="F134" s="2">
        <v>0</v>
      </c>
      <c r="G134" s="2">
        <v>0.3629</v>
      </c>
      <c r="H134" s="2">
        <v>86.375799999999998</v>
      </c>
      <c r="I134" s="2">
        <v>3.7736000000000001</v>
      </c>
      <c r="J134" s="2">
        <v>82.965100000000007</v>
      </c>
      <c r="K134" s="2">
        <v>0</v>
      </c>
      <c r="L134" s="2">
        <v>0</v>
      </c>
    </row>
    <row r="135" spans="1:12" x14ac:dyDescent="0.35">
      <c r="A135" s="3" t="s">
        <v>1070</v>
      </c>
      <c r="B135" s="1" t="str">
        <f t="shared" si="4"/>
        <v>Lago Paranoa</v>
      </c>
      <c r="C135" s="1">
        <f t="shared" si="5"/>
        <v>-1673</v>
      </c>
      <c r="D135" s="2">
        <v>0</v>
      </c>
      <c r="E135" s="2">
        <v>2302.4499999999998</v>
      </c>
      <c r="F135" s="2">
        <v>0.4234</v>
      </c>
      <c r="G135" s="2">
        <v>3.2892000000000001</v>
      </c>
      <c r="H135" s="2">
        <v>9.3841999999999999</v>
      </c>
      <c r="I135" s="2">
        <v>0.82399999999999995</v>
      </c>
      <c r="J135" s="2">
        <v>11.4261</v>
      </c>
      <c r="K135" s="2">
        <v>2302.4499999999998</v>
      </c>
      <c r="L135" s="2">
        <v>0</v>
      </c>
    </row>
    <row r="136" spans="1:12" x14ac:dyDescent="0.35">
      <c r="A136" s="3" t="s">
        <v>1071</v>
      </c>
      <c r="B136" s="1" t="str">
        <f t="shared" si="4"/>
        <v>Corumba IV</v>
      </c>
      <c r="C136" s="1">
        <f t="shared" si="5"/>
        <v>-1672</v>
      </c>
      <c r="D136" s="2">
        <v>0</v>
      </c>
      <c r="E136" s="2">
        <v>0</v>
      </c>
      <c r="F136" s="2">
        <v>0</v>
      </c>
      <c r="G136" s="2">
        <v>0.3629</v>
      </c>
      <c r="H136" s="2">
        <v>89.706500000000005</v>
      </c>
      <c r="I136" s="2">
        <v>3.7736000000000001</v>
      </c>
      <c r="J136" s="2">
        <v>86.2958</v>
      </c>
      <c r="K136" s="2">
        <v>0</v>
      </c>
      <c r="L136" s="2">
        <v>0</v>
      </c>
    </row>
    <row r="137" spans="1:12" x14ac:dyDescent="0.35">
      <c r="A137" s="3" t="s">
        <v>1072</v>
      </c>
      <c r="B137" s="1" t="str">
        <f t="shared" si="4"/>
        <v>Lago Paranoa</v>
      </c>
      <c r="C137" s="1">
        <f t="shared" si="5"/>
        <v>-1672</v>
      </c>
      <c r="D137" s="2">
        <v>0</v>
      </c>
      <c r="E137" s="2">
        <v>2302.4499999999998</v>
      </c>
      <c r="F137" s="2">
        <v>0.4234</v>
      </c>
      <c r="G137" s="2">
        <v>4.2939999999999996</v>
      </c>
      <c r="H137" s="2">
        <v>10.264900000000001</v>
      </c>
      <c r="I137" s="2">
        <v>0.82399999999999995</v>
      </c>
      <c r="J137" s="2">
        <v>13.311500000000001</v>
      </c>
      <c r="K137" s="2">
        <v>2302.4499999999998</v>
      </c>
      <c r="L137" s="2">
        <v>0</v>
      </c>
    </row>
    <row r="138" spans="1:12" x14ac:dyDescent="0.35">
      <c r="A138" s="3" t="s">
        <v>1073</v>
      </c>
      <c r="B138" s="1" t="str">
        <f t="shared" si="4"/>
        <v>Corumba IV</v>
      </c>
      <c r="C138" s="1">
        <f t="shared" si="5"/>
        <v>-1671</v>
      </c>
      <c r="D138" s="2">
        <v>0</v>
      </c>
      <c r="E138" s="2">
        <v>0</v>
      </c>
      <c r="F138" s="2">
        <v>0</v>
      </c>
      <c r="G138" s="2">
        <v>0.3629</v>
      </c>
      <c r="H138" s="2">
        <v>49.647199999999998</v>
      </c>
      <c r="I138" s="2">
        <v>3.7736000000000001</v>
      </c>
      <c r="J138" s="2">
        <v>46.236499999999999</v>
      </c>
      <c r="K138" s="2">
        <v>0</v>
      </c>
      <c r="L138" s="2">
        <v>0</v>
      </c>
    </row>
    <row r="139" spans="1:12" x14ac:dyDescent="0.35">
      <c r="A139" s="3" t="s">
        <v>1074</v>
      </c>
      <c r="B139" s="1" t="str">
        <f t="shared" si="4"/>
        <v>Lago Paranoa</v>
      </c>
      <c r="C139" s="1">
        <f t="shared" si="5"/>
        <v>-1671</v>
      </c>
      <c r="D139" s="2">
        <v>0</v>
      </c>
      <c r="E139" s="2">
        <v>2302.4499999999998</v>
      </c>
      <c r="F139" s="2">
        <v>0.4234</v>
      </c>
      <c r="G139" s="2">
        <v>2.8935</v>
      </c>
      <c r="H139" s="2">
        <v>4.1818</v>
      </c>
      <c r="I139" s="2">
        <v>0.82399999999999995</v>
      </c>
      <c r="J139" s="2">
        <v>5.8280000000000003</v>
      </c>
      <c r="K139" s="2">
        <v>2302.4499999999998</v>
      </c>
      <c r="L139" s="2">
        <v>0</v>
      </c>
    </row>
    <row r="140" spans="1:12" x14ac:dyDescent="0.35">
      <c r="A140" s="3" t="s">
        <v>1075</v>
      </c>
      <c r="B140" s="1" t="str">
        <f t="shared" si="4"/>
        <v>Corumba IV</v>
      </c>
      <c r="C140" s="1">
        <f t="shared" si="5"/>
        <v>-1670</v>
      </c>
      <c r="D140" s="2">
        <v>0</v>
      </c>
      <c r="E140" s="2">
        <v>0</v>
      </c>
      <c r="F140" s="2">
        <v>0</v>
      </c>
      <c r="G140" s="2">
        <v>0.3629</v>
      </c>
      <c r="H140" s="2">
        <v>49.956499999999998</v>
      </c>
      <c r="I140" s="2">
        <v>3.7736000000000001</v>
      </c>
      <c r="J140" s="2">
        <v>46.5458</v>
      </c>
      <c r="K140" s="2">
        <v>0</v>
      </c>
      <c r="L140" s="2">
        <v>0</v>
      </c>
    </row>
    <row r="141" spans="1:12" x14ac:dyDescent="0.35">
      <c r="A141" s="3" t="s">
        <v>1076</v>
      </c>
      <c r="B141" s="1" t="str">
        <f t="shared" si="4"/>
        <v>Lago Paranoa</v>
      </c>
      <c r="C141" s="1">
        <f t="shared" si="5"/>
        <v>-1670</v>
      </c>
      <c r="D141" s="2">
        <v>0</v>
      </c>
      <c r="E141" s="2">
        <v>2302.4499999999998</v>
      </c>
      <c r="F141" s="2">
        <v>0.4234</v>
      </c>
      <c r="G141" s="2">
        <v>3.2627999999999999</v>
      </c>
      <c r="H141" s="2">
        <v>4.5937000000000001</v>
      </c>
      <c r="I141" s="2">
        <v>0.82399999999999995</v>
      </c>
      <c r="J141" s="2">
        <v>6.6090999999999998</v>
      </c>
      <c r="K141" s="2">
        <v>2302.4499999999998</v>
      </c>
      <c r="L141" s="2">
        <v>0</v>
      </c>
    </row>
    <row r="142" spans="1:12" x14ac:dyDescent="0.35">
      <c r="A142" s="3" t="s">
        <v>1077</v>
      </c>
      <c r="B142" s="1" t="str">
        <f t="shared" si="4"/>
        <v>Corumba IV</v>
      </c>
      <c r="C142" s="1">
        <f t="shared" si="5"/>
        <v>-1669</v>
      </c>
      <c r="D142" s="2">
        <v>0</v>
      </c>
      <c r="E142" s="2">
        <v>0</v>
      </c>
      <c r="F142" s="2">
        <v>0</v>
      </c>
      <c r="G142" s="2">
        <v>0.3629</v>
      </c>
      <c r="H142" s="2">
        <v>62.219200000000001</v>
      </c>
      <c r="I142" s="2">
        <v>3.7208999999999999</v>
      </c>
      <c r="J142" s="2">
        <v>58.861199999999997</v>
      </c>
      <c r="K142" s="2">
        <v>0</v>
      </c>
      <c r="L142" s="2">
        <v>0</v>
      </c>
    </row>
    <row r="143" spans="1:12" x14ac:dyDescent="0.35">
      <c r="A143" s="3" t="s">
        <v>1078</v>
      </c>
      <c r="B143" s="1" t="str">
        <f t="shared" si="4"/>
        <v>Lago Paranoa</v>
      </c>
      <c r="C143" s="1">
        <f t="shared" si="5"/>
        <v>-1669</v>
      </c>
      <c r="D143" s="2">
        <v>0</v>
      </c>
      <c r="E143" s="2">
        <v>2302.4499999999998</v>
      </c>
      <c r="F143" s="2">
        <v>0.4234</v>
      </c>
      <c r="G143" s="2">
        <v>3.5844999999999998</v>
      </c>
      <c r="H143" s="2">
        <v>6.0648999999999997</v>
      </c>
      <c r="I143" s="2">
        <v>0.95640000000000003</v>
      </c>
      <c r="J143" s="2">
        <v>8.2697000000000003</v>
      </c>
      <c r="K143" s="2">
        <v>2302.4499999999998</v>
      </c>
      <c r="L143" s="2">
        <v>0</v>
      </c>
    </row>
    <row r="144" spans="1:12" x14ac:dyDescent="0.35">
      <c r="A144" s="3" t="s">
        <v>1079</v>
      </c>
      <c r="B144" s="1" t="str">
        <f t="shared" si="4"/>
        <v>Corumba IV</v>
      </c>
      <c r="C144" s="1">
        <f t="shared" si="5"/>
        <v>-1668</v>
      </c>
      <c r="D144" s="2">
        <v>0</v>
      </c>
      <c r="E144" s="2">
        <v>0</v>
      </c>
      <c r="F144" s="2">
        <v>0</v>
      </c>
      <c r="G144" s="2">
        <v>0.3629</v>
      </c>
      <c r="H144" s="2">
        <v>83.0261</v>
      </c>
      <c r="I144" s="2">
        <v>3.2616000000000001</v>
      </c>
      <c r="J144" s="2">
        <v>80.127300000000005</v>
      </c>
      <c r="K144" s="2">
        <v>0</v>
      </c>
      <c r="L144" s="2">
        <v>0</v>
      </c>
    </row>
    <row r="145" spans="1:12" x14ac:dyDescent="0.35">
      <c r="A145" s="3" t="s">
        <v>1080</v>
      </c>
      <c r="B145" s="1" t="str">
        <f t="shared" si="4"/>
        <v>Lago Paranoa</v>
      </c>
      <c r="C145" s="1">
        <f t="shared" si="5"/>
        <v>-1668</v>
      </c>
      <c r="D145" s="2">
        <v>0</v>
      </c>
      <c r="E145" s="2">
        <v>2302.4499999999998</v>
      </c>
      <c r="F145" s="2">
        <v>0.4234</v>
      </c>
      <c r="G145" s="2">
        <v>3.6025</v>
      </c>
      <c r="H145" s="2">
        <v>7.1013000000000002</v>
      </c>
      <c r="I145" s="2">
        <v>0.86450000000000005</v>
      </c>
      <c r="J145" s="2">
        <v>9.4160000000000004</v>
      </c>
      <c r="K145" s="2">
        <v>2302.4499999999998</v>
      </c>
      <c r="L145" s="2">
        <v>0</v>
      </c>
    </row>
    <row r="146" spans="1:12" x14ac:dyDescent="0.35">
      <c r="A146" s="3" t="s">
        <v>1081</v>
      </c>
      <c r="B146" s="1" t="str">
        <f t="shared" si="4"/>
        <v>Corumba IV</v>
      </c>
      <c r="C146" s="1">
        <f t="shared" si="5"/>
        <v>-1667</v>
      </c>
      <c r="D146" s="2">
        <v>0</v>
      </c>
      <c r="E146" s="2">
        <v>0</v>
      </c>
      <c r="F146" s="2">
        <v>0</v>
      </c>
      <c r="G146" s="2">
        <v>0.3629</v>
      </c>
      <c r="H146" s="2">
        <v>91.653099999999995</v>
      </c>
      <c r="I146" s="2">
        <v>3.2616000000000001</v>
      </c>
      <c r="J146" s="2">
        <v>88.754400000000004</v>
      </c>
      <c r="K146" s="2">
        <v>0</v>
      </c>
      <c r="L146" s="2">
        <v>0</v>
      </c>
    </row>
    <row r="147" spans="1:12" x14ac:dyDescent="0.35">
      <c r="A147" s="3" t="s">
        <v>1082</v>
      </c>
      <c r="B147" s="1" t="str">
        <f t="shared" si="4"/>
        <v>Lago Paranoa</v>
      </c>
      <c r="C147" s="1">
        <f t="shared" si="5"/>
        <v>-1667</v>
      </c>
      <c r="D147" s="2">
        <v>0</v>
      </c>
      <c r="E147" s="2">
        <v>2302.4499999999998</v>
      </c>
      <c r="F147" s="2">
        <v>0.4234</v>
      </c>
      <c r="G147" s="2">
        <v>4.8898999999999999</v>
      </c>
      <c r="H147" s="2">
        <v>10.9711</v>
      </c>
      <c r="I147" s="2">
        <v>0.86450000000000005</v>
      </c>
      <c r="J147" s="2">
        <v>14.5731</v>
      </c>
      <c r="K147" s="2">
        <v>2302.4499999999998</v>
      </c>
      <c r="L147" s="2">
        <v>0</v>
      </c>
    </row>
    <row r="148" spans="1:12" x14ac:dyDescent="0.35">
      <c r="A148" s="3" t="s">
        <v>1083</v>
      </c>
      <c r="B148" s="1" t="str">
        <f t="shared" si="4"/>
        <v>Corumba IV</v>
      </c>
      <c r="C148" s="1">
        <f t="shared" si="5"/>
        <v>-1666</v>
      </c>
      <c r="D148" s="2">
        <v>0</v>
      </c>
      <c r="E148" s="2">
        <v>0</v>
      </c>
      <c r="F148" s="2">
        <v>0</v>
      </c>
      <c r="G148" s="2">
        <v>0.3629</v>
      </c>
      <c r="H148" s="2">
        <v>138.0249</v>
      </c>
      <c r="I148" s="2">
        <v>3.2616000000000001</v>
      </c>
      <c r="J148" s="2">
        <v>135.12610000000001</v>
      </c>
      <c r="K148" s="2">
        <v>0</v>
      </c>
      <c r="L148" s="2">
        <v>0</v>
      </c>
    </row>
    <row r="149" spans="1:12" x14ac:dyDescent="0.35">
      <c r="A149" s="3" t="s">
        <v>1084</v>
      </c>
      <c r="B149" s="1" t="str">
        <f t="shared" si="4"/>
        <v>Lago Paranoa</v>
      </c>
      <c r="C149" s="1">
        <f t="shared" si="5"/>
        <v>-1666</v>
      </c>
      <c r="D149" s="2">
        <v>0</v>
      </c>
      <c r="E149" s="2">
        <v>2302.4499999999998</v>
      </c>
      <c r="F149" s="2">
        <v>0.4234</v>
      </c>
      <c r="G149" s="2">
        <v>7.0942999999999996</v>
      </c>
      <c r="H149" s="2">
        <v>17.231000000000002</v>
      </c>
      <c r="I149" s="2">
        <v>0.86450000000000005</v>
      </c>
      <c r="J149" s="2">
        <v>23.037500000000001</v>
      </c>
      <c r="K149" s="2">
        <v>2302.4499999999998</v>
      </c>
      <c r="L149" s="2">
        <v>0</v>
      </c>
    </row>
    <row r="150" spans="1:12" x14ac:dyDescent="0.35">
      <c r="A150" s="3" t="s">
        <v>1085</v>
      </c>
      <c r="B150" s="1" t="str">
        <f t="shared" si="4"/>
        <v>Corumba IV</v>
      </c>
      <c r="C150" s="1">
        <f t="shared" si="5"/>
        <v>-1665</v>
      </c>
      <c r="D150" s="2">
        <v>0</v>
      </c>
      <c r="E150" s="2">
        <v>0</v>
      </c>
      <c r="F150" s="2">
        <v>0</v>
      </c>
      <c r="G150" s="2">
        <v>0.3629</v>
      </c>
      <c r="H150" s="2">
        <v>124.8186</v>
      </c>
      <c r="I150" s="2">
        <v>4.3410000000000002</v>
      </c>
      <c r="J150" s="2">
        <v>120.84059999999999</v>
      </c>
      <c r="K150" s="2">
        <v>0</v>
      </c>
      <c r="L150" s="2">
        <v>0</v>
      </c>
    </row>
    <row r="151" spans="1:12" x14ac:dyDescent="0.35">
      <c r="A151" s="3" t="s">
        <v>1086</v>
      </c>
      <c r="B151" s="1" t="str">
        <f t="shared" si="4"/>
        <v>Lago Paranoa</v>
      </c>
      <c r="C151" s="1">
        <f t="shared" si="5"/>
        <v>-1665</v>
      </c>
      <c r="D151" s="2">
        <v>0</v>
      </c>
      <c r="E151" s="2">
        <v>2302.4499999999998</v>
      </c>
      <c r="F151" s="2">
        <v>0.4234</v>
      </c>
      <c r="G151" s="2">
        <v>3.9784000000000002</v>
      </c>
      <c r="H151" s="2">
        <v>8.4985999999999997</v>
      </c>
      <c r="I151" s="2">
        <v>1.1638999999999999</v>
      </c>
      <c r="J151" s="2">
        <v>10.8896</v>
      </c>
      <c r="K151" s="2">
        <v>2302.4499999999998</v>
      </c>
      <c r="L151" s="2">
        <v>0</v>
      </c>
    </row>
    <row r="152" spans="1:12" x14ac:dyDescent="0.35">
      <c r="A152" s="3" t="s">
        <v>1087</v>
      </c>
      <c r="B152" s="1" t="str">
        <f t="shared" si="4"/>
        <v>Corumba IV</v>
      </c>
      <c r="C152" s="1">
        <f t="shared" si="5"/>
        <v>-1664</v>
      </c>
      <c r="D152" s="2">
        <v>0</v>
      </c>
      <c r="E152" s="2">
        <v>0</v>
      </c>
      <c r="F152" s="2">
        <v>0</v>
      </c>
      <c r="G152" s="2">
        <v>0.3629</v>
      </c>
      <c r="H152" s="2">
        <v>92.660499999999999</v>
      </c>
      <c r="I152" s="2">
        <v>5.3699000000000003</v>
      </c>
      <c r="J152" s="2">
        <v>87.653499999999994</v>
      </c>
      <c r="K152" s="2">
        <v>0</v>
      </c>
      <c r="L152" s="2">
        <v>0</v>
      </c>
    </row>
    <row r="153" spans="1:12" x14ac:dyDescent="0.35">
      <c r="A153" s="3" t="s">
        <v>1088</v>
      </c>
      <c r="B153" s="1" t="str">
        <f t="shared" si="4"/>
        <v>Lago Paranoa</v>
      </c>
      <c r="C153" s="1">
        <f t="shared" si="5"/>
        <v>-1664</v>
      </c>
      <c r="D153" s="2">
        <v>0</v>
      </c>
      <c r="E153" s="2">
        <v>2302.4499999999998</v>
      </c>
      <c r="F153" s="2">
        <v>0.4234</v>
      </c>
      <c r="G153" s="2">
        <v>4.9744999999999999</v>
      </c>
      <c r="H153" s="2">
        <v>13.66</v>
      </c>
      <c r="I153" s="2">
        <v>1.4807999999999999</v>
      </c>
      <c r="J153" s="2">
        <v>16.730399999999999</v>
      </c>
      <c r="K153" s="2">
        <v>2302.4499999999998</v>
      </c>
      <c r="L153" s="2">
        <v>0</v>
      </c>
    </row>
    <row r="154" spans="1:12" x14ac:dyDescent="0.35">
      <c r="A154" s="3" t="s">
        <v>1089</v>
      </c>
      <c r="B154" s="1" t="str">
        <f t="shared" si="4"/>
        <v>Corumba IV</v>
      </c>
      <c r="C154" s="1">
        <f t="shared" si="5"/>
        <v>-1663</v>
      </c>
      <c r="D154" s="2">
        <v>0</v>
      </c>
      <c r="E154" s="2">
        <v>0</v>
      </c>
      <c r="F154" s="2">
        <v>0</v>
      </c>
      <c r="G154" s="2">
        <v>0.3629</v>
      </c>
      <c r="H154" s="2">
        <v>102.97929999999999</v>
      </c>
      <c r="I154" s="2">
        <v>5.3699000000000003</v>
      </c>
      <c r="J154" s="2">
        <v>97.972300000000004</v>
      </c>
      <c r="K154" s="2">
        <v>0</v>
      </c>
      <c r="L154" s="2">
        <v>0</v>
      </c>
    </row>
    <row r="155" spans="1:12" x14ac:dyDescent="0.35">
      <c r="A155" s="3" t="s">
        <v>1090</v>
      </c>
      <c r="B155" s="1" t="str">
        <f t="shared" si="4"/>
        <v>Lago Paranoa</v>
      </c>
      <c r="C155" s="1">
        <f t="shared" si="5"/>
        <v>-1663</v>
      </c>
      <c r="D155" s="2">
        <v>0</v>
      </c>
      <c r="E155" s="2">
        <v>2302.4499999999998</v>
      </c>
      <c r="F155" s="2">
        <v>0.4234</v>
      </c>
      <c r="G155" s="2">
        <v>4.5585000000000004</v>
      </c>
      <c r="H155" s="2">
        <v>10.6266</v>
      </c>
      <c r="I155" s="2">
        <v>1.4807999999999999</v>
      </c>
      <c r="J155" s="2">
        <v>13.280900000000001</v>
      </c>
      <c r="K155" s="2">
        <v>2302.4499999999998</v>
      </c>
      <c r="L155" s="2">
        <v>0</v>
      </c>
    </row>
    <row r="156" spans="1:12" x14ac:dyDescent="0.35">
      <c r="A156" s="3" t="s">
        <v>1091</v>
      </c>
      <c r="B156" s="1" t="str">
        <f t="shared" si="4"/>
        <v>Corumba IV</v>
      </c>
      <c r="C156" s="1">
        <f t="shared" si="5"/>
        <v>-1662</v>
      </c>
      <c r="D156" s="2">
        <v>0</v>
      </c>
      <c r="E156" s="2">
        <v>0</v>
      </c>
      <c r="F156" s="2">
        <v>0</v>
      </c>
      <c r="G156" s="2">
        <v>0.3629</v>
      </c>
      <c r="H156" s="2">
        <v>103.5063</v>
      </c>
      <c r="I156" s="2">
        <v>5.3699000000000003</v>
      </c>
      <c r="J156" s="2">
        <v>98.499300000000005</v>
      </c>
      <c r="K156" s="2">
        <v>0</v>
      </c>
      <c r="L156" s="2">
        <v>0</v>
      </c>
    </row>
    <row r="157" spans="1:12" x14ac:dyDescent="0.35">
      <c r="A157" s="3" t="s">
        <v>1092</v>
      </c>
      <c r="B157" s="1" t="str">
        <f t="shared" si="4"/>
        <v>Lago Paranoa</v>
      </c>
      <c r="C157" s="1">
        <f t="shared" si="5"/>
        <v>-1662</v>
      </c>
      <c r="D157" s="2">
        <v>0</v>
      </c>
      <c r="E157" s="2">
        <v>2302.4499999999998</v>
      </c>
      <c r="F157" s="2">
        <v>0.4234</v>
      </c>
      <c r="G157" s="2">
        <v>4.7179000000000002</v>
      </c>
      <c r="H157" s="2">
        <v>9.7969000000000008</v>
      </c>
      <c r="I157" s="2">
        <v>1.4807999999999999</v>
      </c>
      <c r="J157" s="2">
        <v>12.6107</v>
      </c>
      <c r="K157" s="2">
        <v>2302.4499999999998</v>
      </c>
      <c r="L157" s="2">
        <v>0</v>
      </c>
    </row>
    <row r="158" spans="1:12" x14ac:dyDescent="0.35">
      <c r="A158" s="3" t="s">
        <v>1093</v>
      </c>
      <c r="B158" s="1" t="str">
        <f t="shared" si="4"/>
        <v>Corumba IV</v>
      </c>
      <c r="C158" s="1">
        <f t="shared" si="5"/>
        <v>-1661</v>
      </c>
      <c r="D158" s="2">
        <v>0</v>
      </c>
      <c r="E158" s="2">
        <v>0</v>
      </c>
      <c r="F158" s="2">
        <v>0</v>
      </c>
      <c r="G158" s="2">
        <v>0.3629</v>
      </c>
      <c r="H158" s="2">
        <v>81.866600000000005</v>
      </c>
      <c r="I158" s="2">
        <v>4.9433999999999996</v>
      </c>
      <c r="J158" s="2">
        <v>77.286100000000005</v>
      </c>
      <c r="K158" s="2">
        <v>0</v>
      </c>
      <c r="L158" s="2">
        <v>0</v>
      </c>
    </row>
    <row r="159" spans="1:12" x14ac:dyDescent="0.35">
      <c r="A159" s="3" t="s">
        <v>1094</v>
      </c>
      <c r="B159" s="1" t="str">
        <f t="shared" si="4"/>
        <v>Lago Paranoa</v>
      </c>
      <c r="C159" s="1">
        <f t="shared" si="5"/>
        <v>-1661</v>
      </c>
      <c r="D159" s="2">
        <v>0</v>
      </c>
      <c r="E159" s="2">
        <v>2302.4499999999998</v>
      </c>
      <c r="F159" s="2">
        <v>0.4234</v>
      </c>
      <c r="G159" s="2">
        <v>3.6320999999999999</v>
      </c>
      <c r="H159" s="2">
        <v>6.1155999999999997</v>
      </c>
      <c r="I159" s="2">
        <v>1.3597999999999999</v>
      </c>
      <c r="J159" s="2">
        <v>7.9645999999999999</v>
      </c>
      <c r="K159" s="2">
        <v>2302.4499999999998</v>
      </c>
      <c r="L159" s="2">
        <v>0</v>
      </c>
    </row>
    <row r="160" spans="1:12" x14ac:dyDescent="0.35">
      <c r="A160" s="3" t="s">
        <v>1095</v>
      </c>
      <c r="B160" s="1" t="str">
        <f t="shared" si="4"/>
        <v>Corumba IV</v>
      </c>
      <c r="C160" s="1">
        <f t="shared" si="5"/>
        <v>-1660</v>
      </c>
      <c r="D160" s="2">
        <v>0</v>
      </c>
      <c r="E160" s="2">
        <v>0</v>
      </c>
      <c r="F160" s="2">
        <v>0</v>
      </c>
      <c r="G160" s="2">
        <v>0.3629</v>
      </c>
      <c r="H160" s="2">
        <v>78.295699999999997</v>
      </c>
      <c r="I160" s="2">
        <v>3.8769999999999998</v>
      </c>
      <c r="J160" s="2">
        <v>74.781499999999994</v>
      </c>
      <c r="K160" s="2">
        <v>0</v>
      </c>
      <c r="L160" s="2">
        <v>0</v>
      </c>
    </row>
    <row r="161" spans="1:12" x14ac:dyDescent="0.35">
      <c r="A161" s="3" t="s">
        <v>1096</v>
      </c>
      <c r="B161" s="1" t="str">
        <f t="shared" si="4"/>
        <v>Lago Paranoa</v>
      </c>
      <c r="C161" s="1">
        <f t="shared" si="5"/>
        <v>-1660</v>
      </c>
      <c r="D161" s="2">
        <v>0</v>
      </c>
      <c r="E161" s="2">
        <v>2302.4499999999998</v>
      </c>
      <c r="F161" s="2">
        <v>0.4234</v>
      </c>
      <c r="G161" s="2">
        <v>3.7309999999999999</v>
      </c>
      <c r="H161" s="2">
        <v>5.6989999999999998</v>
      </c>
      <c r="I161" s="2">
        <v>1.0572999999999999</v>
      </c>
      <c r="J161" s="2">
        <v>7.9493999999999998</v>
      </c>
      <c r="K161" s="2">
        <v>2302.4499999999998</v>
      </c>
      <c r="L161" s="2">
        <v>0</v>
      </c>
    </row>
    <row r="162" spans="1:12" x14ac:dyDescent="0.35">
      <c r="A162" s="3" t="s">
        <v>1097</v>
      </c>
      <c r="B162" s="1" t="str">
        <f t="shared" si="4"/>
        <v>Corumba IV</v>
      </c>
      <c r="C162" s="1">
        <f t="shared" si="5"/>
        <v>-1659</v>
      </c>
      <c r="D162" s="2">
        <v>0</v>
      </c>
      <c r="E162" s="2">
        <v>0</v>
      </c>
      <c r="F162" s="2">
        <v>0</v>
      </c>
      <c r="G162" s="2">
        <v>0.3629</v>
      </c>
      <c r="H162" s="2">
        <v>125.3206</v>
      </c>
      <c r="I162" s="2">
        <v>3.8769999999999998</v>
      </c>
      <c r="J162" s="2">
        <v>121.8065</v>
      </c>
      <c r="K162" s="2">
        <v>0</v>
      </c>
      <c r="L162" s="2">
        <v>0</v>
      </c>
    </row>
    <row r="163" spans="1:12" x14ac:dyDescent="0.35">
      <c r="A163" s="3" t="s">
        <v>1098</v>
      </c>
      <c r="B163" s="1" t="str">
        <f t="shared" si="4"/>
        <v>Lago Paranoa</v>
      </c>
      <c r="C163" s="1">
        <f t="shared" si="5"/>
        <v>-1659</v>
      </c>
      <c r="D163" s="2">
        <v>0</v>
      </c>
      <c r="E163" s="2">
        <v>2302.4499999999998</v>
      </c>
      <c r="F163" s="2">
        <v>0.4234</v>
      </c>
      <c r="G163" s="2">
        <v>5.2554999999999996</v>
      </c>
      <c r="H163" s="2">
        <v>10.615399999999999</v>
      </c>
      <c r="I163" s="2">
        <v>1.0572999999999999</v>
      </c>
      <c r="J163" s="2">
        <v>14.3902</v>
      </c>
      <c r="K163" s="2">
        <v>2302.4499999999998</v>
      </c>
      <c r="L163" s="2">
        <v>0</v>
      </c>
    </row>
    <row r="164" spans="1:12" x14ac:dyDescent="0.35">
      <c r="A164" s="3" t="s">
        <v>1099</v>
      </c>
      <c r="B164" s="1" t="str">
        <f t="shared" si="4"/>
        <v>Corumba IV</v>
      </c>
      <c r="C164" s="1">
        <f t="shared" si="5"/>
        <v>-1658</v>
      </c>
      <c r="D164" s="2">
        <v>0</v>
      </c>
      <c r="E164" s="2">
        <v>0</v>
      </c>
      <c r="F164" s="2">
        <v>0</v>
      </c>
      <c r="G164" s="2">
        <v>0.3629</v>
      </c>
      <c r="H164" s="2">
        <v>117.4375</v>
      </c>
      <c r="I164" s="2">
        <v>3.8769999999999998</v>
      </c>
      <c r="J164" s="2">
        <v>113.9233</v>
      </c>
      <c r="K164" s="2">
        <v>0</v>
      </c>
      <c r="L164" s="2">
        <v>0</v>
      </c>
    </row>
    <row r="165" spans="1:12" x14ac:dyDescent="0.35">
      <c r="A165" s="3" t="s">
        <v>1100</v>
      </c>
      <c r="B165" s="1" t="str">
        <f t="shared" si="4"/>
        <v>Lago Paranoa</v>
      </c>
      <c r="C165" s="1">
        <f t="shared" si="5"/>
        <v>-1658</v>
      </c>
      <c r="D165" s="2">
        <v>0</v>
      </c>
      <c r="E165" s="2">
        <v>2302.4499999999998</v>
      </c>
      <c r="F165" s="2">
        <v>0.4234</v>
      </c>
      <c r="G165" s="2">
        <v>5.2502000000000004</v>
      </c>
      <c r="H165" s="2">
        <v>13.049899999999999</v>
      </c>
      <c r="I165" s="2">
        <v>1.0572999999999999</v>
      </c>
      <c r="J165" s="2">
        <v>16.819500000000001</v>
      </c>
      <c r="K165" s="2">
        <v>2302.4499999999998</v>
      </c>
      <c r="L165" s="2">
        <v>0</v>
      </c>
    </row>
    <row r="166" spans="1:12" x14ac:dyDescent="0.35">
      <c r="A166" s="3" t="s">
        <v>1101</v>
      </c>
      <c r="B166" s="1" t="str">
        <f t="shared" si="4"/>
        <v>Corumba IV</v>
      </c>
      <c r="C166" s="1">
        <f t="shared" si="5"/>
        <v>-1657</v>
      </c>
      <c r="D166" s="2">
        <v>0</v>
      </c>
      <c r="E166" s="2">
        <v>0</v>
      </c>
      <c r="F166" s="2">
        <v>0</v>
      </c>
      <c r="G166" s="2">
        <v>0.3629</v>
      </c>
      <c r="H166" s="2">
        <v>122.6465</v>
      </c>
      <c r="I166" s="2">
        <v>3.4813999999999998</v>
      </c>
      <c r="J166" s="2">
        <v>119.52800000000001</v>
      </c>
      <c r="K166" s="2">
        <v>0</v>
      </c>
      <c r="L166" s="2">
        <v>0</v>
      </c>
    </row>
    <row r="167" spans="1:12" x14ac:dyDescent="0.35">
      <c r="A167" s="3" t="s">
        <v>1102</v>
      </c>
      <c r="B167" s="1" t="str">
        <f t="shared" si="4"/>
        <v>Lago Paranoa</v>
      </c>
      <c r="C167" s="1">
        <f t="shared" si="5"/>
        <v>-1657</v>
      </c>
      <c r="D167" s="2">
        <v>0</v>
      </c>
      <c r="E167" s="2">
        <v>2302.4499999999998</v>
      </c>
      <c r="F167" s="2">
        <v>0.4234</v>
      </c>
      <c r="G167" s="2">
        <v>4.484</v>
      </c>
      <c r="H167" s="2">
        <v>10.314299999999999</v>
      </c>
      <c r="I167" s="2">
        <v>0.99299999999999999</v>
      </c>
      <c r="J167" s="2">
        <v>13.3819</v>
      </c>
      <c r="K167" s="2">
        <v>2302.4499999999998</v>
      </c>
      <c r="L167" s="2">
        <v>0</v>
      </c>
    </row>
    <row r="168" spans="1:12" x14ac:dyDescent="0.35">
      <c r="A168" s="3" t="s">
        <v>1103</v>
      </c>
      <c r="B168" s="1" t="str">
        <f t="shared" si="4"/>
        <v>Corumba IV</v>
      </c>
      <c r="C168" s="1">
        <f t="shared" si="5"/>
        <v>-1656</v>
      </c>
      <c r="D168" s="2">
        <v>0</v>
      </c>
      <c r="E168" s="2">
        <v>0</v>
      </c>
      <c r="F168" s="2">
        <v>0</v>
      </c>
      <c r="G168" s="2">
        <v>0.3629</v>
      </c>
      <c r="H168" s="2">
        <v>113.3317</v>
      </c>
      <c r="I168" s="2">
        <v>3.1934</v>
      </c>
      <c r="J168" s="2">
        <v>110.5013</v>
      </c>
      <c r="K168" s="2">
        <v>0</v>
      </c>
      <c r="L168" s="2">
        <v>0</v>
      </c>
    </row>
    <row r="169" spans="1:12" x14ac:dyDescent="0.35">
      <c r="A169" s="3" t="s">
        <v>1104</v>
      </c>
      <c r="B169" s="1" t="str">
        <f t="shared" si="4"/>
        <v>Lago Paranoa</v>
      </c>
      <c r="C169" s="1">
        <f t="shared" si="5"/>
        <v>-1656</v>
      </c>
      <c r="D169" s="2">
        <v>0</v>
      </c>
      <c r="E169" s="2">
        <v>2302.4499999999998</v>
      </c>
      <c r="F169" s="2">
        <v>0.4234</v>
      </c>
      <c r="G169" s="2">
        <v>6.1166999999999998</v>
      </c>
      <c r="H169" s="2">
        <v>10.1858</v>
      </c>
      <c r="I169" s="2">
        <v>0.88870000000000005</v>
      </c>
      <c r="J169" s="2">
        <v>14.9903</v>
      </c>
      <c r="K169" s="2">
        <v>2302.4499999999998</v>
      </c>
      <c r="L169" s="2">
        <v>0</v>
      </c>
    </row>
    <row r="170" spans="1:12" x14ac:dyDescent="0.35">
      <c r="A170" s="3" t="s">
        <v>1105</v>
      </c>
      <c r="B170" s="1" t="str">
        <f t="shared" si="4"/>
        <v>Corumba IV</v>
      </c>
      <c r="C170" s="1">
        <f t="shared" si="5"/>
        <v>-1655</v>
      </c>
      <c r="D170" s="2">
        <v>0</v>
      </c>
      <c r="E170" s="2">
        <v>0</v>
      </c>
      <c r="F170" s="2">
        <v>0</v>
      </c>
      <c r="G170" s="2">
        <v>0.3629</v>
      </c>
      <c r="H170" s="2">
        <v>125.52370000000001</v>
      </c>
      <c r="I170" s="2">
        <v>3.1934</v>
      </c>
      <c r="J170" s="2">
        <v>122.6932</v>
      </c>
      <c r="K170" s="2">
        <v>0</v>
      </c>
      <c r="L170" s="2">
        <v>0</v>
      </c>
    </row>
    <row r="171" spans="1:12" x14ac:dyDescent="0.35">
      <c r="A171" s="3" t="s">
        <v>1106</v>
      </c>
      <c r="B171" s="1" t="str">
        <f t="shared" si="4"/>
        <v>Lago Paranoa</v>
      </c>
      <c r="C171" s="1">
        <f t="shared" si="5"/>
        <v>-1655</v>
      </c>
      <c r="D171" s="2">
        <v>0</v>
      </c>
      <c r="E171" s="2">
        <v>2302.4499999999998</v>
      </c>
      <c r="F171" s="2">
        <v>0.4234</v>
      </c>
      <c r="G171" s="2">
        <v>5.9699</v>
      </c>
      <c r="H171" s="2">
        <v>12.2026</v>
      </c>
      <c r="I171" s="2">
        <v>0.88870000000000005</v>
      </c>
      <c r="J171" s="2">
        <v>16.860399999999998</v>
      </c>
      <c r="K171" s="2">
        <v>2302.4499999999998</v>
      </c>
      <c r="L171" s="2">
        <v>0</v>
      </c>
    </row>
    <row r="172" spans="1:12" x14ac:dyDescent="0.35">
      <c r="A172" s="3" t="s">
        <v>1107</v>
      </c>
      <c r="B172" s="1" t="str">
        <f t="shared" si="4"/>
        <v>Corumba IV</v>
      </c>
      <c r="C172" s="1">
        <f t="shared" si="5"/>
        <v>-1654</v>
      </c>
      <c r="D172" s="2">
        <v>0</v>
      </c>
      <c r="E172" s="2">
        <v>0</v>
      </c>
      <c r="F172" s="2">
        <v>0</v>
      </c>
      <c r="G172" s="2">
        <v>0.3629</v>
      </c>
      <c r="H172" s="2">
        <v>153.36600000000001</v>
      </c>
      <c r="I172" s="2">
        <v>3.1934</v>
      </c>
      <c r="J172" s="2">
        <v>150.53559999999999</v>
      </c>
      <c r="K172" s="2">
        <v>0</v>
      </c>
      <c r="L172" s="2">
        <v>0</v>
      </c>
    </row>
    <row r="173" spans="1:12" x14ac:dyDescent="0.35">
      <c r="A173" s="3" t="s">
        <v>1108</v>
      </c>
      <c r="B173" s="1" t="str">
        <f t="shared" si="4"/>
        <v>Lago Paranoa</v>
      </c>
      <c r="C173" s="1">
        <f t="shared" si="5"/>
        <v>-1654</v>
      </c>
      <c r="D173" s="2">
        <v>0</v>
      </c>
      <c r="E173" s="2">
        <v>2302.4499999999998</v>
      </c>
      <c r="F173" s="2">
        <v>0.4234</v>
      </c>
      <c r="G173" s="2">
        <v>4.3963000000000001</v>
      </c>
      <c r="H173" s="2">
        <v>8.7866999999999997</v>
      </c>
      <c r="I173" s="2">
        <v>0.88870000000000005</v>
      </c>
      <c r="J173" s="2">
        <v>11.870900000000001</v>
      </c>
      <c r="K173" s="2">
        <v>2302.4499999999998</v>
      </c>
      <c r="L173" s="2">
        <v>0</v>
      </c>
    </row>
    <row r="174" spans="1:12" x14ac:dyDescent="0.35">
      <c r="A174" s="3" t="s">
        <v>1109</v>
      </c>
      <c r="B174" s="1" t="str">
        <f t="shared" si="4"/>
        <v>Corumba IV</v>
      </c>
      <c r="C174" s="1">
        <f t="shared" si="5"/>
        <v>-1653</v>
      </c>
      <c r="D174" s="2">
        <v>0</v>
      </c>
      <c r="E174" s="2">
        <v>0</v>
      </c>
      <c r="F174" s="2">
        <v>0</v>
      </c>
      <c r="G174" s="2">
        <v>0.3629</v>
      </c>
      <c r="H174" s="2">
        <v>101.0172</v>
      </c>
      <c r="I174" s="2">
        <v>3.1934</v>
      </c>
      <c r="J174" s="2">
        <v>98.186700000000002</v>
      </c>
      <c r="K174" s="2">
        <v>0</v>
      </c>
      <c r="L174" s="2">
        <v>0</v>
      </c>
    </row>
    <row r="175" spans="1:12" x14ac:dyDescent="0.35">
      <c r="A175" s="3" t="s">
        <v>1110</v>
      </c>
      <c r="B175" s="1" t="str">
        <f t="shared" si="4"/>
        <v>Lago Paranoa</v>
      </c>
      <c r="C175" s="1">
        <f t="shared" si="5"/>
        <v>-1653</v>
      </c>
      <c r="D175" s="2">
        <v>0</v>
      </c>
      <c r="E175" s="2">
        <v>2302.4499999999998</v>
      </c>
      <c r="F175" s="2">
        <v>0.4234</v>
      </c>
      <c r="G175" s="2">
        <v>4.1371000000000002</v>
      </c>
      <c r="H175" s="2">
        <v>6.6921999999999997</v>
      </c>
      <c r="I175" s="2">
        <v>0.88870000000000005</v>
      </c>
      <c r="J175" s="2">
        <v>9.5172000000000008</v>
      </c>
      <c r="K175" s="2">
        <v>2302.4499999999998</v>
      </c>
      <c r="L175" s="2">
        <v>0</v>
      </c>
    </row>
    <row r="176" spans="1:12" x14ac:dyDescent="0.35">
      <c r="A176" s="3" t="s">
        <v>1111</v>
      </c>
      <c r="B176" s="1" t="str">
        <f t="shared" si="4"/>
        <v>Corumba IV</v>
      </c>
      <c r="C176" s="1">
        <f t="shared" si="5"/>
        <v>-1652</v>
      </c>
      <c r="D176" s="2">
        <v>0</v>
      </c>
      <c r="E176" s="2">
        <v>0</v>
      </c>
      <c r="F176" s="2">
        <v>0</v>
      </c>
      <c r="G176" s="2">
        <v>0.99139999999999995</v>
      </c>
      <c r="H176" s="2">
        <v>93.950500000000005</v>
      </c>
      <c r="I176" s="2">
        <v>2.8971</v>
      </c>
      <c r="J176" s="2">
        <v>92.044799999999995</v>
      </c>
      <c r="K176" s="2">
        <v>0</v>
      </c>
      <c r="L176" s="2">
        <v>0</v>
      </c>
    </row>
    <row r="177" spans="1:12" x14ac:dyDescent="0.35">
      <c r="A177" s="3" t="s">
        <v>1112</v>
      </c>
      <c r="B177" s="1" t="str">
        <f t="shared" si="4"/>
        <v>Lago Paranoa</v>
      </c>
      <c r="C177" s="1">
        <f t="shared" si="5"/>
        <v>-1652</v>
      </c>
      <c r="D177" s="2">
        <v>0</v>
      </c>
      <c r="E177" s="2">
        <v>2302.4499999999998</v>
      </c>
      <c r="F177" s="2">
        <v>0.4234</v>
      </c>
      <c r="G177" s="2">
        <v>4.3437999999999999</v>
      </c>
      <c r="H177" s="2">
        <v>7.1532</v>
      </c>
      <c r="I177" s="2">
        <v>0.67520000000000002</v>
      </c>
      <c r="J177" s="2">
        <v>10.398400000000001</v>
      </c>
      <c r="K177" s="2">
        <v>2302.4499999999998</v>
      </c>
      <c r="L177" s="2">
        <v>0</v>
      </c>
    </row>
    <row r="178" spans="1:12" x14ac:dyDescent="0.35">
      <c r="A178" s="3" t="s">
        <v>1113</v>
      </c>
      <c r="B178" s="1" t="str">
        <f t="shared" si="4"/>
        <v>Corumba IV</v>
      </c>
      <c r="C178" s="1">
        <f t="shared" si="5"/>
        <v>-1651</v>
      </c>
      <c r="D178" s="2">
        <v>0</v>
      </c>
      <c r="E178" s="2">
        <v>0</v>
      </c>
      <c r="F178" s="2">
        <v>0</v>
      </c>
      <c r="G178" s="2">
        <v>0.50749999999999995</v>
      </c>
      <c r="H178" s="2">
        <v>82.032499999999999</v>
      </c>
      <c r="I178" s="2">
        <v>2.8477000000000001</v>
      </c>
      <c r="J178" s="2">
        <v>79.692300000000003</v>
      </c>
      <c r="K178" s="2">
        <v>0</v>
      </c>
      <c r="L178" s="2">
        <v>0</v>
      </c>
    </row>
    <row r="179" spans="1:12" x14ac:dyDescent="0.35">
      <c r="A179" s="3" t="s">
        <v>1114</v>
      </c>
      <c r="B179" s="1" t="str">
        <f t="shared" si="4"/>
        <v>Lago Paranoa</v>
      </c>
      <c r="C179" s="1">
        <f t="shared" si="5"/>
        <v>-1651</v>
      </c>
      <c r="D179" s="2">
        <v>0</v>
      </c>
      <c r="E179" s="2">
        <v>2302.4499999999998</v>
      </c>
      <c r="F179" s="2">
        <v>0.4234</v>
      </c>
      <c r="G179" s="2">
        <v>3.5855999999999999</v>
      </c>
      <c r="H179" s="2">
        <v>5.3688000000000002</v>
      </c>
      <c r="I179" s="2">
        <v>0.63970000000000005</v>
      </c>
      <c r="J179" s="2">
        <v>7.8914</v>
      </c>
      <c r="K179" s="2">
        <v>2302.4499999999998</v>
      </c>
      <c r="L179" s="2">
        <v>0</v>
      </c>
    </row>
    <row r="180" spans="1:12" x14ac:dyDescent="0.35">
      <c r="A180" s="3" t="s">
        <v>1115</v>
      </c>
      <c r="B180" s="1" t="str">
        <f t="shared" si="4"/>
        <v>Corumba IV</v>
      </c>
      <c r="C180" s="1">
        <f t="shared" si="5"/>
        <v>-1650</v>
      </c>
      <c r="D180" s="2">
        <v>0</v>
      </c>
      <c r="E180" s="2">
        <v>0</v>
      </c>
      <c r="F180" s="2">
        <v>0</v>
      </c>
      <c r="G180" s="2">
        <v>0.54420000000000002</v>
      </c>
      <c r="H180" s="2">
        <v>69.094099999999997</v>
      </c>
      <c r="I180" s="2">
        <v>2.8477000000000001</v>
      </c>
      <c r="J180" s="2">
        <v>66.790599999999998</v>
      </c>
      <c r="K180" s="2">
        <v>0</v>
      </c>
      <c r="L180" s="2">
        <v>0</v>
      </c>
    </row>
    <row r="181" spans="1:12" x14ac:dyDescent="0.35">
      <c r="A181" s="3" t="s">
        <v>1116</v>
      </c>
      <c r="B181" s="1" t="str">
        <f t="shared" si="4"/>
        <v>Lago Paranoa</v>
      </c>
      <c r="C181" s="1">
        <f t="shared" si="5"/>
        <v>-1650</v>
      </c>
      <c r="D181" s="2">
        <v>0</v>
      </c>
      <c r="E181" s="2">
        <v>2302.4499999999998</v>
      </c>
      <c r="F181" s="2">
        <v>0.4234</v>
      </c>
      <c r="G181" s="2">
        <v>3.8479999999999999</v>
      </c>
      <c r="H181" s="2">
        <v>5.8556999999999997</v>
      </c>
      <c r="I181" s="2">
        <v>0.63970000000000005</v>
      </c>
      <c r="J181" s="2">
        <v>8.6407000000000007</v>
      </c>
      <c r="K181" s="2">
        <v>2302.4499999999998</v>
      </c>
      <c r="L181" s="2">
        <v>0</v>
      </c>
    </row>
    <row r="182" spans="1:12" x14ac:dyDescent="0.35">
      <c r="A182" s="3" t="s">
        <v>1117</v>
      </c>
      <c r="B182" s="1" t="str">
        <f t="shared" si="4"/>
        <v>Corumba IV</v>
      </c>
      <c r="C182" s="1">
        <f t="shared" si="5"/>
        <v>-1649</v>
      </c>
      <c r="D182" s="2">
        <v>0</v>
      </c>
      <c r="E182" s="2">
        <v>0</v>
      </c>
      <c r="F182" s="2">
        <v>0</v>
      </c>
      <c r="G182" s="2">
        <v>0.62209999999999999</v>
      </c>
      <c r="H182" s="2">
        <v>63.18</v>
      </c>
      <c r="I182" s="2">
        <v>2.964</v>
      </c>
      <c r="J182" s="2">
        <v>60.838099999999997</v>
      </c>
      <c r="K182" s="2">
        <v>0</v>
      </c>
      <c r="L182" s="2">
        <v>0</v>
      </c>
    </row>
    <row r="183" spans="1:12" x14ac:dyDescent="0.35">
      <c r="A183" s="3" t="s">
        <v>1118</v>
      </c>
      <c r="B183" s="1" t="str">
        <f t="shared" si="4"/>
        <v>Lago Paranoa</v>
      </c>
      <c r="C183" s="1">
        <f t="shared" si="5"/>
        <v>-1649</v>
      </c>
      <c r="D183" s="2">
        <v>0</v>
      </c>
      <c r="E183" s="2">
        <v>2302.4499999999998</v>
      </c>
      <c r="F183" s="2">
        <v>0.4234</v>
      </c>
      <c r="G183" s="2">
        <v>3.71</v>
      </c>
      <c r="H183" s="2">
        <v>5.1970999999999998</v>
      </c>
      <c r="I183" s="2">
        <v>0.66259999999999997</v>
      </c>
      <c r="J183" s="2">
        <v>7.8212000000000002</v>
      </c>
      <c r="K183" s="2">
        <v>2302.4499999999998</v>
      </c>
      <c r="L183" s="2">
        <v>0</v>
      </c>
    </row>
    <row r="184" spans="1:12" x14ac:dyDescent="0.35">
      <c r="A184" s="3" t="s">
        <v>1119</v>
      </c>
      <c r="B184" s="1" t="str">
        <f t="shared" si="4"/>
        <v>Corumba IV</v>
      </c>
      <c r="C184" s="1">
        <f t="shared" si="5"/>
        <v>-1648</v>
      </c>
      <c r="D184" s="2">
        <v>0</v>
      </c>
      <c r="E184" s="2">
        <v>0</v>
      </c>
      <c r="F184" s="2">
        <v>0</v>
      </c>
      <c r="G184" s="2">
        <v>0.46300000000000002</v>
      </c>
      <c r="H184" s="2">
        <v>58.3718</v>
      </c>
      <c r="I184" s="2">
        <v>3.2037</v>
      </c>
      <c r="J184" s="2">
        <v>55.6312</v>
      </c>
      <c r="K184" s="2">
        <v>0</v>
      </c>
      <c r="L184" s="2">
        <v>0</v>
      </c>
    </row>
    <row r="185" spans="1:12" x14ac:dyDescent="0.35">
      <c r="A185" s="3" t="s">
        <v>1120</v>
      </c>
      <c r="B185" s="1" t="str">
        <f t="shared" si="4"/>
        <v>Lago Paranoa</v>
      </c>
      <c r="C185" s="1">
        <f t="shared" si="5"/>
        <v>-1648</v>
      </c>
      <c r="D185" s="2">
        <v>0</v>
      </c>
      <c r="E185" s="2">
        <v>2302.4499999999998</v>
      </c>
      <c r="F185" s="2">
        <v>0.4234</v>
      </c>
      <c r="G185" s="2">
        <v>3.6922999999999999</v>
      </c>
      <c r="H185" s="2">
        <v>5.2667999999999999</v>
      </c>
      <c r="I185" s="2">
        <v>0.77529999999999999</v>
      </c>
      <c r="J185" s="2">
        <v>7.7605000000000004</v>
      </c>
      <c r="K185" s="2">
        <v>2302.4499999999998</v>
      </c>
      <c r="L185" s="2">
        <v>0</v>
      </c>
    </row>
    <row r="186" spans="1:12" x14ac:dyDescent="0.35">
      <c r="A186" s="3" t="s">
        <v>1121</v>
      </c>
      <c r="B186" s="1" t="str">
        <f t="shared" si="4"/>
        <v>Corumba IV</v>
      </c>
      <c r="C186" s="1">
        <f t="shared" si="5"/>
        <v>-1647</v>
      </c>
      <c r="D186" s="2">
        <v>0</v>
      </c>
      <c r="E186" s="2">
        <v>0</v>
      </c>
      <c r="F186" s="2">
        <v>0</v>
      </c>
      <c r="G186" s="2">
        <v>0.3629</v>
      </c>
      <c r="H186" s="2">
        <v>51.811500000000002</v>
      </c>
      <c r="I186" s="2">
        <v>3.7576000000000001</v>
      </c>
      <c r="J186" s="2">
        <v>48.416800000000002</v>
      </c>
      <c r="K186" s="2">
        <v>0</v>
      </c>
      <c r="L186" s="2">
        <v>0</v>
      </c>
    </row>
    <row r="187" spans="1:12" x14ac:dyDescent="0.35">
      <c r="A187" s="3" t="s">
        <v>1122</v>
      </c>
      <c r="B187" s="1" t="str">
        <f t="shared" si="4"/>
        <v>Lago Paranoa</v>
      </c>
      <c r="C187" s="1">
        <f t="shared" si="5"/>
        <v>-1647</v>
      </c>
      <c r="D187" s="2">
        <v>0</v>
      </c>
      <c r="E187" s="2">
        <v>2302.4499999999998</v>
      </c>
      <c r="F187" s="2">
        <v>0.4234</v>
      </c>
      <c r="G187" s="2">
        <v>3.4037000000000002</v>
      </c>
      <c r="H187" s="2">
        <v>4.5190999999999999</v>
      </c>
      <c r="I187" s="2">
        <v>0.92889999999999995</v>
      </c>
      <c r="J187" s="2">
        <v>6.5705</v>
      </c>
      <c r="K187" s="2">
        <v>2302.4499999999998</v>
      </c>
      <c r="L187" s="2">
        <v>0</v>
      </c>
    </row>
    <row r="188" spans="1:12" x14ac:dyDescent="0.35">
      <c r="A188" s="3" t="s">
        <v>1123</v>
      </c>
      <c r="B188" s="1" t="str">
        <f t="shared" si="4"/>
        <v>Corumba IV</v>
      </c>
      <c r="C188" s="1">
        <f t="shared" si="5"/>
        <v>-1646</v>
      </c>
      <c r="D188" s="2">
        <v>0</v>
      </c>
      <c r="E188" s="2">
        <v>0</v>
      </c>
      <c r="F188" s="2">
        <v>0</v>
      </c>
      <c r="G188" s="2">
        <v>0.3629</v>
      </c>
      <c r="H188" s="2">
        <v>54.4985</v>
      </c>
      <c r="I188" s="2">
        <v>4.2019000000000002</v>
      </c>
      <c r="J188" s="2">
        <v>50.659500000000001</v>
      </c>
      <c r="K188" s="2">
        <v>0</v>
      </c>
      <c r="L188" s="2">
        <v>0</v>
      </c>
    </row>
    <row r="189" spans="1:12" x14ac:dyDescent="0.35">
      <c r="A189" s="3" t="s">
        <v>1124</v>
      </c>
      <c r="B189" s="1" t="str">
        <f t="shared" si="4"/>
        <v>Lago Paranoa</v>
      </c>
      <c r="C189" s="1">
        <f t="shared" si="5"/>
        <v>-1646</v>
      </c>
      <c r="D189" s="2">
        <v>0</v>
      </c>
      <c r="E189" s="2">
        <v>2302.4499999999998</v>
      </c>
      <c r="F189" s="2">
        <v>0.4234</v>
      </c>
      <c r="G189" s="2">
        <v>3.0463</v>
      </c>
      <c r="H189" s="2">
        <v>4.0735000000000001</v>
      </c>
      <c r="I189" s="2">
        <v>1.0129999999999999</v>
      </c>
      <c r="J189" s="2">
        <v>5.6835000000000004</v>
      </c>
      <c r="K189" s="2">
        <v>2302.4499999999998</v>
      </c>
      <c r="L189" s="2">
        <v>0</v>
      </c>
    </row>
    <row r="190" spans="1:12" x14ac:dyDescent="0.35">
      <c r="A190" s="3" t="s">
        <v>1125</v>
      </c>
      <c r="B190" s="1" t="str">
        <f t="shared" si="4"/>
        <v>Corumba IV</v>
      </c>
      <c r="C190" s="1">
        <f t="shared" si="5"/>
        <v>-1645</v>
      </c>
      <c r="D190" s="2">
        <v>0</v>
      </c>
      <c r="E190" s="2">
        <v>0</v>
      </c>
      <c r="F190" s="2">
        <v>0</v>
      </c>
      <c r="G190" s="2">
        <v>0.3629</v>
      </c>
      <c r="H190" s="2">
        <v>51.249899999999997</v>
      </c>
      <c r="I190" s="2">
        <v>4.2019000000000002</v>
      </c>
      <c r="J190" s="2">
        <v>47.410899999999998</v>
      </c>
      <c r="K190" s="2">
        <v>0</v>
      </c>
      <c r="L190" s="2">
        <v>0</v>
      </c>
    </row>
    <row r="191" spans="1:12" x14ac:dyDescent="0.35">
      <c r="A191" s="3" t="s">
        <v>1126</v>
      </c>
      <c r="B191" s="1" t="str">
        <f t="shared" si="4"/>
        <v>Lago Paranoa</v>
      </c>
      <c r="C191" s="1">
        <f t="shared" si="5"/>
        <v>-1645</v>
      </c>
      <c r="D191" s="2">
        <v>0</v>
      </c>
      <c r="E191" s="2">
        <v>2302.4499999999998</v>
      </c>
      <c r="F191" s="2">
        <v>0.4234</v>
      </c>
      <c r="G191" s="2">
        <v>2.8090000000000002</v>
      </c>
      <c r="H191" s="2">
        <v>3.8531</v>
      </c>
      <c r="I191" s="2">
        <v>1.0129999999999999</v>
      </c>
      <c r="J191" s="2">
        <v>5.2257999999999996</v>
      </c>
      <c r="K191" s="2">
        <v>2302.4499999999998</v>
      </c>
      <c r="L191" s="2">
        <v>0</v>
      </c>
    </row>
    <row r="192" spans="1:12" x14ac:dyDescent="0.35">
      <c r="A192" s="3" t="s">
        <v>1127</v>
      </c>
      <c r="B192" s="1" t="str">
        <f t="shared" si="4"/>
        <v>Corumba IV</v>
      </c>
      <c r="C192" s="1">
        <f t="shared" si="5"/>
        <v>-1644</v>
      </c>
      <c r="D192" s="2">
        <v>0</v>
      </c>
      <c r="E192" s="2">
        <v>0</v>
      </c>
      <c r="F192" s="2">
        <v>0</v>
      </c>
      <c r="G192" s="2">
        <v>0.3629</v>
      </c>
      <c r="H192" s="2">
        <v>46.741500000000002</v>
      </c>
      <c r="I192" s="2">
        <v>4.2842000000000002</v>
      </c>
      <c r="J192" s="2">
        <v>42.8202</v>
      </c>
      <c r="K192" s="2">
        <v>0</v>
      </c>
      <c r="L192" s="2">
        <v>0</v>
      </c>
    </row>
    <row r="193" spans="1:12" x14ac:dyDescent="0.35">
      <c r="A193" s="3" t="s">
        <v>1128</v>
      </c>
      <c r="B193" s="1" t="str">
        <f t="shared" si="4"/>
        <v>Lago Paranoa</v>
      </c>
      <c r="C193" s="1">
        <f t="shared" si="5"/>
        <v>-1644</v>
      </c>
      <c r="D193" s="2">
        <v>0</v>
      </c>
      <c r="E193" s="2">
        <v>2302.4499999999998</v>
      </c>
      <c r="F193" s="2">
        <v>0.4234</v>
      </c>
      <c r="G193" s="2">
        <v>2.7067000000000001</v>
      </c>
      <c r="H193" s="2">
        <v>3.8719000000000001</v>
      </c>
      <c r="I193" s="2">
        <v>1.0123</v>
      </c>
      <c r="J193" s="2">
        <v>5.1428000000000003</v>
      </c>
      <c r="K193" s="2">
        <v>2302.4499999999998</v>
      </c>
      <c r="L193" s="2">
        <v>0</v>
      </c>
    </row>
    <row r="194" spans="1:12" x14ac:dyDescent="0.35">
      <c r="A194" s="3" t="s">
        <v>1129</v>
      </c>
      <c r="B194" s="1" t="str">
        <f t="shared" si="4"/>
        <v>Corumba IV</v>
      </c>
      <c r="C194" s="1">
        <f t="shared" si="5"/>
        <v>-1643</v>
      </c>
      <c r="D194" s="2">
        <v>0</v>
      </c>
      <c r="E194" s="2">
        <v>0</v>
      </c>
      <c r="F194" s="2">
        <v>0</v>
      </c>
      <c r="G194" s="2">
        <v>0.3629</v>
      </c>
      <c r="H194" s="2">
        <v>44.126199999999997</v>
      </c>
      <c r="I194" s="2">
        <v>4.7781000000000002</v>
      </c>
      <c r="J194" s="2">
        <v>39.710999999999999</v>
      </c>
      <c r="K194" s="2">
        <v>0</v>
      </c>
      <c r="L194" s="2">
        <v>0</v>
      </c>
    </row>
    <row r="195" spans="1:12" x14ac:dyDescent="0.35">
      <c r="A195" s="3" t="s">
        <v>1130</v>
      </c>
      <c r="B195" s="1" t="str">
        <f t="shared" ref="B195:B258" si="6">_xlfn.TEXTBEFORE(_xlfn.TEXTAFTER(A195,"["),"]")</f>
        <v>Lago Paranoa</v>
      </c>
      <c r="C195" s="1">
        <f t="shared" si="5"/>
        <v>-1643</v>
      </c>
      <c r="D195" s="2">
        <v>0</v>
      </c>
      <c r="E195" s="2">
        <v>2302.4499999999998</v>
      </c>
      <c r="F195" s="2">
        <v>0.4234</v>
      </c>
      <c r="G195" s="2">
        <v>2.5949</v>
      </c>
      <c r="H195" s="2">
        <v>3.6720999999999999</v>
      </c>
      <c r="I195" s="2">
        <v>1.0085</v>
      </c>
      <c r="J195" s="2">
        <v>4.8352000000000004</v>
      </c>
      <c r="K195" s="2">
        <v>2302.4499999999998</v>
      </c>
      <c r="L195" s="2">
        <v>0</v>
      </c>
    </row>
    <row r="196" spans="1:12" x14ac:dyDescent="0.35">
      <c r="A196" s="3" t="s">
        <v>1131</v>
      </c>
      <c r="B196" s="1" t="str">
        <f t="shared" si="6"/>
        <v>Corumba IV</v>
      </c>
      <c r="C196" s="1">
        <f t="shared" ref="C196:C259" si="7">--_xlfn.TEXTBEFORE(_xlfn.TEXTAFTER(A196,"Week "),":")</f>
        <v>-1642</v>
      </c>
      <c r="D196" s="2">
        <v>0</v>
      </c>
      <c r="E196" s="2">
        <v>0</v>
      </c>
      <c r="F196" s="2">
        <v>0</v>
      </c>
      <c r="G196" s="2">
        <v>0.3629</v>
      </c>
      <c r="H196" s="2">
        <v>40.465400000000002</v>
      </c>
      <c r="I196" s="2">
        <v>4.7781000000000002</v>
      </c>
      <c r="J196" s="2">
        <v>36.050199999999997</v>
      </c>
      <c r="K196" s="2">
        <v>0</v>
      </c>
      <c r="L196" s="2">
        <v>0</v>
      </c>
    </row>
    <row r="197" spans="1:12" x14ac:dyDescent="0.35">
      <c r="A197" s="3" t="s">
        <v>1132</v>
      </c>
      <c r="B197" s="1" t="str">
        <f t="shared" si="6"/>
        <v>Lago Paranoa</v>
      </c>
      <c r="C197" s="1">
        <f t="shared" si="7"/>
        <v>-1642</v>
      </c>
      <c r="D197" s="2">
        <v>0</v>
      </c>
      <c r="E197" s="2">
        <v>2302.4499999999998</v>
      </c>
      <c r="F197" s="2">
        <v>0.4234</v>
      </c>
      <c r="G197" s="2">
        <v>2.6825000000000001</v>
      </c>
      <c r="H197" s="2">
        <v>3.5554000000000001</v>
      </c>
      <c r="I197" s="2">
        <v>1.0085</v>
      </c>
      <c r="J197" s="2">
        <v>4.8060999999999998</v>
      </c>
      <c r="K197" s="2">
        <v>2302.4499999999998</v>
      </c>
      <c r="L197" s="2">
        <v>0</v>
      </c>
    </row>
    <row r="198" spans="1:12" x14ac:dyDescent="0.35">
      <c r="A198" s="3" t="s">
        <v>1133</v>
      </c>
      <c r="B198" s="1" t="str">
        <f t="shared" si="6"/>
        <v>Corumba IV</v>
      </c>
      <c r="C198" s="1">
        <f t="shared" si="7"/>
        <v>-1641</v>
      </c>
      <c r="D198" s="2">
        <v>0</v>
      </c>
      <c r="E198" s="2">
        <v>0</v>
      </c>
      <c r="F198" s="2">
        <v>0</v>
      </c>
      <c r="G198" s="2">
        <v>0.3629</v>
      </c>
      <c r="H198" s="2">
        <v>41.544600000000003</v>
      </c>
      <c r="I198" s="2">
        <v>4.7781000000000002</v>
      </c>
      <c r="J198" s="2">
        <v>37.129300000000001</v>
      </c>
      <c r="K198" s="2">
        <v>0</v>
      </c>
      <c r="L198" s="2">
        <v>0</v>
      </c>
    </row>
    <row r="199" spans="1:12" x14ac:dyDescent="0.35">
      <c r="A199" s="3" t="s">
        <v>1134</v>
      </c>
      <c r="B199" s="1" t="str">
        <f t="shared" si="6"/>
        <v>Lago Paranoa</v>
      </c>
      <c r="C199" s="1">
        <f t="shared" si="7"/>
        <v>-1641</v>
      </c>
      <c r="D199" s="2">
        <v>0</v>
      </c>
      <c r="E199" s="2">
        <v>2302.4499999999998</v>
      </c>
      <c r="F199" s="2">
        <v>0.4234</v>
      </c>
      <c r="G199" s="2">
        <v>2.8582999999999998</v>
      </c>
      <c r="H199" s="2">
        <v>3.7936000000000001</v>
      </c>
      <c r="I199" s="2">
        <v>1.0085</v>
      </c>
      <c r="J199" s="2">
        <v>5.2201000000000004</v>
      </c>
      <c r="K199" s="2">
        <v>2302.4499999999998</v>
      </c>
      <c r="L199" s="2">
        <v>0</v>
      </c>
    </row>
    <row r="200" spans="1:12" x14ac:dyDescent="0.35">
      <c r="A200" s="3" t="s">
        <v>1135</v>
      </c>
      <c r="B200" s="1" t="str">
        <f t="shared" si="6"/>
        <v>Corumba IV</v>
      </c>
      <c r="C200" s="1">
        <f t="shared" si="7"/>
        <v>-1640</v>
      </c>
      <c r="D200" s="2">
        <v>0</v>
      </c>
      <c r="E200" s="2">
        <v>0</v>
      </c>
      <c r="F200" s="2">
        <v>0</v>
      </c>
      <c r="G200" s="2">
        <v>0.3629</v>
      </c>
      <c r="H200" s="2">
        <v>38.736600000000003</v>
      </c>
      <c r="I200" s="2">
        <v>4.8983999999999996</v>
      </c>
      <c r="J200" s="2">
        <v>34.201000000000001</v>
      </c>
      <c r="K200" s="2">
        <v>0</v>
      </c>
      <c r="L200" s="2">
        <v>0</v>
      </c>
    </row>
    <row r="201" spans="1:12" x14ac:dyDescent="0.35">
      <c r="A201" s="3" t="s">
        <v>1136</v>
      </c>
      <c r="B201" s="1" t="str">
        <f t="shared" si="6"/>
        <v>Lago Paranoa</v>
      </c>
      <c r="C201" s="1">
        <f t="shared" si="7"/>
        <v>-1640</v>
      </c>
      <c r="D201" s="2">
        <v>0</v>
      </c>
      <c r="E201" s="2">
        <v>2302.4499999999998</v>
      </c>
      <c r="F201" s="2">
        <v>0.4234</v>
      </c>
      <c r="G201" s="2">
        <v>2.7804000000000002</v>
      </c>
      <c r="H201" s="2">
        <v>3.8319999999999999</v>
      </c>
      <c r="I201" s="2">
        <v>1.0551999999999999</v>
      </c>
      <c r="J201" s="2">
        <v>5.1337999999999999</v>
      </c>
      <c r="K201" s="2">
        <v>2302.4499999999998</v>
      </c>
      <c r="L201" s="2">
        <v>0</v>
      </c>
    </row>
    <row r="202" spans="1:12" x14ac:dyDescent="0.35">
      <c r="A202" s="3" t="s">
        <v>1137</v>
      </c>
      <c r="B202" s="1" t="str">
        <f t="shared" si="6"/>
        <v>Corumba IV</v>
      </c>
      <c r="C202" s="1">
        <f t="shared" si="7"/>
        <v>-1639</v>
      </c>
      <c r="D202" s="2">
        <v>0</v>
      </c>
      <c r="E202" s="2">
        <v>0</v>
      </c>
      <c r="F202" s="2">
        <v>0</v>
      </c>
      <c r="G202" s="2">
        <v>0.3629</v>
      </c>
      <c r="H202" s="2">
        <v>41.623199999999997</v>
      </c>
      <c r="I202" s="2">
        <v>5.3697999999999997</v>
      </c>
      <c r="J202" s="2">
        <v>36.616300000000003</v>
      </c>
      <c r="K202" s="2">
        <v>0</v>
      </c>
      <c r="L202" s="2">
        <v>0</v>
      </c>
    </row>
    <row r="203" spans="1:12" x14ac:dyDescent="0.35">
      <c r="A203" s="3" t="s">
        <v>1138</v>
      </c>
      <c r="B203" s="1" t="str">
        <f t="shared" si="6"/>
        <v>Lago Paranoa</v>
      </c>
      <c r="C203" s="1">
        <f t="shared" si="7"/>
        <v>-1639</v>
      </c>
      <c r="D203" s="2">
        <v>0</v>
      </c>
      <c r="E203" s="2">
        <v>2302.4499999999998</v>
      </c>
      <c r="F203" s="2">
        <v>0.4234</v>
      </c>
      <c r="G203" s="2">
        <v>2.9658000000000002</v>
      </c>
      <c r="H203" s="2">
        <v>4.5598999999999998</v>
      </c>
      <c r="I203" s="2">
        <v>1.3030999999999999</v>
      </c>
      <c r="J203" s="2">
        <v>5.7992999999999997</v>
      </c>
      <c r="K203" s="2">
        <v>2302.4499999999998</v>
      </c>
      <c r="L203" s="2">
        <v>0</v>
      </c>
    </row>
    <row r="204" spans="1:12" x14ac:dyDescent="0.35">
      <c r="A204" s="3" t="s">
        <v>1139</v>
      </c>
      <c r="B204" s="1" t="str">
        <f t="shared" si="6"/>
        <v>Corumba IV</v>
      </c>
      <c r="C204" s="1">
        <f t="shared" si="7"/>
        <v>-1768</v>
      </c>
      <c r="D204" s="2">
        <v>0</v>
      </c>
      <c r="E204" s="2">
        <v>0</v>
      </c>
      <c r="F204" s="2">
        <v>0</v>
      </c>
      <c r="G204" s="2">
        <v>1.2914000000000001</v>
      </c>
      <c r="H204" s="2">
        <v>66.254999999999995</v>
      </c>
      <c r="I204" s="2">
        <v>4.4607999999999999</v>
      </c>
      <c r="J204" s="2">
        <v>63.085599999999999</v>
      </c>
      <c r="K204" s="2">
        <v>0</v>
      </c>
      <c r="L204" s="2">
        <v>0</v>
      </c>
    </row>
    <row r="205" spans="1:12" x14ac:dyDescent="0.35">
      <c r="A205" s="3" t="s">
        <v>1140</v>
      </c>
      <c r="B205" s="1" t="str">
        <f t="shared" si="6"/>
        <v>Lago Paranoa</v>
      </c>
      <c r="C205" s="1">
        <f t="shared" si="7"/>
        <v>-1768</v>
      </c>
      <c r="D205" s="2">
        <v>0</v>
      </c>
      <c r="E205" s="2">
        <v>2302.4499999999998</v>
      </c>
      <c r="F205" s="2">
        <v>0.4234</v>
      </c>
      <c r="G205" s="2">
        <v>3.7774000000000001</v>
      </c>
      <c r="H205" s="2">
        <v>5.3894000000000002</v>
      </c>
      <c r="I205" s="2">
        <v>1.3848</v>
      </c>
      <c r="J205" s="2">
        <v>7.3586999999999998</v>
      </c>
      <c r="K205" s="2">
        <v>2302.4499999999998</v>
      </c>
      <c r="L205" s="2">
        <v>0</v>
      </c>
    </row>
    <row r="206" spans="1:12" x14ac:dyDescent="0.35">
      <c r="A206" s="3" t="s">
        <v>1141</v>
      </c>
      <c r="B206" s="1" t="str">
        <f t="shared" si="6"/>
        <v>Corumba IV</v>
      </c>
      <c r="C206" s="1">
        <f t="shared" si="7"/>
        <v>-1767</v>
      </c>
      <c r="D206" s="2">
        <v>0</v>
      </c>
      <c r="E206" s="2">
        <v>0</v>
      </c>
      <c r="F206" s="2">
        <v>0</v>
      </c>
      <c r="G206" s="2">
        <v>0.8387</v>
      </c>
      <c r="H206" s="2">
        <v>77.116299999999995</v>
      </c>
      <c r="I206" s="2">
        <v>4.4607999999999999</v>
      </c>
      <c r="J206" s="2">
        <v>73.494200000000006</v>
      </c>
      <c r="K206" s="2">
        <v>0</v>
      </c>
      <c r="L206" s="2">
        <v>0</v>
      </c>
    </row>
    <row r="207" spans="1:12" x14ac:dyDescent="0.35">
      <c r="A207" s="3" t="s">
        <v>1142</v>
      </c>
      <c r="B207" s="1" t="str">
        <f t="shared" si="6"/>
        <v>Lago Paranoa</v>
      </c>
      <c r="C207" s="1">
        <f t="shared" si="7"/>
        <v>-1767</v>
      </c>
      <c r="D207" s="2">
        <v>0</v>
      </c>
      <c r="E207" s="2">
        <v>2302.4499999999998</v>
      </c>
      <c r="F207" s="2">
        <v>0.4234</v>
      </c>
      <c r="G207" s="2">
        <v>3.0434999999999999</v>
      </c>
      <c r="H207" s="2">
        <v>6.1628999999999996</v>
      </c>
      <c r="I207" s="2">
        <v>1.3848</v>
      </c>
      <c r="J207" s="2">
        <v>7.3982999999999999</v>
      </c>
      <c r="K207" s="2">
        <v>2302.4499999999998</v>
      </c>
      <c r="L207" s="2">
        <v>0</v>
      </c>
    </row>
    <row r="208" spans="1:12" x14ac:dyDescent="0.35">
      <c r="A208" s="3" t="s">
        <v>1143</v>
      </c>
      <c r="B208" s="1" t="str">
        <f t="shared" si="6"/>
        <v>Corumba IV</v>
      </c>
      <c r="C208" s="1">
        <f t="shared" si="7"/>
        <v>-1766</v>
      </c>
      <c r="D208" s="2">
        <v>0</v>
      </c>
      <c r="E208" s="2">
        <v>0</v>
      </c>
      <c r="F208" s="2">
        <v>0</v>
      </c>
      <c r="G208" s="2">
        <v>0.3629</v>
      </c>
      <c r="H208" s="2">
        <v>79.023200000000003</v>
      </c>
      <c r="I208" s="2">
        <v>4.4607999999999999</v>
      </c>
      <c r="J208" s="2">
        <v>74.925200000000004</v>
      </c>
      <c r="K208" s="2">
        <v>0</v>
      </c>
      <c r="L208" s="2">
        <v>0</v>
      </c>
    </row>
    <row r="209" spans="1:12" x14ac:dyDescent="0.35">
      <c r="A209" s="3" t="s">
        <v>1144</v>
      </c>
      <c r="B209" s="1" t="str">
        <f t="shared" si="6"/>
        <v>Lago Paranoa</v>
      </c>
      <c r="C209" s="1">
        <f t="shared" si="7"/>
        <v>-1766</v>
      </c>
      <c r="D209" s="2">
        <v>0</v>
      </c>
      <c r="E209" s="2">
        <v>2302.4499999999998</v>
      </c>
      <c r="F209" s="2">
        <v>0.4234</v>
      </c>
      <c r="G209" s="2">
        <v>2.6436000000000002</v>
      </c>
      <c r="H209" s="2">
        <v>5.9664000000000001</v>
      </c>
      <c r="I209" s="2">
        <v>1.3848</v>
      </c>
      <c r="J209" s="2">
        <v>6.8018000000000001</v>
      </c>
      <c r="K209" s="2">
        <v>2302.4499999999998</v>
      </c>
      <c r="L209" s="2">
        <v>0</v>
      </c>
    </row>
    <row r="210" spans="1:12" x14ac:dyDescent="0.35">
      <c r="A210" s="3" t="s">
        <v>1145</v>
      </c>
      <c r="B210" s="1" t="str">
        <f t="shared" si="6"/>
        <v>Corumba IV</v>
      </c>
      <c r="C210" s="1">
        <f t="shared" si="7"/>
        <v>-1765</v>
      </c>
      <c r="D210" s="2">
        <v>0</v>
      </c>
      <c r="E210" s="2">
        <v>0</v>
      </c>
      <c r="F210" s="2">
        <v>0</v>
      </c>
      <c r="G210" s="2">
        <v>0.3629</v>
      </c>
      <c r="H210" s="2">
        <v>66.927999999999997</v>
      </c>
      <c r="I210" s="2">
        <v>4.3761000000000001</v>
      </c>
      <c r="J210" s="2">
        <v>62.9148</v>
      </c>
      <c r="K210" s="2">
        <v>0</v>
      </c>
      <c r="L210" s="2">
        <v>0</v>
      </c>
    </row>
    <row r="211" spans="1:12" x14ac:dyDescent="0.35">
      <c r="A211" s="3" t="s">
        <v>1146</v>
      </c>
      <c r="B211" s="1" t="str">
        <f t="shared" si="6"/>
        <v>Lago Paranoa</v>
      </c>
      <c r="C211" s="1">
        <f t="shared" si="7"/>
        <v>-1765</v>
      </c>
      <c r="D211" s="2">
        <v>0</v>
      </c>
      <c r="E211" s="2">
        <v>2302.4499999999998</v>
      </c>
      <c r="F211" s="2">
        <v>0.4234</v>
      </c>
      <c r="G211" s="2">
        <v>2.5238999999999998</v>
      </c>
      <c r="H211" s="2">
        <v>5.6467000000000001</v>
      </c>
      <c r="I211" s="2">
        <v>1.2935000000000001</v>
      </c>
      <c r="J211" s="2">
        <v>6.4537000000000004</v>
      </c>
      <c r="K211" s="2">
        <v>2302.4499999999998</v>
      </c>
      <c r="L211" s="2">
        <v>0</v>
      </c>
    </row>
    <row r="212" spans="1:12" x14ac:dyDescent="0.35">
      <c r="A212" s="3" t="s">
        <v>1147</v>
      </c>
      <c r="B212" s="1" t="str">
        <f t="shared" si="6"/>
        <v>Corumba IV</v>
      </c>
      <c r="C212" s="1">
        <f t="shared" si="7"/>
        <v>-1764</v>
      </c>
      <c r="D212" s="2">
        <v>0</v>
      </c>
      <c r="E212" s="2">
        <v>0</v>
      </c>
      <c r="F212" s="2">
        <v>0</v>
      </c>
      <c r="G212" s="2">
        <v>0.3629</v>
      </c>
      <c r="H212" s="2">
        <v>95.337199999999996</v>
      </c>
      <c r="I212" s="2">
        <v>3.9581</v>
      </c>
      <c r="J212" s="2">
        <v>91.742000000000004</v>
      </c>
      <c r="K212" s="2">
        <v>0</v>
      </c>
      <c r="L212" s="2">
        <v>0</v>
      </c>
    </row>
    <row r="213" spans="1:12" x14ac:dyDescent="0.35">
      <c r="A213" s="3" t="s">
        <v>1148</v>
      </c>
      <c r="B213" s="1" t="str">
        <f t="shared" si="6"/>
        <v>Lago Paranoa</v>
      </c>
      <c r="C213" s="1">
        <f t="shared" si="7"/>
        <v>-1764</v>
      </c>
      <c r="D213" s="2">
        <v>0</v>
      </c>
      <c r="E213" s="2">
        <v>2302.4499999999998</v>
      </c>
      <c r="F213" s="2">
        <v>0.4234</v>
      </c>
      <c r="G213" s="2">
        <v>2.5670000000000002</v>
      </c>
      <c r="H213" s="2">
        <v>5.0652999999999997</v>
      </c>
      <c r="I213" s="2">
        <v>1.0248999999999999</v>
      </c>
      <c r="J213" s="2">
        <v>6.1840000000000002</v>
      </c>
      <c r="K213" s="2">
        <v>2302.4499999999998</v>
      </c>
      <c r="L213" s="2">
        <v>0</v>
      </c>
    </row>
    <row r="214" spans="1:12" x14ac:dyDescent="0.35">
      <c r="A214" s="3" t="s">
        <v>1149</v>
      </c>
      <c r="B214" s="1" t="str">
        <f t="shared" si="6"/>
        <v>Corumba IV</v>
      </c>
      <c r="C214" s="1">
        <f t="shared" si="7"/>
        <v>-1763</v>
      </c>
      <c r="D214" s="2">
        <v>0</v>
      </c>
      <c r="E214" s="2">
        <v>0</v>
      </c>
      <c r="F214" s="2">
        <v>0</v>
      </c>
      <c r="G214" s="2">
        <v>0.3629</v>
      </c>
      <c r="H214" s="2">
        <v>67.908699999999996</v>
      </c>
      <c r="I214" s="2">
        <v>3.9359999999999999</v>
      </c>
      <c r="J214" s="2">
        <v>64.335499999999996</v>
      </c>
      <c r="K214" s="2">
        <v>0</v>
      </c>
      <c r="L214" s="2">
        <v>0</v>
      </c>
    </row>
    <row r="215" spans="1:12" x14ac:dyDescent="0.35">
      <c r="A215" s="3" t="s">
        <v>1150</v>
      </c>
      <c r="B215" s="1" t="str">
        <f t="shared" si="6"/>
        <v>Lago Paranoa</v>
      </c>
      <c r="C215" s="1">
        <f t="shared" si="7"/>
        <v>-1763</v>
      </c>
      <c r="D215" s="2">
        <v>0</v>
      </c>
      <c r="E215" s="2">
        <v>2302.4499999999998</v>
      </c>
      <c r="F215" s="2">
        <v>0.4234</v>
      </c>
      <c r="G215" s="2">
        <v>3.0409000000000002</v>
      </c>
      <c r="H215" s="2">
        <v>4.8015999999999996</v>
      </c>
      <c r="I215" s="2">
        <v>1.0074000000000001</v>
      </c>
      <c r="J215" s="2">
        <v>6.4116999999999997</v>
      </c>
      <c r="K215" s="2">
        <v>2302.4499999999998</v>
      </c>
      <c r="L215" s="2">
        <v>0</v>
      </c>
    </row>
    <row r="216" spans="1:12" x14ac:dyDescent="0.35">
      <c r="A216" s="3" t="s">
        <v>1151</v>
      </c>
      <c r="B216" s="1" t="str">
        <f t="shared" si="6"/>
        <v>Corumba IV</v>
      </c>
      <c r="C216" s="1">
        <f t="shared" si="7"/>
        <v>-1762</v>
      </c>
      <c r="D216" s="2">
        <v>0</v>
      </c>
      <c r="E216" s="2">
        <v>0</v>
      </c>
      <c r="F216" s="2">
        <v>0</v>
      </c>
      <c r="G216" s="2">
        <v>0.3629</v>
      </c>
      <c r="H216" s="2">
        <v>66.726699999999994</v>
      </c>
      <c r="I216" s="2">
        <v>3.9359999999999999</v>
      </c>
      <c r="J216" s="2">
        <v>63.153599999999997</v>
      </c>
      <c r="K216" s="2">
        <v>0</v>
      </c>
      <c r="L216" s="2">
        <v>0</v>
      </c>
    </row>
    <row r="217" spans="1:12" x14ac:dyDescent="0.35">
      <c r="A217" s="3" t="s">
        <v>1152</v>
      </c>
      <c r="B217" s="1" t="str">
        <f t="shared" si="6"/>
        <v>Lago Paranoa</v>
      </c>
      <c r="C217" s="1">
        <f t="shared" si="7"/>
        <v>-1762</v>
      </c>
      <c r="D217" s="2">
        <v>0</v>
      </c>
      <c r="E217" s="2">
        <v>2302.4499999999998</v>
      </c>
      <c r="F217" s="2">
        <v>0.4234</v>
      </c>
      <c r="G217" s="2">
        <v>3.5007000000000001</v>
      </c>
      <c r="H217" s="2">
        <v>6.5853999999999999</v>
      </c>
      <c r="I217" s="2">
        <v>1.0074000000000001</v>
      </c>
      <c r="J217" s="2">
        <v>8.6553000000000004</v>
      </c>
      <c r="K217" s="2">
        <v>2302.4499999999998</v>
      </c>
      <c r="L217" s="2">
        <v>0</v>
      </c>
    </row>
    <row r="218" spans="1:12" x14ac:dyDescent="0.35">
      <c r="A218" s="3" t="s">
        <v>1153</v>
      </c>
      <c r="B218" s="1" t="str">
        <f t="shared" si="6"/>
        <v>Corumba IV</v>
      </c>
      <c r="C218" s="1">
        <f t="shared" si="7"/>
        <v>-1761</v>
      </c>
      <c r="D218" s="2">
        <v>0</v>
      </c>
      <c r="E218" s="2">
        <v>0</v>
      </c>
      <c r="F218" s="2">
        <v>0</v>
      </c>
      <c r="G218" s="2">
        <v>0.3629</v>
      </c>
      <c r="H218" s="2">
        <v>80.355500000000006</v>
      </c>
      <c r="I218" s="2">
        <v>4.0624000000000002</v>
      </c>
      <c r="J218" s="2">
        <v>76.655900000000003</v>
      </c>
      <c r="K218" s="2">
        <v>0</v>
      </c>
      <c r="L218" s="2">
        <v>0</v>
      </c>
    </row>
    <row r="219" spans="1:12" x14ac:dyDescent="0.35">
      <c r="A219" s="3" t="s">
        <v>1154</v>
      </c>
      <c r="B219" s="1" t="str">
        <f t="shared" si="6"/>
        <v>Lago Paranoa</v>
      </c>
      <c r="C219" s="1">
        <f t="shared" si="7"/>
        <v>-1761</v>
      </c>
      <c r="D219" s="2">
        <v>0</v>
      </c>
      <c r="E219" s="2">
        <v>2302.4499999999998</v>
      </c>
      <c r="F219" s="2">
        <v>0.4234</v>
      </c>
      <c r="G219" s="2">
        <v>2.8948</v>
      </c>
      <c r="H219" s="2">
        <v>5.4188999999999998</v>
      </c>
      <c r="I219" s="2">
        <v>1.0432999999999999</v>
      </c>
      <c r="J219" s="2">
        <v>6.8471000000000002</v>
      </c>
      <c r="K219" s="2">
        <v>2302.4499999999998</v>
      </c>
      <c r="L219" s="2">
        <v>0</v>
      </c>
    </row>
    <row r="220" spans="1:12" x14ac:dyDescent="0.35">
      <c r="A220" s="3" t="s">
        <v>1155</v>
      </c>
      <c r="B220" s="1" t="str">
        <f t="shared" si="6"/>
        <v>Corumba IV</v>
      </c>
      <c r="C220" s="1">
        <f t="shared" si="7"/>
        <v>-1760</v>
      </c>
      <c r="D220" s="2">
        <v>0</v>
      </c>
      <c r="E220" s="2">
        <v>0</v>
      </c>
      <c r="F220" s="2">
        <v>0</v>
      </c>
      <c r="G220" s="2">
        <v>0.3629</v>
      </c>
      <c r="H220" s="2">
        <v>80.634500000000003</v>
      </c>
      <c r="I220" s="2">
        <v>4.4493</v>
      </c>
      <c r="J220" s="2">
        <v>76.548100000000005</v>
      </c>
      <c r="K220" s="2">
        <v>0</v>
      </c>
      <c r="L220" s="2">
        <v>0</v>
      </c>
    </row>
    <row r="221" spans="1:12" x14ac:dyDescent="0.35">
      <c r="A221" s="3" t="s">
        <v>1156</v>
      </c>
      <c r="B221" s="1" t="str">
        <f t="shared" si="6"/>
        <v>Lago Paranoa</v>
      </c>
      <c r="C221" s="1">
        <f t="shared" si="7"/>
        <v>-1760</v>
      </c>
      <c r="D221" s="2">
        <v>0</v>
      </c>
      <c r="E221" s="2">
        <v>2302.4499999999998</v>
      </c>
      <c r="F221" s="2">
        <v>0.4234</v>
      </c>
      <c r="G221" s="2">
        <v>2.9626000000000001</v>
      </c>
      <c r="H221" s="2">
        <v>5.0724</v>
      </c>
      <c r="I221" s="2">
        <v>1.0552999999999999</v>
      </c>
      <c r="J221" s="2">
        <v>6.5564</v>
      </c>
      <c r="K221" s="2">
        <v>2302.4499999999998</v>
      </c>
      <c r="L221" s="2">
        <v>0</v>
      </c>
    </row>
    <row r="222" spans="1:12" x14ac:dyDescent="0.35">
      <c r="A222" s="3" t="s">
        <v>1157</v>
      </c>
      <c r="B222" s="1" t="str">
        <f t="shared" si="6"/>
        <v>Corumba IV</v>
      </c>
      <c r="C222" s="1">
        <f t="shared" si="7"/>
        <v>-1759</v>
      </c>
      <c r="D222" s="2">
        <v>0</v>
      </c>
      <c r="E222" s="2">
        <v>0</v>
      </c>
      <c r="F222" s="2">
        <v>0</v>
      </c>
      <c r="G222" s="2">
        <v>0.3629</v>
      </c>
      <c r="H222" s="2">
        <v>88.915999999999997</v>
      </c>
      <c r="I222" s="2">
        <v>4.1707000000000001</v>
      </c>
      <c r="J222" s="2">
        <v>85.108099999999993</v>
      </c>
      <c r="K222" s="2">
        <v>0</v>
      </c>
      <c r="L222" s="2">
        <v>0</v>
      </c>
    </row>
    <row r="223" spans="1:12" x14ac:dyDescent="0.35">
      <c r="A223" s="3" t="s">
        <v>1158</v>
      </c>
      <c r="B223" s="1" t="str">
        <f t="shared" si="6"/>
        <v>Lago Paranoa</v>
      </c>
      <c r="C223" s="1">
        <f t="shared" si="7"/>
        <v>-1759</v>
      </c>
      <c r="D223" s="2">
        <v>0</v>
      </c>
      <c r="E223" s="2">
        <v>2302.4499999999998</v>
      </c>
      <c r="F223" s="2">
        <v>0.4234</v>
      </c>
      <c r="G223" s="2">
        <v>5.8677999999999999</v>
      </c>
      <c r="H223" s="2">
        <v>11.989000000000001</v>
      </c>
      <c r="I223" s="2">
        <v>0.90310000000000001</v>
      </c>
      <c r="J223" s="2">
        <v>16.5304</v>
      </c>
      <c r="K223" s="2">
        <v>2302.4499999999998</v>
      </c>
      <c r="L223" s="2">
        <v>0</v>
      </c>
    </row>
    <row r="224" spans="1:12" x14ac:dyDescent="0.35">
      <c r="A224" s="3" t="s">
        <v>1159</v>
      </c>
      <c r="B224" s="1" t="str">
        <f t="shared" si="6"/>
        <v>Corumba IV</v>
      </c>
      <c r="C224" s="1">
        <f t="shared" si="7"/>
        <v>-1758</v>
      </c>
      <c r="D224" s="2">
        <v>0</v>
      </c>
      <c r="E224" s="2">
        <v>0</v>
      </c>
      <c r="F224" s="2">
        <v>0</v>
      </c>
      <c r="G224" s="2">
        <v>2.1678999999999999</v>
      </c>
      <c r="H224" s="2">
        <v>104.24769999999999</v>
      </c>
      <c r="I224" s="2">
        <v>4.1707000000000001</v>
      </c>
      <c r="J224" s="2">
        <v>102.2448</v>
      </c>
      <c r="K224" s="2">
        <v>0</v>
      </c>
      <c r="L224" s="2">
        <v>0</v>
      </c>
    </row>
    <row r="225" spans="1:12" x14ac:dyDescent="0.35">
      <c r="A225" s="3" t="s">
        <v>1160</v>
      </c>
      <c r="B225" s="1" t="str">
        <f t="shared" si="6"/>
        <v>Lago Paranoa</v>
      </c>
      <c r="C225" s="1">
        <f t="shared" si="7"/>
        <v>-1758</v>
      </c>
      <c r="D225" s="2">
        <v>0</v>
      </c>
      <c r="E225" s="2">
        <v>2302.4499999999998</v>
      </c>
      <c r="F225" s="2">
        <v>0.4234</v>
      </c>
      <c r="G225" s="2">
        <v>4.7328999999999999</v>
      </c>
      <c r="H225" s="2">
        <v>9.6707000000000001</v>
      </c>
      <c r="I225" s="2">
        <v>0.90310000000000001</v>
      </c>
      <c r="J225" s="2">
        <v>13.0771</v>
      </c>
      <c r="K225" s="2">
        <v>2302.4499999999998</v>
      </c>
      <c r="L225" s="2">
        <v>0</v>
      </c>
    </row>
    <row r="226" spans="1:12" x14ac:dyDescent="0.35">
      <c r="A226" s="3" t="s">
        <v>1161</v>
      </c>
      <c r="B226" s="1" t="str">
        <f t="shared" si="6"/>
        <v>Corumba IV</v>
      </c>
      <c r="C226" s="1">
        <f t="shared" si="7"/>
        <v>-1757</v>
      </c>
      <c r="D226" s="2">
        <v>0</v>
      </c>
      <c r="E226" s="2">
        <v>0</v>
      </c>
      <c r="F226" s="2">
        <v>0</v>
      </c>
      <c r="G226" s="2">
        <v>2.7158000000000002</v>
      </c>
      <c r="H226" s="2">
        <v>102.244</v>
      </c>
      <c r="I226" s="2">
        <v>4.1707000000000001</v>
      </c>
      <c r="J226" s="2">
        <v>100.7891</v>
      </c>
      <c r="K226" s="2">
        <v>0</v>
      </c>
      <c r="L226" s="2">
        <v>0</v>
      </c>
    </row>
    <row r="227" spans="1:12" x14ac:dyDescent="0.35">
      <c r="A227" s="3" t="s">
        <v>1162</v>
      </c>
      <c r="B227" s="1" t="str">
        <f t="shared" si="6"/>
        <v>Lago Paranoa</v>
      </c>
      <c r="C227" s="1">
        <f t="shared" si="7"/>
        <v>-1757</v>
      </c>
      <c r="D227" s="2">
        <v>0</v>
      </c>
      <c r="E227" s="2">
        <v>2302.4499999999998</v>
      </c>
      <c r="F227" s="2">
        <v>0.4234</v>
      </c>
      <c r="G227" s="2">
        <v>4.5498000000000003</v>
      </c>
      <c r="H227" s="2">
        <v>8.4834999999999994</v>
      </c>
      <c r="I227" s="2">
        <v>0.90310000000000001</v>
      </c>
      <c r="J227" s="2">
        <v>11.706899999999999</v>
      </c>
      <c r="K227" s="2">
        <v>2302.4499999999998</v>
      </c>
      <c r="L227" s="2">
        <v>0</v>
      </c>
    </row>
    <row r="228" spans="1:12" x14ac:dyDescent="0.35">
      <c r="A228" s="3" t="s">
        <v>1163</v>
      </c>
      <c r="B228" s="1" t="str">
        <f t="shared" si="6"/>
        <v>Corumba IV</v>
      </c>
      <c r="C228" s="1">
        <f t="shared" si="7"/>
        <v>-1756</v>
      </c>
      <c r="D228" s="2">
        <v>0</v>
      </c>
      <c r="E228" s="2">
        <v>0</v>
      </c>
      <c r="F228" s="2">
        <v>0</v>
      </c>
      <c r="G228" s="2">
        <v>1.9784999999999999</v>
      </c>
      <c r="H228" s="2">
        <v>81.194400000000002</v>
      </c>
      <c r="I228" s="2">
        <v>2.9220000000000002</v>
      </c>
      <c r="J228" s="2">
        <v>80.250799999999998</v>
      </c>
      <c r="K228" s="2">
        <v>0</v>
      </c>
      <c r="L228" s="2">
        <v>0</v>
      </c>
    </row>
    <row r="229" spans="1:12" x14ac:dyDescent="0.35">
      <c r="A229" s="3" t="s">
        <v>1164</v>
      </c>
      <c r="B229" s="1" t="str">
        <f t="shared" si="6"/>
        <v>Lago Paranoa</v>
      </c>
      <c r="C229" s="1">
        <f t="shared" si="7"/>
        <v>-1756</v>
      </c>
      <c r="D229" s="2">
        <v>0</v>
      </c>
      <c r="E229" s="2">
        <v>2302.4499999999998</v>
      </c>
      <c r="F229" s="2">
        <v>0.4234</v>
      </c>
      <c r="G229" s="2">
        <v>3.3128000000000002</v>
      </c>
      <c r="H229" s="2">
        <v>6.3952</v>
      </c>
      <c r="I229" s="2">
        <v>0.67649999999999999</v>
      </c>
      <c r="J229" s="2">
        <v>8.6081000000000003</v>
      </c>
      <c r="K229" s="2">
        <v>2302.4499999999998</v>
      </c>
      <c r="L229" s="2">
        <v>0</v>
      </c>
    </row>
    <row r="230" spans="1:12" x14ac:dyDescent="0.35">
      <c r="A230" s="3" t="s">
        <v>1165</v>
      </c>
      <c r="B230" s="1" t="str">
        <f t="shared" si="6"/>
        <v>Corumba IV</v>
      </c>
      <c r="C230" s="1">
        <f t="shared" si="7"/>
        <v>-1755</v>
      </c>
      <c r="D230" s="2">
        <v>0</v>
      </c>
      <c r="E230" s="2">
        <v>0</v>
      </c>
      <c r="F230" s="2">
        <v>0</v>
      </c>
      <c r="G230" s="2">
        <v>2.1267999999999998</v>
      </c>
      <c r="H230" s="2">
        <v>143.14320000000001</v>
      </c>
      <c r="I230" s="2">
        <v>2.7139000000000002</v>
      </c>
      <c r="J230" s="2">
        <v>142.55609999999999</v>
      </c>
      <c r="K230" s="2">
        <v>0</v>
      </c>
      <c r="L230" s="2">
        <v>0</v>
      </c>
    </row>
    <row r="231" spans="1:12" x14ac:dyDescent="0.35">
      <c r="A231" s="3" t="s">
        <v>1166</v>
      </c>
      <c r="B231" s="1" t="str">
        <f t="shared" si="6"/>
        <v>Lago Paranoa</v>
      </c>
      <c r="C231" s="1">
        <f t="shared" si="7"/>
        <v>-1755</v>
      </c>
      <c r="D231" s="2">
        <v>0</v>
      </c>
      <c r="E231" s="2">
        <v>2302.4499999999998</v>
      </c>
      <c r="F231" s="2">
        <v>0.4234</v>
      </c>
      <c r="G231" s="2">
        <v>4.8414000000000001</v>
      </c>
      <c r="H231" s="2">
        <v>12.138299999999999</v>
      </c>
      <c r="I231" s="2">
        <v>0.63870000000000005</v>
      </c>
      <c r="J231" s="2">
        <v>15.9176</v>
      </c>
      <c r="K231" s="2">
        <v>2302.4499999999998</v>
      </c>
      <c r="L231" s="2">
        <v>0</v>
      </c>
    </row>
    <row r="232" spans="1:12" x14ac:dyDescent="0.35">
      <c r="A232" s="3" t="s">
        <v>1167</v>
      </c>
      <c r="B232" s="1" t="str">
        <f t="shared" si="6"/>
        <v>Corumba IV</v>
      </c>
      <c r="C232" s="1">
        <f t="shared" si="7"/>
        <v>-1754</v>
      </c>
      <c r="D232" s="2">
        <v>0</v>
      </c>
      <c r="E232" s="2">
        <v>0</v>
      </c>
      <c r="F232" s="2">
        <v>0</v>
      </c>
      <c r="G232" s="2">
        <v>0.57799999999999996</v>
      </c>
      <c r="H232" s="2">
        <v>82.359099999999998</v>
      </c>
      <c r="I232" s="2">
        <v>2.7139000000000002</v>
      </c>
      <c r="J232" s="2">
        <v>80.223100000000002</v>
      </c>
      <c r="K232" s="2">
        <v>0</v>
      </c>
      <c r="L232" s="2">
        <v>0</v>
      </c>
    </row>
    <row r="233" spans="1:12" x14ac:dyDescent="0.35">
      <c r="A233" s="3" t="s">
        <v>1168</v>
      </c>
      <c r="B233" s="1" t="str">
        <f t="shared" si="6"/>
        <v>Lago Paranoa</v>
      </c>
      <c r="C233" s="1">
        <f t="shared" si="7"/>
        <v>-1754</v>
      </c>
      <c r="D233" s="2">
        <v>0</v>
      </c>
      <c r="E233" s="2">
        <v>2302.4499999999998</v>
      </c>
      <c r="F233" s="2">
        <v>0.4234</v>
      </c>
      <c r="G233" s="2">
        <v>3.2723</v>
      </c>
      <c r="H233" s="2">
        <v>6.2778999999999998</v>
      </c>
      <c r="I233" s="2">
        <v>0.63870000000000005</v>
      </c>
      <c r="J233" s="2">
        <v>8.4880999999999993</v>
      </c>
      <c r="K233" s="2">
        <v>2302.4499999999998</v>
      </c>
      <c r="L233" s="2">
        <v>0</v>
      </c>
    </row>
    <row r="234" spans="1:12" x14ac:dyDescent="0.35">
      <c r="A234" s="3" t="s">
        <v>1169</v>
      </c>
      <c r="B234" s="1" t="str">
        <f t="shared" si="6"/>
        <v>Corumba IV</v>
      </c>
      <c r="C234" s="1">
        <f t="shared" si="7"/>
        <v>-1753</v>
      </c>
      <c r="D234" s="2">
        <v>0</v>
      </c>
      <c r="E234" s="2">
        <v>0</v>
      </c>
      <c r="F234" s="2">
        <v>0</v>
      </c>
      <c r="G234" s="2">
        <v>0.3629</v>
      </c>
      <c r="H234" s="2">
        <v>62.596800000000002</v>
      </c>
      <c r="I234" s="2">
        <v>2.8883999999999999</v>
      </c>
      <c r="J234" s="2">
        <v>60.071199999999997</v>
      </c>
      <c r="K234" s="2">
        <v>0</v>
      </c>
      <c r="L234" s="2">
        <v>0</v>
      </c>
    </row>
    <row r="235" spans="1:12" x14ac:dyDescent="0.35">
      <c r="A235" s="3" t="s">
        <v>1170</v>
      </c>
      <c r="B235" s="1" t="str">
        <f t="shared" si="6"/>
        <v>Lago Paranoa</v>
      </c>
      <c r="C235" s="1">
        <f t="shared" si="7"/>
        <v>-1753</v>
      </c>
      <c r="D235" s="2">
        <v>0</v>
      </c>
      <c r="E235" s="2">
        <v>2302.4499999999998</v>
      </c>
      <c r="F235" s="2">
        <v>0.4234</v>
      </c>
      <c r="G235" s="2">
        <v>2.9438</v>
      </c>
      <c r="H235" s="2">
        <v>5.4115000000000002</v>
      </c>
      <c r="I235" s="2">
        <v>0.67310000000000003</v>
      </c>
      <c r="J235" s="2">
        <v>7.2587999999999999</v>
      </c>
      <c r="K235" s="2">
        <v>2302.4499999999998</v>
      </c>
      <c r="L235" s="2">
        <v>0</v>
      </c>
    </row>
    <row r="236" spans="1:12" x14ac:dyDescent="0.35">
      <c r="A236" s="3" t="s">
        <v>1171</v>
      </c>
      <c r="B236" s="1" t="str">
        <f t="shared" si="6"/>
        <v>Corumba IV</v>
      </c>
      <c r="C236" s="1">
        <f t="shared" si="7"/>
        <v>-1752</v>
      </c>
      <c r="D236" s="2">
        <v>0</v>
      </c>
      <c r="E236" s="2">
        <v>0</v>
      </c>
      <c r="F236" s="2">
        <v>0</v>
      </c>
      <c r="G236" s="2">
        <v>0.3629</v>
      </c>
      <c r="H236" s="2">
        <v>87.310699999999997</v>
      </c>
      <c r="I236" s="2">
        <v>3.5592000000000001</v>
      </c>
      <c r="J236" s="2">
        <v>84.1143</v>
      </c>
      <c r="K236" s="2">
        <v>0</v>
      </c>
      <c r="L236" s="2">
        <v>0</v>
      </c>
    </row>
    <row r="237" spans="1:12" x14ac:dyDescent="0.35">
      <c r="A237" s="3" t="s">
        <v>1172</v>
      </c>
      <c r="B237" s="1" t="str">
        <f t="shared" si="6"/>
        <v>Lago Paranoa</v>
      </c>
      <c r="C237" s="1">
        <f t="shared" si="7"/>
        <v>-1752</v>
      </c>
      <c r="D237" s="2">
        <v>0</v>
      </c>
      <c r="E237" s="2">
        <v>2302.4499999999998</v>
      </c>
      <c r="F237" s="2">
        <v>0.4234</v>
      </c>
      <c r="G237" s="2">
        <v>3.5051999999999999</v>
      </c>
      <c r="H237" s="2">
        <v>9.2880000000000003</v>
      </c>
      <c r="I237" s="2">
        <v>0.87829999999999997</v>
      </c>
      <c r="J237" s="2">
        <v>11.4916</v>
      </c>
      <c r="K237" s="2">
        <v>2302.4499999999998</v>
      </c>
      <c r="L237" s="2">
        <v>0</v>
      </c>
    </row>
    <row r="238" spans="1:12" x14ac:dyDescent="0.35">
      <c r="A238" s="3" t="s">
        <v>1173</v>
      </c>
      <c r="B238" s="1" t="str">
        <f t="shared" si="6"/>
        <v>Corumba IV</v>
      </c>
      <c r="C238" s="1">
        <f t="shared" si="7"/>
        <v>-1751</v>
      </c>
      <c r="D238" s="2">
        <v>0</v>
      </c>
      <c r="E238" s="2">
        <v>0</v>
      </c>
      <c r="F238" s="2">
        <v>0</v>
      </c>
      <c r="G238" s="2">
        <v>0.3629</v>
      </c>
      <c r="H238" s="2">
        <v>109.95180000000001</v>
      </c>
      <c r="I238" s="2">
        <v>4.1760000000000002</v>
      </c>
      <c r="J238" s="2">
        <v>106.1386</v>
      </c>
      <c r="K238" s="2">
        <v>0</v>
      </c>
      <c r="L238" s="2">
        <v>0</v>
      </c>
    </row>
    <row r="239" spans="1:12" x14ac:dyDescent="0.35">
      <c r="A239" s="3" t="s">
        <v>1174</v>
      </c>
      <c r="B239" s="1" t="str">
        <f t="shared" si="6"/>
        <v>Lago Paranoa</v>
      </c>
      <c r="C239" s="1">
        <f t="shared" si="7"/>
        <v>-1751</v>
      </c>
      <c r="D239" s="2">
        <v>0</v>
      </c>
      <c r="E239" s="2">
        <v>2302.4499999999998</v>
      </c>
      <c r="F239" s="2">
        <v>0.4234</v>
      </c>
      <c r="G239" s="2">
        <v>3.9443999999999999</v>
      </c>
      <c r="H239" s="2">
        <v>7.5209999999999999</v>
      </c>
      <c r="I239" s="2">
        <v>1.0149999999999999</v>
      </c>
      <c r="J239" s="2">
        <v>10.027100000000001</v>
      </c>
      <c r="K239" s="2">
        <v>2302.4499999999998</v>
      </c>
      <c r="L239" s="2">
        <v>0</v>
      </c>
    </row>
    <row r="240" spans="1:12" x14ac:dyDescent="0.35">
      <c r="A240" s="3" t="s">
        <v>1175</v>
      </c>
      <c r="B240" s="1" t="str">
        <f t="shared" si="6"/>
        <v>Corumba IV</v>
      </c>
      <c r="C240" s="1">
        <f t="shared" si="7"/>
        <v>-1750</v>
      </c>
      <c r="D240" s="2">
        <v>0</v>
      </c>
      <c r="E240" s="2">
        <v>0</v>
      </c>
      <c r="F240" s="2">
        <v>0</v>
      </c>
      <c r="G240" s="2">
        <v>0.3629</v>
      </c>
      <c r="H240" s="2">
        <v>86.099299999999999</v>
      </c>
      <c r="I240" s="2">
        <v>4.2914000000000003</v>
      </c>
      <c r="J240" s="2">
        <v>82.170900000000003</v>
      </c>
      <c r="K240" s="2">
        <v>0</v>
      </c>
      <c r="L240" s="2">
        <v>0</v>
      </c>
    </row>
    <row r="241" spans="1:12" x14ac:dyDescent="0.35">
      <c r="A241" s="3" t="s">
        <v>1176</v>
      </c>
      <c r="B241" s="1" t="str">
        <f t="shared" si="6"/>
        <v>Lago Paranoa</v>
      </c>
      <c r="C241" s="1">
        <f t="shared" si="7"/>
        <v>-1750</v>
      </c>
      <c r="D241" s="2">
        <v>0</v>
      </c>
      <c r="E241" s="2">
        <v>2302.4499999999998</v>
      </c>
      <c r="F241" s="2">
        <v>0.4234</v>
      </c>
      <c r="G241" s="2">
        <v>3.4186000000000001</v>
      </c>
      <c r="H241" s="2">
        <v>5.8461999999999996</v>
      </c>
      <c r="I241" s="2">
        <v>1.0219</v>
      </c>
      <c r="J241" s="2">
        <v>7.8194999999999997</v>
      </c>
      <c r="K241" s="2">
        <v>2302.4499999999998</v>
      </c>
      <c r="L241" s="2">
        <v>0</v>
      </c>
    </row>
    <row r="242" spans="1:12" x14ac:dyDescent="0.35">
      <c r="A242" s="3" t="s">
        <v>1177</v>
      </c>
      <c r="B242" s="1" t="str">
        <f t="shared" si="6"/>
        <v>Corumba IV</v>
      </c>
      <c r="C242" s="1">
        <f t="shared" si="7"/>
        <v>-1749</v>
      </c>
      <c r="D242" s="2">
        <v>0</v>
      </c>
      <c r="E242" s="2">
        <v>0</v>
      </c>
      <c r="F242" s="2">
        <v>0</v>
      </c>
      <c r="G242" s="2">
        <v>0.3629</v>
      </c>
      <c r="H242" s="2">
        <v>72.536299999999997</v>
      </c>
      <c r="I242" s="2">
        <v>4.2914000000000003</v>
      </c>
      <c r="J242" s="2">
        <v>68.607799999999997</v>
      </c>
      <c r="K242" s="2">
        <v>0</v>
      </c>
      <c r="L242" s="2">
        <v>0</v>
      </c>
    </row>
    <row r="243" spans="1:12" x14ac:dyDescent="0.35">
      <c r="A243" s="3" t="s">
        <v>1178</v>
      </c>
      <c r="B243" s="1" t="str">
        <f t="shared" si="6"/>
        <v>Lago Paranoa</v>
      </c>
      <c r="C243" s="1">
        <f t="shared" si="7"/>
        <v>-1749</v>
      </c>
      <c r="D243" s="2">
        <v>0</v>
      </c>
      <c r="E243" s="2">
        <v>2302.4499999999998</v>
      </c>
      <c r="F243" s="2">
        <v>0.4234</v>
      </c>
      <c r="G243" s="2">
        <v>3.3504999999999998</v>
      </c>
      <c r="H243" s="2">
        <v>4.8470000000000004</v>
      </c>
      <c r="I243" s="2">
        <v>1.0219</v>
      </c>
      <c r="J243" s="2">
        <v>6.7522000000000002</v>
      </c>
      <c r="K243" s="2">
        <v>2302.4499999999998</v>
      </c>
      <c r="L243" s="2">
        <v>0</v>
      </c>
    </row>
    <row r="244" spans="1:12" x14ac:dyDescent="0.35">
      <c r="A244" s="3" t="s">
        <v>1179</v>
      </c>
      <c r="B244" s="1" t="str">
        <f t="shared" si="6"/>
        <v>Corumba IV</v>
      </c>
      <c r="C244" s="1">
        <f t="shared" si="7"/>
        <v>-1748</v>
      </c>
      <c r="D244" s="2">
        <v>0</v>
      </c>
      <c r="E244" s="2">
        <v>0</v>
      </c>
      <c r="F244" s="2">
        <v>0</v>
      </c>
      <c r="G244" s="2">
        <v>0.3629</v>
      </c>
      <c r="H244" s="2">
        <v>66.185000000000002</v>
      </c>
      <c r="I244" s="2">
        <v>4.3067000000000002</v>
      </c>
      <c r="J244" s="2">
        <v>62.241199999999999</v>
      </c>
      <c r="K244" s="2">
        <v>0</v>
      </c>
      <c r="L244" s="2">
        <v>0</v>
      </c>
    </row>
    <row r="245" spans="1:12" x14ac:dyDescent="0.35">
      <c r="A245" s="3" t="s">
        <v>1180</v>
      </c>
      <c r="B245" s="1" t="str">
        <f t="shared" si="6"/>
        <v>Lago Paranoa</v>
      </c>
      <c r="C245" s="1">
        <f t="shared" si="7"/>
        <v>-1748</v>
      </c>
      <c r="D245" s="2">
        <v>0</v>
      </c>
      <c r="E245" s="2">
        <v>2302.4499999999998</v>
      </c>
      <c r="F245" s="2">
        <v>0.4234</v>
      </c>
      <c r="G245" s="2">
        <v>3.2940999999999998</v>
      </c>
      <c r="H245" s="2">
        <v>5.3464999999999998</v>
      </c>
      <c r="I245" s="2">
        <v>1.024</v>
      </c>
      <c r="J245" s="2">
        <v>7.1932</v>
      </c>
      <c r="K245" s="2">
        <v>2302.4499999999998</v>
      </c>
      <c r="L245" s="2">
        <v>0</v>
      </c>
    </row>
    <row r="246" spans="1:12" x14ac:dyDescent="0.35">
      <c r="A246" s="3" t="s">
        <v>1181</v>
      </c>
      <c r="B246" s="1" t="str">
        <f t="shared" si="6"/>
        <v>Corumba IV</v>
      </c>
      <c r="C246" s="1">
        <f t="shared" si="7"/>
        <v>-1747</v>
      </c>
      <c r="D246" s="2">
        <v>0</v>
      </c>
      <c r="E246" s="2">
        <v>0</v>
      </c>
      <c r="F246" s="2">
        <v>0</v>
      </c>
      <c r="G246" s="2">
        <v>0.3629</v>
      </c>
      <c r="H246" s="2">
        <v>55.937100000000001</v>
      </c>
      <c r="I246" s="2">
        <v>4.3986999999999998</v>
      </c>
      <c r="J246" s="2">
        <v>51.901299999999999</v>
      </c>
      <c r="K246" s="2">
        <v>0</v>
      </c>
      <c r="L246" s="2">
        <v>0</v>
      </c>
    </row>
    <row r="247" spans="1:12" x14ac:dyDescent="0.35">
      <c r="A247" s="3" t="s">
        <v>1182</v>
      </c>
      <c r="B247" s="1" t="str">
        <f t="shared" si="6"/>
        <v>Lago Paranoa</v>
      </c>
      <c r="C247" s="1">
        <f t="shared" si="7"/>
        <v>-1747</v>
      </c>
      <c r="D247" s="2">
        <v>0</v>
      </c>
      <c r="E247" s="2">
        <v>2302.4499999999998</v>
      </c>
      <c r="F247" s="2">
        <v>0.4234</v>
      </c>
      <c r="G247" s="2">
        <v>3.3795999999999999</v>
      </c>
      <c r="H247" s="2">
        <v>4.9371</v>
      </c>
      <c r="I247" s="2">
        <v>1.0367</v>
      </c>
      <c r="J247" s="2">
        <v>6.8566000000000003</v>
      </c>
      <c r="K247" s="2">
        <v>2302.4499999999998</v>
      </c>
      <c r="L247" s="2">
        <v>0</v>
      </c>
    </row>
    <row r="248" spans="1:12" x14ac:dyDescent="0.35">
      <c r="A248" s="3" t="s">
        <v>1183</v>
      </c>
      <c r="B248" s="1" t="str">
        <f t="shared" si="6"/>
        <v>Corumba IV</v>
      </c>
      <c r="C248" s="1">
        <f t="shared" si="7"/>
        <v>-1746</v>
      </c>
      <c r="D248" s="2">
        <v>0</v>
      </c>
      <c r="E248" s="2">
        <v>0</v>
      </c>
      <c r="F248" s="2">
        <v>0</v>
      </c>
      <c r="G248" s="2">
        <v>0.3629</v>
      </c>
      <c r="H248" s="2">
        <v>49.899500000000003</v>
      </c>
      <c r="I248" s="2">
        <v>4.3986999999999998</v>
      </c>
      <c r="J248" s="2">
        <v>45.863700000000001</v>
      </c>
      <c r="K248" s="2">
        <v>0</v>
      </c>
      <c r="L248" s="2">
        <v>0</v>
      </c>
    </row>
    <row r="249" spans="1:12" x14ac:dyDescent="0.35">
      <c r="A249" s="3" t="s">
        <v>1184</v>
      </c>
      <c r="B249" s="1" t="str">
        <f t="shared" si="6"/>
        <v>Lago Paranoa</v>
      </c>
      <c r="C249" s="1">
        <f t="shared" si="7"/>
        <v>-1746</v>
      </c>
      <c r="D249" s="2">
        <v>0</v>
      </c>
      <c r="E249" s="2">
        <v>2302.4499999999998</v>
      </c>
      <c r="F249" s="2">
        <v>0.4234</v>
      </c>
      <c r="G249" s="2">
        <v>2.8492999999999999</v>
      </c>
      <c r="H249" s="2">
        <v>4.3868999999999998</v>
      </c>
      <c r="I249" s="2">
        <v>1.0367</v>
      </c>
      <c r="J249" s="2">
        <v>5.7762000000000002</v>
      </c>
      <c r="K249" s="2">
        <v>2302.4499999999998</v>
      </c>
      <c r="L249" s="2">
        <v>0</v>
      </c>
    </row>
    <row r="250" spans="1:12" x14ac:dyDescent="0.35">
      <c r="A250" s="3" t="s">
        <v>1185</v>
      </c>
      <c r="B250" s="1" t="str">
        <f t="shared" si="6"/>
        <v>Corumba IV</v>
      </c>
      <c r="C250" s="1">
        <f t="shared" si="7"/>
        <v>-1745</v>
      </c>
      <c r="D250" s="2">
        <v>0</v>
      </c>
      <c r="E250" s="2">
        <v>0</v>
      </c>
      <c r="F250" s="2">
        <v>0</v>
      </c>
      <c r="G250" s="2">
        <v>0.3629</v>
      </c>
      <c r="H250" s="2">
        <v>44.3172</v>
      </c>
      <c r="I250" s="2">
        <v>4.3986999999999998</v>
      </c>
      <c r="J250" s="2">
        <v>40.281399999999998</v>
      </c>
      <c r="K250" s="2">
        <v>0</v>
      </c>
      <c r="L250" s="2">
        <v>0</v>
      </c>
    </row>
    <row r="251" spans="1:12" x14ac:dyDescent="0.35">
      <c r="A251" s="3" t="s">
        <v>1186</v>
      </c>
      <c r="B251" s="1" t="str">
        <f t="shared" si="6"/>
        <v>Lago Paranoa</v>
      </c>
      <c r="C251" s="1">
        <f t="shared" si="7"/>
        <v>-1745</v>
      </c>
      <c r="D251" s="2">
        <v>0</v>
      </c>
      <c r="E251" s="2">
        <v>2302.4499999999998</v>
      </c>
      <c r="F251" s="2">
        <v>0.4234</v>
      </c>
      <c r="G251" s="2">
        <v>3.1269</v>
      </c>
      <c r="H251" s="2">
        <v>3.9416000000000002</v>
      </c>
      <c r="I251" s="2">
        <v>1.0367</v>
      </c>
      <c r="J251" s="2">
        <v>5.6083999999999996</v>
      </c>
      <c r="K251" s="2">
        <v>2302.4499999999998</v>
      </c>
      <c r="L251" s="2">
        <v>0</v>
      </c>
    </row>
    <row r="252" spans="1:12" x14ac:dyDescent="0.35">
      <c r="A252" s="3" t="s">
        <v>1187</v>
      </c>
      <c r="B252" s="1" t="str">
        <f t="shared" si="6"/>
        <v>Corumba IV</v>
      </c>
      <c r="C252" s="1">
        <f t="shared" si="7"/>
        <v>-1744</v>
      </c>
      <c r="D252" s="2">
        <v>0</v>
      </c>
      <c r="E252" s="2">
        <v>0</v>
      </c>
      <c r="F252" s="2">
        <v>0</v>
      </c>
      <c r="G252" s="2">
        <v>0.3629</v>
      </c>
      <c r="H252" s="2">
        <v>40.756599999999999</v>
      </c>
      <c r="I252" s="2">
        <v>4.6393000000000004</v>
      </c>
      <c r="J252" s="2">
        <v>36.480200000000004</v>
      </c>
      <c r="K252" s="2">
        <v>0</v>
      </c>
      <c r="L252" s="2">
        <v>0</v>
      </c>
    </row>
    <row r="253" spans="1:12" x14ac:dyDescent="0.35">
      <c r="A253" s="3" t="s">
        <v>1188</v>
      </c>
      <c r="B253" s="1" t="str">
        <f t="shared" si="6"/>
        <v>Lago Paranoa</v>
      </c>
      <c r="C253" s="1">
        <f t="shared" si="7"/>
        <v>-1744</v>
      </c>
      <c r="D253" s="2">
        <v>0</v>
      </c>
      <c r="E253" s="2">
        <v>2302.4499999999998</v>
      </c>
      <c r="F253" s="2">
        <v>0.4234</v>
      </c>
      <c r="G253" s="2">
        <v>2.8111999999999999</v>
      </c>
      <c r="H253" s="2">
        <v>3.9811000000000001</v>
      </c>
      <c r="I253" s="2">
        <v>1.1302000000000001</v>
      </c>
      <c r="J253" s="2">
        <v>5.2386999999999997</v>
      </c>
      <c r="K253" s="2">
        <v>2302.4499999999998</v>
      </c>
      <c r="L253" s="2">
        <v>0</v>
      </c>
    </row>
    <row r="254" spans="1:12" x14ac:dyDescent="0.35">
      <c r="A254" s="3" t="s">
        <v>1189</v>
      </c>
      <c r="B254" s="1" t="str">
        <f t="shared" si="6"/>
        <v>Corumba IV</v>
      </c>
      <c r="C254" s="1">
        <f t="shared" si="7"/>
        <v>-1743</v>
      </c>
      <c r="D254" s="2">
        <v>0</v>
      </c>
      <c r="E254" s="2">
        <v>0</v>
      </c>
      <c r="F254" s="2">
        <v>0</v>
      </c>
      <c r="G254" s="2">
        <v>0.3629</v>
      </c>
      <c r="H254" s="2">
        <v>37.702399999999997</v>
      </c>
      <c r="I254" s="2">
        <v>5.1547000000000001</v>
      </c>
      <c r="J254" s="2">
        <v>32.910499999999999</v>
      </c>
      <c r="K254" s="2">
        <v>0</v>
      </c>
      <c r="L254" s="2">
        <v>0</v>
      </c>
    </row>
    <row r="255" spans="1:12" x14ac:dyDescent="0.35">
      <c r="A255" s="3" t="s">
        <v>1190</v>
      </c>
      <c r="B255" s="1" t="str">
        <f t="shared" si="6"/>
        <v>Lago Paranoa</v>
      </c>
      <c r="C255" s="1">
        <f t="shared" si="7"/>
        <v>-1743</v>
      </c>
      <c r="D255" s="2">
        <v>0</v>
      </c>
      <c r="E255" s="2">
        <v>2302.4499999999998</v>
      </c>
      <c r="F255" s="2">
        <v>0.4234</v>
      </c>
      <c r="G255" s="2">
        <v>2.8782000000000001</v>
      </c>
      <c r="H255" s="2">
        <v>3.9931000000000001</v>
      </c>
      <c r="I255" s="2">
        <v>1.2526999999999999</v>
      </c>
      <c r="J255" s="2">
        <v>5.1951999999999998</v>
      </c>
      <c r="K255" s="2">
        <v>2302.4499999999998</v>
      </c>
      <c r="L255" s="2">
        <v>0</v>
      </c>
    </row>
    <row r="256" spans="1:12" x14ac:dyDescent="0.35">
      <c r="A256" s="3" t="s">
        <v>1191</v>
      </c>
      <c r="B256" s="1" t="str">
        <f t="shared" si="6"/>
        <v>Corumba IV</v>
      </c>
      <c r="C256" s="1">
        <f t="shared" si="7"/>
        <v>-1742</v>
      </c>
      <c r="D256" s="2">
        <v>0</v>
      </c>
      <c r="E256" s="2">
        <v>0</v>
      </c>
      <c r="F256" s="2">
        <v>0</v>
      </c>
      <c r="G256" s="2">
        <v>0.3629</v>
      </c>
      <c r="H256" s="2">
        <v>32.055300000000003</v>
      </c>
      <c r="I256" s="2">
        <v>5.1852999999999998</v>
      </c>
      <c r="J256" s="2">
        <v>27.232800000000001</v>
      </c>
      <c r="K256" s="2">
        <v>0</v>
      </c>
      <c r="L256" s="2">
        <v>0</v>
      </c>
    </row>
    <row r="257" spans="1:12" x14ac:dyDescent="0.35">
      <c r="A257" s="3" t="s">
        <v>1192</v>
      </c>
      <c r="B257" s="1" t="str">
        <f t="shared" si="6"/>
        <v>Lago Paranoa</v>
      </c>
      <c r="C257" s="1">
        <f t="shared" si="7"/>
        <v>-1742</v>
      </c>
      <c r="D257" s="2">
        <v>0</v>
      </c>
      <c r="E257" s="2">
        <v>2302.4499999999998</v>
      </c>
      <c r="F257" s="2">
        <v>0.4234</v>
      </c>
      <c r="G257" s="2">
        <v>2.5268000000000002</v>
      </c>
      <c r="H257" s="2">
        <v>3.0286</v>
      </c>
      <c r="I257" s="2">
        <v>1.2482</v>
      </c>
      <c r="J257" s="2">
        <v>3.8839000000000001</v>
      </c>
      <c r="K257" s="2">
        <v>2302.4499999999998</v>
      </c>
      <c r="L257" s="2">
        <v>0</v>
      </c>
    </row>
    <row r="258" spans="1:12" x14ac:dyDescent="0.35">
      <c r="A258" s="3" t="s">
        <v>1193</v>
      </c>
      <c r="B258" s="1" t="str">
        <f t="shared" si="6"/>
        <v>Corumba IV</v>
      </c>
      <c r="C258" s="1">
        <f t="shared" si="7"/>
        <v>-1741</v>
      </c>
      <c r="D258" s="2">
        <v>0</v>
      </c>
      <c r="E258" s="2">
        <v>0</v>
      </c>
      <c r="F258" s="2">
        <v>0</v>
      </c>
      <c r="G258" s="2">
        <v>0.3629</v>
      </c>
      <c r="H258" s="2">
        <v>29.6404</v>
      </c>
      <c r="I258" s="2">
        <v>5.1852999999999998</v>
      </c>
      <c r="J258" s="2">
        <v>24.817900000000002</v>
      </c>
      <c r="K258" s="2">
        <v>0</v>
      </c>
      <c r="L258" s="2">
        <v>0</v>
      </c>
    </row>
    <row r="259" spans="1:12" x14ac:dyDescent="0.35">
      <c r="A259" s="3" t="s">
        <v>1194</v>
      </c>
      <c r="B259" s="1" t="str">
        <f t="shared" ref="B259:B322" si="8">_xlfn.TEXTBEFORE(_xlfn.TEXTAFTER(A259,"["),"]")</f>
        <v>Lago Paranoa</v>
      </c>
      <c r="C259" s="1">
        <f t="shared" si="7"/>
        <v>-1741</v>
      </c>
      <c r="D259" s="2">
        <v>0</v>
      </c>
      <c r="E259" s="2">
        <v>2302.4499999999998</v>
      </c>
      <c r="F259" s="2">
        <v>0.4234</v>
      </c>
      <c r="G259" s="2">
        <v>2.6149</v>
      </c>
      <c r="H259" s="2">
        <v>2.9441999999999999</v>
      </c>
      <c r="I259" s="2">
        <v>1.2482</v>
      </c>
      <c r="J259" s="2">
        <v>3.8875000000000002</v>
      </c>
      <c r="K259" s="2">
        <v>2302.4499999999998</v>
      </c>
      <c r="L259" s="2">
        <v>0</v>
      </c>
    </row>
    <row r="260" spans="1:12" x14ac:dyDescent="0.35">
      <c r="A260" s="3" t="s">
        <v>1195</v>
      </c>
      <c r="B260" s="1" t="str">
        <f t="shared" si="8"/>
        <v>Corumba IV</v>
      </c>
      <c r="C260" s="1">
        <f t="shared" ref="C260:C323" si="9">--_xlfn.TEXTBEFORE(_xlfn.TEXTAFTER(A260,"Week "),":")</f>
        <v>-1740</v>
      </c>
      <c r="D260" s="2">
        <v>0</v>
      </c>
      <c r="E260" s="2">
        <v>0</v>
      </c>
      <c r="F260" s="2">
        <v>0</v>
      </c>
      <c r="G260" s="2">
        <v>0.3629</v>
      </c>
      <c r="H260" s="2">
        <v>27.216899999999999</v>
      </c>
      <c r="I260" s="2">
        <v>5.1852999999999998</v>
      </c>
      <c r="J260" s="2">
        <v>22.394400000000001</v>
      </c>
      <c r="K260" s="2">
        <v>0</v>
      </c>
      <c r="L260" s="2">
        <v>0</v>
      </c>
    </row>
    <row r="261" spans="1:12" x14ac:dyDescent="0.35">
      <c r="A261" s="3" t="s">
        <v>1196</v>
      </c>
      <c r="B261" s="1" t="str">
        <f t="shared" si="8"/>
        <v>Lago Paranoa</v>
      </c>
      <c r="C261" s="1">
        <f t="shared" si="9"/>
        <v>-1740</v>
      </c>
      <c r="D261" s="2">
        <v>0</v>
      </c>
      <c r="E261" s="2">
        <v>2302.4499999999998</v>
      </c>
      <c r="F261" s="2">
        <v>0.4234</v>
      </c>
      <c r="G261" s="2">
        <v>2.5205000000000002</v>
      </c>
      <c r="H261" s="2">
        <v>2.8917000000000002</v>
      </c>
      <c r="I261" s="2">
        <v>1.2482</v>
      </c>
      <c r="J261" s="2">
        <v>3.7406999999999999</v>
      </c>
      <c r="K261" s="2">
        <v>2302.4499999999998</v>
      </c>
      <c r="L261" s="2">
        <v>0</v>
      </c>
    </row>
    <row r="262" spans="1:12" x14ac:dyDescent="0.35">
      <c r="A262" s="3" t="s">
        <v>1197</v>
      </c>
      <c r="B262" s="1" t="str">
        <f t="shared" si="8"/>
        <v>Corumba IV</v>
      </c>
      <c r="C262" s="1">
        <f t="shared" si="9"/>
        <v>-1739</v>
      </c>
      <c r="D262" s="2">
        <v>0</v>
      </c>
      <c r="E262" s="2">
        <v>0</v>
      </c>
      <c r="F262" s="2">
        <v>0</v>
      </c>
      <c r="G262" s="2">
        <v>0.3629</v>
      </c>
      <c r="H262" s="2">
        <v>25.764500000000002</v>
      </c>
      <c r="I262" s="2">
        <v>5.4177</v>
      </c>
      <c r="J262" s="2">
        <v>20.709700000000002</v>
      </c>
      <c r="K262" s="2">
        <v>0</v>
      </c>
      <c r="L262" s="2">
        <v>0</v>
      </c>
    </row>
    <row r="263" spans="1:12" x14ac:dyDescent="0.35">
      <c r="A263" s="3" t="s">
        <v>1198</v>
      </c>
      <c r="B263" s="1" t="str">
        <f t="shared" si="8"/>
        <v>Lago Paranoa</v>
      </c>
      <c r="C263" s="1">
        <f t="shared" si="9"/>
        <v>-1739</v>
      </c>
      <c r="D263" s="2">
        <v>0</v>
      </c>
      <c r="E263" s="2">
        <v>2302.4499999999998</v>
      </c>
      <c r="F263" s="2">
        <v>0.4234</v>
      </c>
      <c r="G263" s="2">
        <v>2.5122</v>
      </c>
      <c r="H263" s="2">
        <v>2.7519</v>
      </c>
      <c r="I263" s="2">
        <v>1.2868999999999999</v>
      </c>
      <c r="J263" s="2">
        <v>3.5537999999999998</v>
      </c>
      <c r="K263" s="2">
        <v>2302.4499999999998</v>
      </c>
      <c r="L263" s="2">
        <v>0</v>
      </c>
    </row>
    <row r="264" spans="1:12" x14ac:dyDescent="0.35">
      <c r="A264" s="3" t="s">
        <v>1199</v>
      </c>
      <c r="B264" s="1" t="str">
        <f t="shared" si="8"/>
        <v>Corumba IV</v>
      </c>
      <c r="C264" s="1">
        <f t="shared" si="9"/>
        <v>-1738</v>
      </c>
      <c r="D264" s="2">
        <v>0</v>
      </c>
      <c r="E264" s="2">
        <v>0</v>
      </c>
      <c r="F264" s="2">
        <v>0</v>
      </c>
      <c r="G264" s="2">
        <v>0.3629</v>
      </c>
      <c r="H264" s="2">
        <v>26.007300000000001</v>
      </c>
      <c r="I264" s="2">
        <v>5.7275</v>
      </c>
      <c r="J264" s="2">
        <v>20.642600000000002</v>
      </c>
      <c r="K264" s="2">
        <v>0</v>
      </c>
      <c r="L264" s="2">
        <v>0</v>
      </c>
    </row>
    <row r="265" spans="1:12" x14ac:dyDescent="0.35">
      <c r="A265" s="3" t="s">
        <v>1200</v>
      </c>
      <c r="B265" s="1" t="str">
        <f t="shared" si="8"/>
        <v>Lago Paranoa</v>
      </c>
      <c r="C265" s="1">
        <f t="shared" si="9"/>
        <v>-1738</v>
      </c>
      <c r="D265" s="2">
        <v>0</v>
      </c>
      <c r="E265" s="2">
        <v>2302.4499999999998</v>
      </c>
      <c r="F265" s="2">
        <v>0.4234</v>
      </c>
      <c r="G265" s="2">
        <v>2.4089999999999998</v>
      </c>
      <c r="H265" s="2">
        <v>2.6398999999999999</v>
      </c>
      <c r="I265" s="2">
        <v>1.3385</v>
      </c>
      <c r="J265" s="2">
        <v>3.2869999999999999</v>
      </c>
      <c r="K265" s="2">
        <v>2302.4499999999998</v>
      </c>
      <c r="L265" s="2">
        <v>0</v>
      </c>
    </row>
    <row r="266" spans="1:12" x14ac:dyDescent="0.35">
      <c r="A266" s="3" t="s">
        <v>1201</v>
      </c>
      <c r="B266" s="1" t="str">
        <f t="shared" si="8"/>
        <v>Corumba IV</v>
      </c>
      <c r="C266" s="1">
        <f t="shared" si="9"/>
        <v>-1737</v>
      </c>
      <c r="D266" s="2">
        <v>0</v>
      </c>
      <c r="E266" s="2">
        <v>0</v>
      </c>
      <c r="F266" s="2">
        <v>0</v>
      </c>
      <c r="G266" s="2">
        <v>0.3629</v>
      </c>
      <c r="H266" s="2">
        <v>25.934699999999999</v>
      </c>
      <c r="I266" s="2">
        <v>5.7275</v>
      </c>
      <c r="J266" s="2">
        <v>20.57</v>
      </c>
      <c r="K266" s="2">
        <v>0</v>
      </c>
      <c r="L266" s="2">
        <v>0</v>
      </c>
    </row>
    <row r="267" spans="1:12" x14ac:dyDescent="0.35">
      <c r="A267" s="3" t="s">
        <v>1202</v>
      </c>
      <c r="B267" s="1" t="str">
        <f t="shared" si="8"/>
        <v>Lago Paranoa</v>
      </c>
      <c r="C267" s="1">
        <f t="shared" si="9"/>
        <v>-1737</v>
      </c>
      <c r="D267" s="2">
        <v>0</v>
      </c>
      <c r="E267" s="2">
        <v>2302.4499999999998</v>
      </c>
      <c r="F267" s="2">
        <v>0.4234</v>
      </c>
      <c r="G267" s="2">
        <v>2.4531999999999998</v>
      </c>
      <c r="H267" s="2">
        <v>2.5922000000000001</v>
      </c>
      <c r="I267" s="2">
        <v>1.3385</v>
      </c>
      <c r="J267" s="2">
        <v>3.2835000000000001</v>
      </c>
      <c r="K267" s="2">
        <v>2302.4499999999998</v>
      </c>
      <c r="L267" s="2">
        <v>0</v>
      </c>
    </row>
    <row r="268" spans="1:12" x14ac:dyDescent="0.35">
      <c r="A268" s="3" t="s">
        <v>1203</v>
      </c>
      <c r="B268" s="1" t="str">
        <f t="shared" si="8"/>
        <v>Corumba IV</v>
      </c>
      <c r="C268" s="1">
        <f t="shared" si="9"/>
        <v>-1736</v>
      </c>
      <c r="D268" s="2">
        <v>0</v>
      </c>
      <c r="E268" s="2">
        <v>0</v>
      </c>
      <c r="F268" s="2">
        <v>0</v>
      </c>
      <c r="G268" s="2">
        <v>0.3629</v>
      </c>
      <c r="H268" s="2">
        <v>23.0947</v>
      </c>
      <c r="I268" s="2">
        <v>5.7275</v>
      </c>
      <c r="J268" s="2">
        <v>17.7301</v>
      </c>
      <c r="K268" s="2">
        <v>0</v>
      </c>
      <c r="L268" s="2">
        <v>0</v>
      </c>
    </row>
    <row r="269" spans="1:12" x14ac:dyDescent="0.35">
      <c r="A269" s="3" t="s">
        <v>1204</v>
      </c>
      <c r="B269" s="1" t="str">
        <f t="shared" si="8"/>
        <v>Lago Paranoa</v>
      </c>
      <c r="C269" s="1">
        <f t="shared" si="9"/>
        <v>-1736</v>
      </c>
      <c r="D269" s="2">
        <v>0</v>
      </c>
      <c r="E269" s="2">
        <v>2302.4499999999998</v>
      </c>
      <c r="F269" s="2">
        <v>0.4234</v>
      </c>
      <c r="G269" s="2">
        <v>2.4232999999999998</v>
      </c>
      <c r="H269" s="2">
        <v>2.5036999999999998</v>
      </c>
      <c r="I269" s="2">
        <v>1.3385</v>
      </c>
      <c r="J269" s="2">
        <v>3.1650999999999998</v>
      </c>
      <c r="K269" s="2">
        <v>2302.4499999999998</v>
      </c>
      <c r="L269" s="2">
        <v>0</v>
      </c>
    </row>
    <row r="270" spans="1:12" x14ac:dyDescent="0.35">
      <c r="A270" s="3" t="s">
        <v>1205</v>
      </c>
      <c r="B270" s="1" t="str">
        <f t="shared" si="8"/>
        <v>Corumba IV</v>
      </c>
      <c r="C270" s="1">
        <f t="shared" si="9"/>
        <v>-1735</v>
      </c>
      <c r="D270" s="2">
        <v>0</v>
      </c>
      <c r="E270" s="2">
        <v>0</v>
      </c>
      <c r="F270" s="2">
        <v>0</v>
      </c>
      <c r="G270" s="2">
        <v>0.3629</v>
      </c>
      <c r="H270" s="2">
        <v>21.837599999999998</v>
      </c>
      <c r="I270" s="2">
        <v>6.0266000000000002</v>
      </c>
      <c r="J270" s="2">
        <v>16.1738</v>
      </c>
      <c r="K270" s="2">
        <v>0</v>
      </c>
      <c r="L270" s="2">
        <v>0</v>
      </c>
    </row>
    <row r="271" spans="1:12" x14ac:dyDescent="0.35">
      <c r="A271" s="3" t="s">
        <v>1206</v>
      </c>
      <c r="B271" s="1" t="str">
        <f t="shared" si="8"/>
        <v>Lago Paranoa</v>
      </c>
      <c r="C271" s="1">
        <f t="shared" si="9"/>
        <v>-1735</v>
      </c>
      <c r="D271" s="2">
        <v>0</v>
      </c>
      <c r="E271" s="2">
        <v>2302.4499999999998</v>
      </c>
      <c r="F271" s="2">
        <v>0.4234</v>
      </c>
      <c r="G271" s="2">
        <v>2.4992999999999999</v>
      </c>
      <c r="H271" s="2">
        <v>2.4365999999999999</v>
      </c>
      <c r="I271" s="2">
        <v>1.3983000000000001</v>
      </c>
      <c r="J271" s="2">
        <v>3.1141999999999999</v>
      </c>
      <c r="K271" s="2">
        <v>2302.4499999999998</v>
      </c>
      <c r="L271" s="2">
        <v>0</v>
      </c>
    </row>
    <row r="272" spans="1:12" x14ac:dyDescent="0.35">
      <c r="A272" s="3" t="s">
        <v>1207</v>
      </c>
      <c r="B272" s="1" t="str">
        <f t="shared" si="8"/>
        <v>Corumba IV</v>
      </c>
      <c r="C272" s="1">
        <f t="shared" si="9"/>
        <v>-1734</v>
      </c>
      <c r="D272" s="2">
        <v>0</v>
      </c>
      <c r="E272" s="2">
        <v>0</v>
      </c>
      <c r="F272" s="2">
        <v>0</v>
      </c>
      <c r="G272" s="2">
        <v>0.3629</v>
      </c>
      <c r="H272" s="2">
        <v>20.231400000000001</v>
      </c>
      <c r="I272" s="2">
        <v>5.4728000000000003</v>
      </c>
      <c r="J272" s="2">
        <v>15.121499999999999</v>
      </c>
      <c r="K272" s="2">
        <v>0</v>
      </c>
      <c r="L272" s="2">
        <v>0</v>
      </c>
    </row>
    <row r="273" spans="1:12" x14ac:dyDescent="0.35">
      <c r="A273" s="3" t="s">
        <v>1208</v>
      </c>
      <c r="B273" s="1" t="str">
        <f t="shared" si="8"/>
        <v>Lago Paranoa</v>
      </c>
      <c r="C273" s="1">
        <f t="shared" si="9"/>
        <v>-1734</v>
      </c>
      <c r="D273" s="2">
        <v>0</v>
      </c>
      <c r="E273" s="2">
        <v>2302.4499999999998</v>
      </c>
      <c r="F273" s="2">
        <v>0.4234</v>
      </c>
      <c r="G273" s="2">
        <v>2.4289999999999998</v>
      </c>
      <c r="H273" s="2">
        <v>2.3936999999999999</v>
      </c>
      <c r="I273" s="2">
        <v>1.4838</v>
      </c>
      <c r="J273" s="2">
        <v>2.9154</v>
      </c>
      <c r="K273" s="2">
        <v>2302.4499999999998</v>
      </c>
      <c r="L273" s="2">
        <v>0</v>
      </c>
    </row>
    <row r="274" spans="1:12" x14ac:dyDescent="0.35">
      <c r="A274" s="3" t="s">
        <v>1209</v>
      </c>
      <c r="B274" s="1" t="str">
        <f t="shared" si="8"/>
        <v>Corumba IV</v>
      </c>
      <c r="C274" s="1">
        <f t="shared" si="9"/>
        <v>-1733</v>
      </c>
      <c r="D274" s="2">
        <v>0</v>
      </c>
      <c r="E274" s="2">
        <v>0</v>
      </c>
      <c r="F274" s="2">
        <v>0</v>
      </c>
      <c r="G274" s="2">
        <v>0.3629</v>
      </c>
      <c r="H274" s="2">
        <v>19.191199999999998</v>
      </c>
      <c r="I274" s="2">
        <v>5.4728000000000003</v>
      </c>
      <c r="J274" s="2">
        <v>14.081200000000001</v>
      </c>
      <c r="K274" s="2">
        <v>0</v>
      </c>
      <c r="L274" s="2">
        <v>0</v>
      </c>
    </row>
    <row r="275" spans="1:12" x14ac:dyDescent="0.35">
      <c r="A275" s="3" t="s">
        <v>1210</v>
      </c>
      <c r="B275" s="1" t="str">
        <f t="shared" si="8"/>
        <v>Lago Paranoa</v>
      </c>
      <c r="C275" s="1">
        <f t="shared" si="9"/>
        <v>-1733</v>
      </c>
      <c r="D275" s="2">
        <v>0</v>
      </c>
      <c r="E275" s="2">
        <v>2302.4499999999998</v>
      </c>
      <c r="F275" s="2">
        <v>0.4234</v>
      </c>
      <c r="G275" s="2">
        <v>2.4782000000000002</v>
      </c>
      <c r="H275" s="2">
        <v>2.3868</v>
      </c>
      <c r="I275" s="2">
        <v>1.4838</v>
      </c>
      <c r="J275" s="2">
        <v>2.9578000000000002</v>
      </c>
      <c r="K275" s="2">
        <v>2302.4499999999998</v>
      </c>
      <c r="L275" s="2">
        <v>0</v>
      </c>
    </row>
    <row r="276" spans="1:12" x14ac:dyDescent="0.35">
      <c r="A276" s="3" t="s">
        <v>1211</v>
      </c>
      <c r="B276" s="1" t="str">
        <f t="shared" si="8"/>
        <v>Corumba IV</v>
      </c>
      <c r="C276" s="1">
        <f t="shared" si="9"/>
        <v>-1732</v>
      </c>
      <c r="D276" s="2">
        <v>0</v>
      </c>
      <c r="E276" s="2">
        <v>0</v>
      </c>
      <c r="F276" s="2">
        <v>0</v>
      </c>
      <c r="G276" s="2">
        <v>0.3629</v>
      </c>
      <c r="H276" s="2">
        <v>19.1661</v>
      </c>
      <c r="I276" s="2">
        <v>5.4728000000000003</v>
      </c>
      <c r="J276" s="2">
        <v>14.0562</v>
      </c>
      <c r="K276" s="2">
        <v>0</v>
      </c>
      <c r="L276" s="2">
        <v>0</v>
      </c>
    </row>
    <row r="277" spans="1:12" x14ac:dyDescent="0.35">
      <c r="A277" s="3" t="s">
        <v>1212</v>
      </c>
      <c r="B277" s="1" t="str">
        <f t="shared" si="8"/>
        <v>Lago Paranoa</v>
      </c>
      <c r="C277" s="1">
        <f t="shared" si="9"/>
        <v>-1732</v>
      </c>
      <c r="D277" s="2">
        <v>0</v>
      </c>
      <c r="E277" s="2">
        <v>2302.4499999999998</v>
      </c>
      <c r="F277" s="2">
        <v>0.4234</v>
      </c>
      <c r="G277" s="2">
        <v>2.4619</v>
      </c>
      <c r="H277" s="2">
        <v>2.3132000000000001</v>
      </c>
      <c r="I277" s="2">
        <v>1.4838</v>
      </c>
      <c r="J277" s="2">
        <v>2.8679000000000001</v>
      </c>
      <c r="K277" s="2">
        <v>2302.4499999999998</v>
      </c>
      <c r="L277" s="2">
        <v>0</v>
      </c>
    </row>
    <row r="278" spans="1:12" x14ac:dyDescent="0.35">
      <c r="A278" s="3" t="s">
        <v>1213</v>
      </c>
      <c r="B278" s="1" t="str">
        <f t="shared" si="8"/>
        <v>Corumba IV</v>
      </c>
      <c r="C278" s="1">
        <f t="shared" si="9"/>
        <v>-1731</v>
      </c>
      <c r="D278" s="2">
        <v>0</v>
      </c>
      <c r="E278" s="2">
        <v>0</v>
      </c>
      <c r="F278" s="2">
        <v>0</v>
      </c>
      <c r="G278" s="2">
        <v>0.3629</v>
      </c>
      <c r="H278" s="2">
        <v>19.259399999999999</v>
      </c>
      <c r="I278" s="2">
        <v>5.4431000000000003</v>
      </c>
      <c r="J278" s="2">
        <v>14.1792</v>
      </c>
      <c r="K278" s="2">
        <v>0</v>
      </c>
      <c r="L278" s="2">
        <v>0</v>
      </c>
    </row>
    <row r="279" spans="1:12" x14ac:dyDescent="0.35">
      <c r="A279" s="3" t="s">
        <v>1214</v>
      </c>
      <c r="B279" s="1" t="str">
        <f t="shared" si="8"/>
        <v>Lago Paranoa</v>
      </c>
      <c r="C279" s="1">
        <f t="shared" si="9"/>
        <v>-1731</v>
      </c>
      <c r="D279" s="2">
        <v>0</v>
      </c>
      <c r="E279" s="2">
        <v>2302.4499999999998</v>
      </c>
      <c r="F279" s="2">
        <v>0.4234</v>
      </c>
      <c r="G279" s="2">
        <v>2.8378999999999999</v>
      </c>
      <c r="H279" s="2">
        <v>2.5531999999999999</v>
      </c>
      <c r="I279" s="2">
        <v>1.4802</v>
      </c>
      <c r="J279" s="2">
        <v>3.4874999999999998</v>
      </c>
      <c r="K279" s="2">
        <v>2302.4499999999998</v>
      </c>
      <c r="L279" s="2">
        <v>0</v>
      </c>
    </row>
    <row r="280" spans="1:12" x14ac:dyDescent="0.35">
      <c r="A280" s="3" t="s">
        <v>1215</v>
      </c>
      <c r="B280" s="1" t="str">
        <f t="shared" si="8"/>
        <v>Corumba IV</v>
      </c>
      <c r="C280" s="1">
        <f t="shared" si="9"/>
        <v>-1730</v>
      </c>
      <c r="D280" s="2">
        <v>0</v>
      </c>
      <c r="E280" s="2">
        <v>0</v>
      </c>
      <c r="F280" s="2">
        <v>0</v>
      </c>
      <c r="G280" s="2">
        <v>0.3629</v>
      </c>
      <c r="H280" s="2">
        <v>27.571100000000001</v>
      </c>
      <c r="I280" s="2">
        <v>5.9675000000000002</v>
      </c>
      <c r="J280" s="2">
        <v>21.9665</v>
      </c>
      <c r="K280" s="2">
        <v>0</v>
      </c>
      <c r="L280" s="2">
        <v>0</v>
      </c>
    </row>
    <row r="281" spans="1:12" x14ac:dyDescent="0.35">
      <c r="A281" s="3" t="s">
        <v>1216</v>
      </c>
      <c r="B281" s="1" t="str">
        <f t="shared" si="8"/>
        <v>Lago Paranoa</v>
      </c>
      <c r="C281" s="1">
        <f t="shared" si="9"/>
        <v>-1730</v>
      </c>
      <c r="D281" s="2">
        <v>0</v>
      </c>
      <c r="E281" s="2">
        <v>2302.4499999999998</v>
      </c>
      <c r="F281" s="2">
        <v>0.4234</v>
      </c>
      <c r="G281" s="2">
        <v>2.9733000000000001</v>
      </c>
      <c r="H281" s="2">
        <v>2.6970000000000001</v>
      </c>
      <c r="I281" s="2">
        <v>1.5132000000000001</v>
      </c>
      <c r="J281" s="2">
        <v>3.7336999999999998</v>
      </c>
      <c r="K281" s="2">
        <v>2302.4499999999998</v>
      </c>
      <c r="L281" s="2">
        <v>0</v>
      </c>
    </row>
    <row r="282" spans="1:12" x14ac:dyDescent="0.35">
      <c r="A282" s="3" t="s">
        <v>1217</v>
      </c>
      <c r="B282" s="1" t="str">
        <f t="shared" si="8"/>
        <v>Corumba IV</v>
      </c>
      <c r="C282" s="1">
        <f t="shared" si="9"/>
        <v>-1729</v>
      </c>
      <c r="D282" s="2">
        <v>0</v>
      </c>
      <c r="E282" s="2">
        <v>0</v>
      </c>
      <c r="F282" s="2">
        <v>0</v>
      </c>
      <c r="G282" s="2">
        <v>0.3629</v>
      </c>
      <c r="H282" s="2">
        <v>25.559699999999999</v>
      </c>
      <c r="I282" s="2">
        <v>6.2484000000000002</v>
      </c>
      <c r="J282" s="2">
        <v>19.674099999999999</v>
      </c>
      <c r="K282" s="2">
        <v>0</v>
      </c>
      <c r="L282" s="2">
        <v>0</v>
      </c>
    </row>
    <row r="283" spans="1:12" x14ac:dyDescent="0.35">
      <c r="A283" s="3" t="s">
        <v>1218</v>
      </c>
      <c r="B283" s="1" t="str">
        <f t="shared" si="8"/>
        <v>Lago Paranoa</v>
      </c>
      <c r="C283" s="1">
        <f t="shared" si="9"/>
        <v>-1729</v>
      </c>
      <c r="D283" s="2">
        <v>0</v>
      </c>
      <c r="E283" s="2">
        <v>2302.4499999999998</v>
      </c>
      <c r="F283" s="2">
        <v>0.4234</v>
      </c>
      <c r="G283" s="2">
        <v>3.3355999999999999</v>
      </c>
      <c r="H283" s="2">
        <v>2.8517999999999999</v>
      </c>
      <c r="I283" s="2">
        <v>1.5351999999999999</v>
      </c>
      <c r="J283" s="2">
        <v>4.2287999999999997</v>
      </c>
      <c r="K283" s="2">
        <v>2302.4499999999998</v>
      </c>
      <c r="L283" s="2">
        <v>0</v>
      </c>
    </row>
    <row r="284" spans="1:12" x14ac:dyDescent="0.35">
      <c r="A284" s="3" t="s">
        <v>1219</v>
      </c>
      <c r="B284" s="1" t="str">
        <f t="shared" si="8"/>
        <v>Corumba IV</v>
      </c>
      <c r="C284" s="1">
        <f t="shared" si="9"/>
        <v>-1728</v>
      </c>
      <c r="D284" s="2">
        <v>0</v>
      </c>
      <c r="E284" s="2">
        <v>0</v>
      </c>
      <c r="F284" s="2">
        <v>0</v>
      </c>
      <c r="G284" s="2">
        <v>0.3629</v>
      </c>
      <c r="H284" s="2">
        <v>26.8367</v>
      </c>
      <c r="I284" s="2">
        <v>6.2484000000000002</v>
      </c>
      <c r="J284" s="2">
        <v>20.9511</v>
      </c>
      <c r="K284" s="2">
        <v>0</v>
      </c>
      <c r="L284" s="2">
        <v>0</v>
      </c>
    </row>
    <row r="285" spans="1:12" x14ac:dyDescent="0.35">
      <c r="A285" s="3" t="s">
        <v>1220</v>
      </c>
      <c r="B285" s="1" t="str">
        <f t="shared" si="8"/>
        <v>Lago Paranoa</v>
      </c>
      <c r="C285" s="1">
        <f t="shared" si="9"/>
        <v>-1728</v>
      </c>
      <c r="D285" s="2">
        <v>0</v>
      </c>
      <c r="E285" s="2">
        <v>2302.4499999999998</v>
      </c>
      <c r="F285" s="2">
        <v>0.4234</v>
      </c>
      <c r="G285" s="2">
        <v>2.4573</v>
      </c>
      <c r="H285" s="2">
        <v>2.4157000000000002</v>
      </c>
      <c r="I285" s="2">
        <v>1.5351999999999999</v>
      </c>
      <c r="J285" s="2">
        <v>2.9144000000000001</v>
      </c>
      <c r="K285" s="2">
        <v>2302.4499999999998</v>
      </c>
      <c r="L285" s="2">
        <v>0</v>
      </c>
    </row>
    <row r="286" spans="1:12" x14ac:dyDescent="0.35">
      <c r="A286" s="3" t="s">
        <v>1221</v>
      </c>
      <c r="B286" s="1" t="str">
        <f t="shared" si="8"/>
        <v>Corumba IV</v>
      </c>
      <c r="C286" s="1">
        <f t="shared" si="9"/>
        <v>-1727</v>
      </c>
      <c r="D286" s="2">
        <v>0</v>
      </c>
      <c r="E286" s="2">
        <v>0</v>
      </c>
      <c r="F286" s="2">
        <v>0</v>
      </c>
      <c r="G286" s="2">
        <v>0.3629</v>
      </c>
      <c r="H286" s="2">
        <v>19.2102</v>
      </c>
      <c r="I286" s="2">
        <v>6.2484000000000002</v>
      </c>
      <c r="J286" s="2">
        <v>13.3246</v>
      </c>
      <c r="K286" s="2">
        <v>0</v>
      </c>
      <c r="L286" s="2">
        <v>0</v>
      </c>
    </row>
    <row r="287" spans="1:12" x14ac:dyDescent="0.35">
      <c r="A287" s="3" t="s">
        <v>1222</v>
      </c>
      <c r="B287" s="1" t="str">
        <f t="shared" si="8"/>
        <v>Lago Paranoa</v>
      </c>
      <c r="C287" s="1">
        <f t="shared" si="9"/>
        <v>-1727</v>
      </c>
      <c r="D287" s="2">
        <v>0</v>
      </c>
      <c r="E287" s="2">
        <v>2302.4499999999998</v>
      </c>
      <c r="F287" s="2">
        <v>0.4234</v>
      </c>
      <c r="G287" s="2">
        <v>2.5617999999999999</v>
      </c>
      <c r="H287" s="2">
        <v>2.2728000000000002</v>
      </c>
      <c r="I287" s="2">
        <v>1.5351999999999999</v>
      </c>
      <c r="J287" s="2">
        <v>2.8761000000000001</v>
      </c>
      <c r="K287" s="2">
        <v>2302.4499999999998</v>
      </c>
      <c r="L287" s="2">
        <v>0</v>
      </c>
    </row>
    <row r="288" spans="1:12" x14ac:dyDescent="0.35">
      <c r="A288" s="3" t="s">
        <v>1223</v>
      </c>
      <c r="B288" s="1" t="str">
        <f t="shared" si="8"/>
        <v>Corumba IV</v>
      </c>
      <c r="C288" s="1">
        <f t="shared" si="9"/>
        <v>-1726</v>
      </c>
      <c r="D288" s="2">
        <v>0</v>
      </c>
      <c r="E288" s="2">
        <v>0</v>
      </c>
      <c r="F288" s="2">
        <v>0</v>
      </c>
      <c r="G288" s="2">
        <v>0.3629</v>
      </c>
      <c r="H288" s="2">
        <v>31.478100000000001</v>
      </c>
      <c r="I288" s="2">
        <v>5.6039000000000003</v>
      </c>
      <c r="J288" s="2">
        <v>26.237100000000002</v>
      </c>
      <c r="K288" s="2">
        <v>0</v>
      </c>
      <c r="L288" s="2">
        <v>0</v>
      </c>
    </row>
    <row r="289" spans="1:12" x14ac:dyDescent="0.35">
      <c r="A289" s="3" t="s">
        <v>1224</v>
      </c>
      <c r="B289" s="1" t="str">
        <f t="shared" si="8"/>
        <v>Lago Paranoa</v>
      </c>
      <c r="C289" s="1">
        <f t="shared" si="9"/>
        <v>-1726</v>
      </c>
      <c r="D289" s="2">
        <v>0</v>
      </c>
      <c r="E289" s="2">
        <v>2302.4499999999998</v>
      </c>
      <c r="F289" s="2">
        <v>0.4234</v>
      </c>
      <c r="G289" s="2">
        <v>2.5196999999999998</v>
      </c>
      <c r="H289" s="2">
        <v>2.6089000000000002</v>
      </c>
      <c r="I289" s="2">
        <v>1.4288000000000001</v>
      </c>
      <c r="J289" s="2">
        <v>3.2765</v>
      </c>
      <c r="K289" s="2">
        <v>2302.4499999999998</v>
      </c>
      <c r="L289" s="2">
        <v>0</v>
      </c>
    </row>
    <row r="290" spans="1:12" x14ac:dyDescent="0.35">
      <c r="A290" s="3" t="s">
        <v>1225</v>
      </c>
      <c r="B290" s="1" t="str">
        <f t="shared" si="8"/>
        <v>Corumba IV</v>
      </c>
      <c r="C290" s="1">
        <f t="shared" si="9"/>
        <v>-1725</v>
      </c>
      <c r="D290" s="2">
        <v>0</v>
      </c>
      <c r="E290" s="2">
        <v>0</v>
      </c>
      <c r="F290" s="2">
        <v>0</v>
      </c>
      <c r="G290" s="2">
        <v>0.3629</v>
      </c>
      <c r="H290" s="2">
        <v>23.213100000000001</v>
      </c>
      <c r="I290" s="2">
        <v>4.8910999999999998</v>
      </c>
      <c r="J290" s="2">
        <v>18.684899999999999</v>
      </c>
      <c r="K290" s="2">
        <v>0</v>
      </c>
      <c r="L290" s="2">
        <v>0</v>
      </c>
    </row>
    <row r="291" spans="1:12" x14ac:dyDescent="0.35">
      <c r="A291" s="3" t="s">
        <v>1226</v>
      </c>
      <c r="B291" s="1" t="str">
        <f t="shared" si="8"/>
        <v>Lago Paranoa</v>
      </c>
      <c r="C291" s="1">
        <f t="shared" si="9"/>
        <v>-1725</v>
      </c>
      <c r="D291" s="2">
        <v>0</v>
      </c>
      <c r="E291" s="2">
        <v>2302.4499999999998</v>
      </c>
      <c r="F291" s="2">
        <v>0.4234</v>
      </c>
      <c r="G291" s="2">
        <v>2.6848000000000001</v>
      </c>
      <c r="H291" s="2">
        <v>2.5739000000000001</v>
      </c>
      <c r="I291" s="2">
        <v>1.2394000000000001</v>
      </c>
      <c r="J291" s="2">
        <v>3.5960000000000001</v>
      </c>
      <c r="K291" s="2">
        <v>2302.4499999999998</v>
      </c>
      <c r="L291" s="2">
        <v>0</v>
      </c>
    </row>
    <row r="292" spans="1:12" x14ac:dyDescent="0.35">
      <c r="A292" s="3" t="s">
        <v>1227</v>
      </c>
      <c r="B292" s="1" t="str">
        <f t="shared" si="8"/>
        <v>Corumba IV</v>
      </c>
      <c r="C292" s="1">
        <f t="shared" si="9"/>
        <v>-1724</v>
      </c>
      <c r="D292" s="2">
        <v>0</v>
      </c>
      <c r="E292" s="2">
        <v>0</v>
      </c>
      <c r="F292" s="2">
        <v>0</v>
      </c>
      <c r="G292" s="2">
        <v>0.3629</v>
      </c>
      <c r="H292" s="2">
        <v>67.466300000000004</v>
      </c>
      <c r="I292" s="2">
        <v>3.9796999999999998</v>
      </c>
      <c r="J292" s="2">
        <v>63.849499999999999</v>
      </c>
      <c r="K292" s="2">
        <v>0</v>
      </c>
      <c r="L292" s="2">
        <v>0</v>
      </c>
    </row>
    <row r="293" spans="1:12" x14ac:dyDescent="0.35">
      <c r="A293" s="3" t="s">
        <v>1228</v>
      </c>
      <c r="B293" s="1" t="str">
        <f t="shared" si="8"/>
        <v>Lago Paranoa</v>
      </c>
      <c r="C293" s="1">
        <f t="shared" si="9"/>
        <v>-1724</v>
      </c>
      <c r="D293" s="2">
        <v>0</v>
      </c>
      <c r="E293" s="2">
        <v>2302.4499999999998</v>
      </c>
      <c r="F293" s="2">
        <v>0.4234</v>
      </c>
      <c r="G293" s="2">
        <v>4.2251000000000003</v>
      </c>
      <c r="H293" s="2">
        <v>5.5164</v>
      </c>
      <c r="I293" s="2">
        <v>0.95579999999999998</v>
      </c>
      <c r="J293" s="2">
        <v>8.3622999999999994</v>
      </c>
      <c r="K293" s="2">
        <v>2302.4499999999998</v>
      </c>
      <c r="L293" s="2">
        <v>0</v>
      </c>
    </row>
    <row r="294" spans="1:12" x14ac:dyDescent="0.35">
      <c r="A294" s="3" t="s">
        <v>1229</v>
      </c>
      <c r="B294" s="1" t="str">
        <f t="shared" si="8"/>
        <v>Corumba IV</v>
      </c>
      <c r="C294" s="1">
        <f t="shared" si="9"/>
        <v>-1723</v>
      </c>
      <c r="D294" s="2">
        <v>0</v>
      </c>
      <c r="E294" s="2">
        <v>0</v>
      </c>
      <c r="F294" s="2">
        <v>0</v>
      </c>
      <c r="G294" s="2">
        <v>0.3629</v>
      </c>
      <c r="H294" s="2">
        <v>105.51690000000001</v>
      </c>
      <c r="I294" s="2">
        <v>3.9796999999999998</v>
      </c>
      <c r="J294" s="2">
        <v>101.9</v>
      </c>
      <c r="K294" s="2">
        <v>0</v>
      </c>
      <c r="L294" s="2">
        <v>0</v>
      </c>
    </row>
    <row r="295" spans="1:12" x14ac:dyDescent="0.35">
      <c r="A295" s="3" t="s">
        <v>1230</v>
      </c>
      <c r="B295" s="1" t="str">
        <f t="shared" si="8"/>
        <v>Lago Paranoa</v>
      </c>
      <c r="C295" s="1">
        <f t="shared" si="9"/>
        <v>-1723</v>
      </c>
      <c r="D295" s="2">
        <v>0</v>
      </c>
      <c r="E295" s="2">
        <v>2302.4499999999998</v>
      </c>
      <c r="F295" s="2">
        <v>0.4234</v>
      </c>
      <c r="G295" s="2">
        <v>4.0213000000000001</v>
      </c>
      <c r="H295" s="2">
        <v>5.9843000000000002</v>
      </c>
      <c r="I295" s="2">
        <v>0.95579999999999998</v>
      </c>
      <c r="J295" s="2">
        <v>8.6264000000000003</v>
      </c>
      <c r="K295" s="2">
        <v>2302.4499999999998</v>
      </c>
      <c r="L295" s="2">
        <v>0</v>
      </c>
    </row>
    <row r="296" spans="1:12" x14ac:dyDescent="0.35">
      <c r="A296" s="3" t="s">
        <v>1231</v>
      </c>
      <c r="B296" s="1" t="str">
        <f t="shared" si="8"/>
        <v>Corumba IV</v>
      </c>
      <c r="C296" s="1">
        <f t="shared" si="9"/>
        <v>-1722</v>
      </c>
      <c r="D296" s="2">
        <v>0</v>
      </c>
      <c r="E296" s="2">
        <v>0</v>
      </c>
      <c r="F296" s="2">
        <v>0</v>
      </c>
      <c r="G296" s="2">
        <v>0.3629</v>
      </c>
      <c r="H296" s="2">
        <v>88.154799999999994</v>
      </c>
      <c r="I296" s="2">
        <v>3.9796999999999998</v>
      </c>
      <c r="J296" s="2">
        <v>84.537999999999997</v>
      </c>
      <c r="K296" s="2">
        <v>0</v>
      </c>
      <c r="L296" s="2">
        <v>0</v>
      </c>
    </row>
    <row r="297" spans="1:12" x14ac:dyDescent="0.35">
      <c r="A297" s="3" t="s">
        <v>1232</v>
      </c>
      <c r="B297" s="1" t="str">
        <f t="shared" si="8"/>
        <v>Lago Paranoa</v>
      </c>
      <c r="C297" s="1">
        <f t="shared" si="9"/>
        <v>-1722</v>
      </c>
      <c r="D297" s="2">
        <v>0</v>
      </c>
      <c r="E297" s="2">
        <v>2302.4499999999998</v>
      </c>
      <c r="F297" s="2">
        <v>0.4234</v>
      </c>
      <c r="G297" s="2">
        <v>3.8376999999999999</v>
      </c>
      <c r="H297" s="2">
        <v>4.7534000000000001</v>
      </c>
      <c r="I297" s="2">
        <v>0.95579999999999998</v>
      </c>
      <c r="J297" s="2">
        <v>7.2119</v>
      </c>
      <c r="K297" s="2">
        <v>2302.4499999999998</v>
      </c>
      <c r="L297" s="2">
        <v>0</v>
      </c>
    </row>
    <row r="298" spans="1:12" x14ac:dyDescent="0.35">
      <c r="A298" s="3" t="s">
        <v>1233</v>
      </c>
      <c r="B298" s="1" t="str">
        <f t="shared" si="8"/>
        <v>Corumba IV</v>
      </c>
      <c r="C298" s="1">
        <f t="shared" si="9"/>
        <v>-1721</v>
      </c>
      <c r="D298" s="2">
        <v>0</v>
      </c>
      <c r="E298" s="2">
        <v>0</v>
      </c>
      <c r="F298" s="2">
        <v>0</v>
      </c>
      <c r="G298" s="2">
        <v>0.3629</v>
      </c>
      <c r="H298" s="2">
        <v>103.3629</v>
      </c>
      <c r="I298" s="2">
        <v>4.0669000000000004</v>
      </c>
      <c r="J298" s="2">
        <v>99.658900000000003</v>
      </c>
      <c r="K298" s="2">
        <v>0</v>
      </c>
      <c r="L298" s="2">
        <v>0</v>
      </c>
    </row>
    <row r="299" spans="1:12" x14ac:dyDescent="0.35">
      <c r="A299" s="3" t="s">
        <v>1234</v>
      </c>
      <c r="B299" s="1" t="str">
        <f t="shared" si="8"/>
        <v>Lago Paranoa</v>
      </c>
      <c r="C299" s="1">
        <f t="shared" si="9"/>
        <v>-1721</v>
      </c>
      <c r="D299" s="2">
        <v>0</v>
      </c>
      <c r="E299" s="2">
        <v>2302.4499999999998</v>
      </c>
      <c r="F299" s="2">
        <v>0.4234</v>
      </c>
      <c r="G299" s="2">
        <v>4.1185</v>
      </c>
      <c r="H299" s="2">
        <v>6.2164000000000001</v>
      </c>
      <c r="I299" s="2">
        <v>1.0164</v>
      </c>
      <c r="J299" s="2">
        <v>8.8950999999999993</v>
      </c>
      <c r="K299" s="2">
        <v>2302.4499999999998</v>
      </c>
      <c r="L299" s="2">
        <v>0</v>
      </c>
    </row>
    <row r="300" spans="1:12" x14ac:dyDescent="0.35">
      <c r="A300" s="3" t="s">
        <v>1235</v>
      </c>
      <c r="B300" s="1" t="str">
        <f t="shared" si="8"/>
        <v>Corumba IV</v>
      </c>
      <c r="C300" s="1">
        <f t="shared" si="9"/>
        <v>-1720</v>
      </c>
      <c r="D300" s="2">
        <v>0</v>
      </c>
      <c r="E300" s="2">
        <v>0</v>
      </c>
      <c r="F300" s="2">
        <v>0</v>
      </c>
      <c r="G300" s="2">
        <v>0.3629</v>
      </c>
      <c r="H300" s="2">
        <v>151.47219999999999</v>
      </c>
      <c r="I300" s="2">
        <v>4.0669000000000004</v>
      </c>
      <c r="J300" s="2">
        <v>147.76820000000001</v>
      </c>
      <c r="K300" s="2">
        <v>0</v>
      </c>
      <c r="L300" s="2">
        <v>0</v>
      </c>
    </row>
    <row r="301" spans="1:12" x14ac:dyDescent="0.35">
      <c r="A301" s="3" t="s">
        <v>1236</v>
      </c>
      <c r="B301" s="1" t="str">
        <f t="shared" si="8"/>
        <v>Lago Paranoa</v>
      </c>
      <c r="C301" s="1">
        <f t="shared" si="9"/>
        <v>-1720</v>
      </c>
      <c r="D301" s="2">
        <v>0</v>
      </c>
      <c r="E301" s="2">
        <v>2302.4499999999998</v>
      </c>
      <c r="F301" s="2">
        <v>0.4234</v>
      </c>
      <c r="G301" s="2">
        <v>4.3052999999999999</v>
      </c>
      <c r="H301" s="2">
        <v>8.0433000000000003</v>
      </c>
      <c r="I301" s="2">
        <v>1.0164</v>
      </c>
      <c r="J301" s="2">
        <v>10.908799999999999</v>
      </c>
      <c r="K301" s="2">
        <v>2302.4499999999998</v>
      </c>
      <c r="L301" s="2">
        <v>0</v>
      </c>
    </row>
    <row r="302" spans="1:12" x14ac:dyDescent="0.35">
      <c r="A302" s="3" t="s">
        <v>1237</v>
      </c>
      <c r="B302" s="1" t="str">
        <f t="shared" si="8"/>
        <v>Corumba IV</v>
      </c>
      <c r="C302" s="1">
        <f t="shared" si="9"/>
        <v>-1719</v>
      </c>
      <c r="D302" s="2">
        <v>0</v>
      </c>
      <c r="E302" s="2">
        <v>0</v>
      </c>
      <c r="F302" s="2">
        <v>0</v>
      </c>
      <c r="G302" s="2">
        <v>0.3629</v>
      </c>
      <c r="H302" s="2">
        <v>122.0158</v>
      </c>
      <c r="I302" s="2">
        <v>4.0669000000000004</v>
      </c>
      <c r="J302" s="2">
        <v>118.31180000000001</v>
      </c>
      <c r="K302" s="2">
        <v>0</v>
      </c>
      <c r="L302" s="2">
        <v>0</v>
      </c>
    </row>
    <row r="303" spans="1:12" x14ac:dyDescent="0.35">
      <c r="A303" s="3" t="s">
        <v>1238</v>
      </c>
      <c r="B303" s="1" t="str">
        <f t="shared" si="8"/>
        <v>Lago Paranoa</v>
      </c>
      <c r="C303" s="1">
        <f t="shared" si="9"/>
        <v>-1719</v>
      </c>
      <c r="D303" s="2">
        <v>0</v>
      </c>
      <c r="E303" s="2">
        <v>2302.4499999999998</v>
      </c>
      <c r="F303" s="2">
        <v>0.4234</v>
      </c>
      <c r="G303" s="2">
        <v>7.0461999999999998</v>
      </c>
      <c r="H303" s="2">
        <v>14.0229</v>
      </c>
      <c r="I303" s="2">
        <v>1.0164</v>
      </c>
      <c r="J303" s="2">
        <v>19.6294</v>
      </c>
      <c r="K303" s="2">
        <v>2302.4499999999998</v>
      </c>
      <c r="L303" s="2">
        <v>0</v>
      </c>
    </row>
    <row r="304" spans="1:12" x14ac:dyDescent="0.35">
      <c r="A304" s="3" t="s">
        <v>1239</v>
      </c>
      <c r="B304" s="1" t="str">
        <f t="shared" si="8"/>
        <v>Corumba IV</v>
      </c>
      <c r="C304" s="1">
        <f t="shared" si="9"/>
        <v>-1718</v>
      </c>
      <c r="D304" s="2">
        <v>0</v>
      </c>
      <c r="E304" s="2">
        <v>0</v>
      </c>
      <c r="F304" s="2">
        <v>0</v>
      </c>
      <c r="G304" s="2">
        <v>0.3629</v>
      </c>
      <c r="H304" s="2">
        <v>211.43119999999999</v>
      </c>
      <c r="I304" s="2">
        <v>4.0669000000000004</v>
      </c>
      <c r="J304" s="2">
        <v>207.72720000000001</v>
      </c>
      <c r="K304" s="2">
        <v>0</v>
      </c>
      <c r="L304" s="2">
        <v>0</v>
      </c>
    </row>
    <row r="305" spans="1:12" x14ac:dyDescent="0.35">
      <c r="A305" s="3" t="s">
        <v>1240</v>
      </c>
      <c r="B305" s="1" t="str">
        <f t="shared" si="8"/>
        <v>Lago Paranoa</v>
      </c>
      <c r="C305" s="1">
        <f t="shared" si="9"/>
        <v>-1718</v>
      </c>
      <c r="D305" s="2">
        <v>0</v>
      </c>
      <c r="E305" s="2">
        <v>2302.4499999999998</v>
      </c>
      <c r="F305" s="2">
        <v>0.4234</v>
      </c>
      <c r="G305" s="2">
        <v>5.3663999999999996</v>
      </c>
      <c r="H305" s="2">
        <v>11.574400000000001</v>
      </c>
      <c r="I305" s="2">
        <v>1.0164</v>
      </c>
      <c r="J305" s="2">
        <v>15.501099999999999</v>
      </c>
      <c r="K305" s="2">
        <v>2302.4499999999998</v>
      </c>
      <c r="L305" s="2">
        <v>0</v>
      </c>
    </row>
    <row r="306" spans="1:12" x14ac:dyDescent="0.35">
      <c r="A306" s="3" t="s">
        <v>1241</v>
      </c>
      <c r="B306" s="1" t="str">
        <f t="shared" si="8"/>
        <v>Corumba IV</v>
      </c>
      <c r="C306" s="1">
        <f t="shared" si="9"/>
        <v>-1717</v>
      </c>
      <c r="D306" s="2">
        <v>0</v>
      </c>
      <c r="E306" s="2">
        <v>0</v>
      </c>
      <c r="F306" s="2">
        <v>0</v>
      </c>
      <c r="G306" s="2">
        <v>0.3629</v>
      </c>
      <c r="H306" s="2">
        <v>181.01920000000001</v>
      </c>
      <c r="I306" s="2">
        <v>4.2310999999999996</v>
      </c>
      <c r="J306" s="2">
        <v>177.15100000000001</v>
      </c>
      <c r="K306" s="2">
        <v>0</v>
      </c>
      <c r="L306" s="2">
        <v>0</v>
      </c>
    </row>
    <row r="307" spans="1:12" x14ac:dyDescent="0.35">
      <c r="A307" s="3" t="s">
        <v>1242</v>
      </c>
      <c r="B307" s="1" t="str">
        <f t="shared" si="8"/>
        <v>Lago Paranoa</v>
      </c>
      <c r="C307" s="1">
        <f t="shared" si="9"/>
        <v>-1717</v>
      </c>
      <c r="D307" s="2">
        <v>0</v>
      </c>
      <c r="E307" s="2">
        <v>2302.4499999999998</v>
      </c>
      <c r="F307" s="2">
        <v>0.4234</v>
      </c>
      <c r="G307" s="2">
        <v>4.8221999999999996</v>
      </c>
      <c r="H307" s="2">
        <v>10.0085</v>
      </c>
      <c r="I307" s="2">
        <v>1.0533999999999999</v>
      </c>
      <c r="J307" s="2">
        <v>13.353899999999999</v>
      </c>
      <c r="K307" s="2">
        <v>2302.4499999999998</v>
      </c>
      <c r="L307" s="2">
        <v>0</v>
      </c>
    </row>
    <row r="308" spans="1:12" x14ac:dyDescent="0.35">
      <c r="A308" s="3" t="s">
        <v>983</v>
      </c>
      <c r="B308" s="1" t="str">
        <f t="shared" si="8"/>
        <v>Corumba IV</v>
      </c>
      <c r="C308" s="1">
        <f t="shared" si="9"/>
        <v>-1716</v>
      </c>
      <c r="D308" s="2">
        <v>0</v>
      </c>
      <c r="E308" s="2">
        <v>0</v>
      </c>
      <c r="F308" s="2">
        <v>0</v>
      </c>
      <c r="G308" s="2">
        <v>0.3629</v>
      </c>
      <c r="H308" s="2">
        <v>92.931799999999996</v>
      </c>
      <c r="I308" s="2">
        <v>4.3541999999999996</v>
      </c>
      <c r="J308" s="2">
        <v>88.9405</v>
      </c>
      <c r="K308" s="2">
        <v>0</v>
      </c>
      <c r="L308" s="2">
        <v>0</v>
      </c>
    </row>
    <row r="309" spans="1:12" x14ac:dyDescent="0.35">
      <c r="A309" s="3" t="s">
        <v>984</v>
      </c>
      <c r="B309" s="1" t="str">
        <f t="shared" si="8"/>
        <v>Lago Paranoa</v>
      </c>
      <c r="C309" s="1">
        <f t="shared" si="9"/>
        <v>-1716</v>
      </c>
      <c r="D309" s="2">
        <v>0</v>
      </c>
      <c r="E309" s="2">
        <v>2302.4499999999998</v>
      </c>
      <c r="F309" s="2">
        <v>0.4234</v>
      </c>
      <c r="G309" s="2">
        <v>4.4394999999999998</v>
      </c>
      <c r="H309" s="2">
        <v>6.3057999999999996</v>
      </c>
      <c r="I309" s="2">
        <v>1.0811999999999999</v>
      </c>
      <c r="J309" s="2">
        <v>9.2407000000000004</v>
      </c>
      <c r="K309" s="2">
        <v>2302.4499999999998</v>
      </c>
      <c r="L309" s="2">
        <v>0</v>
      </c>
    </row>
    <row r="310" spans="1:12" x14ac:dyDescent="0.35">
      <c r="A310" s="3" t="s">
        <v>985</v>
      </c>
      <c r="B310" s="1" t="str">
        <f t="shared" si="8"/>
        <v>Corumba IV</v>
      </c>
      <c r="C310" s="1">
        <f t="shared" si="9"/>
        <v>-1715</v>
      </c>
      <c r="D310" s="2">
        <v>0</v>
      </c>
      <c r="E310" s="2">
        <v>0</v>
      </c>
      <c r="F310" s="2">
        <v>0</v>
      </c>
      <c r="G310" s="2">
        <v>0.3629</v>
      </c>
      <c r="H310" s="2">
        <v>137.39850000000001</v>
      </c>
      <c r="I310" s="2">
        <v>4.3541999999999996</v>
      </c>
      <c r="J310" s="2">
        <v>133.40710000000001</v>
      </c>
      <c r="K310" s="2">
        <v>0</v>
      </c>
      <c r="L310" s="2">
        <v>0</v>
      </c>
    </row>
    <row r="311" spans="1:12" x14ac:dyDescent="0.35">
      <c r="A311" s="3" t="s">
        <v>986</v>
      </c>
      <c r="B311" s="1" t="str">
        <f t="shared" si="8"/>
        <v>Lago Paranoa</v>
      </c>
      <c r="C311" s="1">
        <f t="shared" si="9"/>
        <v>-1715</v>
      </c>
      <c r="D311" s="2">
        <v>0</v>
      </c>
      <c r="E311" s="2">
        <v>2302.4499999999998</v>
      </c>
      <c r="F311" s="2">
        <v>0.4234</v>
      </c>
      <c r="G311" s="2">
        <v>4.5364000000000004</v>
      </c>
      <c r="H311" s="2">
        <v>7.3349000000000002</v>
      </c>
      <c r="I311" s="2">
        <v>1.0811999999999999</v>
      </c>
      <c r="J311" s="2">
        <v>10.3668</v>
      </c>
      <c r="K311" s="2">
        <v>2302.4499999999998</v>
      </c>
      <c r="L311" s="2">
        <v>0</v>
      </c>
    </row>
    <row r="312" spans="1:12" x14ac:dyDescent="0.35">
      <c r="A312" s="3" t="s">
        <v>987</v>
      </c>
      <c r="B312" s="1" t="str">
        <f t="shared" si="8"/>
        <v>Corumba IV</v>
      </c>
      <c r="C312" s="1">
        <f t="shared" si="9"/>
        <v>-1714</v>
      </c>
      <c r="D312" s="2">
        <v>0</v>
      </c>
      <c r="E312" s="2">
        <v>0</v>
      </c>
      <c r="F312" s="2">
        <v>0</v>
      </c>
      <c r="G312" s="2">
        <v>0.3629</v>
      </c>
      <c r="H312" s="2">
        <v>98.802700000000002</v>
      </c>
      <c r="I312" s="2">
        <v>4.3541999999999996</v>
      </c>
      <c r="J312" s="2">
        <v>94.811400000000006</v>
      </c>
      <c r="K312" s="2">
        <v>0</v>
      </c>
      <c r="L312" s="2">
        <v>0</v>
      </c>
    </row>
    <row r="313" spans="1:12" x14ac:dyDescent="0.35">
      <c r="A313" s="3" t="s">
        <v>988</v>
      </c>
      <c r="B313" s="1" t="str">
        <f t="shared" si="8"/>
        <v>Lago Paranoa</v>
      </c>
      <c r="C313" s="1">
        <f t="shared" si="9"/>
        <v>-1714</v>
      </c>
      <c r="D313" s="2">
        <v>0</v>
      </c>
      <c r="E313" s="2">
        <v>2302.4499999999998</v>
      </c>
      <c r="F313" s="2">
        <v>0.4234</v>
      </c>
      <c r="G313" s="2">
        <v>3.9260000000000002</v>
      </c>
      <c r="H313" s="2">
        <v>4.7553999999999998</v>
      </c>
      <c r="I313" s="2">
        <v>1.0811999999999999</v>
      </c>
      <c r="J313" s="2">
        <v>7.1768000000000001</v>
      </c>
      <c r="K313" s="2">
        <v>2302.4499999999998</v>
      </c>
      <c r="L313" s="2">
        <v>0</v>
      </c>
    </row>
    <row r="314" spans="1:12" x14ac:dyDescent="0.35">
      <c r="A314" s="3" t="s">
        <v>989</v>
      </c>
      <c r="B314" s="1" t="str">
        <f t="shared" si="8"/>
        <v>Corumba IV</v>
      </c>
      <c r="C314" s="1">
        <f t="shared" si="9"/>
        <v>-1713</v>
      </c>
      <c r="D314" s="2">
        <v>0</v>
      </c>
      <c r="E314" s="2">
        <v>0</v>
      </c>
      <c r="F314" s="2">
        <v>0</v>
      </c>
      <c r="G314" s="2">
        <v>0.3629</v>
      </c>
      <c r="H314" s="2">
        <v>86.225499999999997</v>
      </c>
      <c r="I314" s="2">
        <v>4.1821999999999999</v>
      </c>
      <c r="J314" s="2">
        <v>82.406099999999995</v>
      </c>
      <c r="K314" s="2">
        <v>0</v>
      </c>
      <c r="L314" s="2">
        <v>0</v>
      </c>
    </row>
    <row r="315" spans="1:12" x14ac:dyDescent="0.35">
      <c r="A315" s="3" t="s">
        <v>990</v>
      </c>
      <c r="B315" s="1" t="str">
        <f t="shared" si="8"/>
        <v>Lago Paranoa</v>
      </c>
      <c r="C315" s="1">
        <f t="shared" si="9"/>
        <v>-1713</v>
      </c>
      <c r="D315" s="2">
        <v>0</v>
      </c>
      <c r="E315" s="2">
        <v>2302.4499999999998</v>
      </c>
      <c r="F315" s="2">
        <v>0.4234</v>
      </c>
      <c r="G315" s="2">
        <v>3.75</v>
      </c>
      <c r="H315" s="2">
        <v>4.3773999999999997</v>
      </c>
      <c r="I315" s="2">
        <v>1.0351999999999999</v>
      </c>
      <c r="J315" s="2">
        <v>6.6688999999999998</v>
      </c>
      <c r="K315" s="2">
        <v>2302.4499999999998</v>
      </c>
      <c r="L315" s="2">
        <v>0</v>
      </c>
    </row>
    <row r="316" spans="1:12" x14ac:dyDescent="0.35">
      <c r="A316" s="3" t="s">
        <v>991</v>
      </c>
      <c r="B316" s="1" t="str">
        <f t="shared" si="8"/>
        <v>Corumba IV</v>
      </c>
      <c r="C316" s="1">
        <f t="shared" si="9"/>
        <v>-1712</v>
      </c>
      <c r="D316" s="2">
        <v>0</v>
      </c>
      <c r="E316" s="2">
        <v>0</v>
      </c>
      <c r="F316" s="2">
        <v>0</v>
      </c>
      <c r="G316" s="2">
        <v>0.3629</v>
      </c>
      <c r="H316" s="2">
        <v>87.768600000000006</v>
      </c>
      <c r="I316" s="2">
        <v>3.7522000000000002</v>
      </c>
      <c r="J316" s="2">
        <v>84.379300000000001</v>
      </c>
      <c r="K316" s="2">
        <v>0</v>
      </c>
      <c r="L316" s="2">
        <v>0</v>
      </c>
    </row>
    <row r="317" spans="1:12" x14ac:dyDescent="0.35">
      <c r="A317" s="3" t="s">
        <v>992</v>
      </c>
      <c r="B317" s="1" t="str">
        <f t="shared" si="8"/>
        <v>Lago Paranoa</v>
      </c>
      <c r="C317" s="1">
        <f t="shared" si="9"/>
        <v>-1712</v>
      </c>
      <c r="D317" s="2">
        <v>0</v>
      </c>
      <c r="E317" s="2">
        <v>2302.4499999999998</v>
      </c>
      <c r="F317" s="2">
        <v>0.4234</v>
      </c>
      <c r="G317" s="2">
        <v>4.1281999999999996</v>
      </c>
      <c r="H317" s="2">
        <v>4.7333999999999996</v>
      </c>
      <c r="I317" s="2">
        <v>0.92030000000000001</v>
      </c>
      <c r="J317" s="2">
        <v>7.5179999999999998</v>
      </c>
      <c r="K317" s="2">
        <v>2302.4499999999998</v>
      </c>
      <c r="L317" s="2">
        <v>0</v>
      </c>
    </row>
    <row r="318" spans="1:12" x14ac:dyDescent="0.35">
      <c r="A318" s="3" t="s">
        <v>993</v>
      </c>
      <c r="B318" s="1" t="str">
        <f t="shared" si="8"/>
        <v>Corumba IV</v>
      </c>
      <c r="C318" s="1">
        <f t="shared" si="9"/>
        <v>-1711</v>
      </c>
      <c r="D318" s="2">
        <v>0</v>
      </c>
      <c r="E318" s="2">
        <v>0</v>
      </c>
      <c r="F318" s="2">
        <v>0</v>
      </c>
      <c r="G318" s="2">
        <v>0.3629</v>
      </c>
      <c r="H318" s="2">
        <v>117.714</v>
      </c>
      <c r="I318" s="2">
        <v>3.7522000000000002</v>
      </c>
      <c r="J318" s="2">
        <v>114.32470000000001</v>
      </c>
      <c r="K318" s="2">
        <v>0</v>
      </c>
      <c r="L318" s="2">
        <v>0</v>
      </c>
    </row>
    <row r="319" spans="1:12" x14ac:dyDescent="0.35">
      <c r="A319" s="3" t="s">
        <v>994</v>
      </c>
      <c r="B319" s="1" t="str">
        <f t="shared" si="8"/>
        <v>Lago Paranoa</v>
      </c>
      <c r="C319" s="1">
        <f t="shared" si="9"/>
        <v>-1711</v>
      </c>
      <c r="D319" s="2">
        <v>0</v>
      </c>
      <c r="E319" s="2">
        <v>2302.4499999999998</v>
      </c>
      <c r="F319" s="2">
        <v>0.4234</v>
      </c>
      <c r="G319" s="2">
        <v>4.6280999999999999</v>
      </c>
      <c r="H319" s="2">
        <v>6.8349000000000002</v>
      </c>
      <c r="I319" s="2">
        <v>0.92030000000000001</v>
      </c>
      <c r="J319" s="2">
        <v>10.119300000000001</v>
      </c>
      <c r="K319" s="2">
        <v>2302.4499999999998</v>
      </c>
      <c r="L319" s="2">
        <v>0</v>
      </c>
    </row>
    <row r="320" spans="1:12" x14ac:dyDescent="0.35">
      <c r="A320" s="3" t="s">
        <v>995</v>
      </c>
      <c r="B320" s="1" t="str">
        <f t="shared" si="8"/>
        <v>Corumba IV</v>
      </c>
      <c r="C320" s="1">
        <f t="shared" si="9"/>
        <v>-1710</v>
      </c>
      <c r="D320" s="2">
        <v>0</v>
      </c>
      <c r="E320" s="2">
        <v>0</v>
      </c>
      <c r="F320" s="2">
        <v>0</v>
      </c>
      <c r="G320" s="2">
        <v>0.3629</v>
      </c>
      <c r="H320" s="2">
        <v>108.2765</v>
      </c>
      <c r="I320" s="2">
        <v>3.7522000000000002</v>
      </c>
      <c r="J320" s="2">
        <v>104.88720000000001</v>
      </c>
      <c r="K320" s="2">
        <v>0</v>
      </c>
      <c r="L320" s="2">
        <v>0</v>
      </c>
    </row>
    <row r="321" spans="1:12" x14ac:dyDescent="0.35">
      <c r="A321" s="3" t="s">
        <v>996</v>
      </c>
      <c r="B321" s="1" t="str">
        <f t="shared" si="8"/>
        <v>Lago Paranoa</v>
      </c>
      <c r="C321" s="1">
        <f t="shared" si="9"/>
        <v>-1710</v>
      </c>
      <c r="D321" s="2">
        <v>0</v>
      </c>
      <c r="E321" s="2">
        <v>2302.4499999999998</v>
      </c>
      <c r="F321" s="2">
        <v>0.4234</v>
      </c>
      <c r="G321" s="2">
        <v>5.5338000000000003</v>
      </c>
      <c r="H321" s="2">
        <v>9.5116999999999994</v>
      </c>
      <c r="I321" s="2">
        <v>0.92030000000000001</v>
      </c>
      <c r="J321" s="2">
        <v>13.7018</v>
      </c>
      <c r="K321" s="2">
        <v>2302.4499999999998</v>
      </c>
      <c r="L321" s="2">
        <v>0</v>
      </c>
    </row>
    <row r="322" spans="1:12" x14ac:dyDescent="0.35">
      <c r="A322" s="3" t="s">
        <v>997</v>
      </c>
      <c r="B322" s="1" t="str">
        <f t="shared" si="8"/>
        <v>Corumba IV</v>
      </c>
      <c r="C322" s="1">
        <f t="shared" si="9"/>
        <v>-1709</v>
      </c>
      <c r="D322" s="2">
        <v>0</v>
      </c>
      <c r="E322" s="2">
        <v>0</v>
      </c>
      <c r="F322" s="2">
        <v>0</v>
      </c>
      <c r="G322" s="2">
        <v>0.3629</v>
      </c>
      <c r="H322" s="2">
        <v>108.4648</v>
      </c>
      <c r="I322" s="2">
        <v>3.5800999999999998</v>
      </c>
      <c r="J322" s="2">
        <v>105.24760000000001</v>
      </c>
      <c r="K322" s="2">
        <v>0</v>
      </c>
      <c r="L322" s="2">
        <v>0</v>
      </c>
    </row>
    <row r="323" spans="1:12" x14ac:dyDescent="0.35">
      <c r="A323" s="3" t="s">
        <v>998</v>
      </c>
      <c r="B323" s="1" t="str">
        <f t="shared" ref="B323:B386" si="10">_xlfn.TEXTBEFORE(_xlfn.TEXTAFTER(A323,"["),"]")</f>
        <v>Lago Paranoa</v>
      </c>
      <c r="C323" s="1">
        <f t="shared" si="9"/>
        <v>-1709</v>
      </c>
      <c r="D323" s="2">
        <v>0</v>
      </c>
      <c r="E323" s="2">
        <v>2302.4499999999998</v>
      </c>
      <c r="F323" s="2">
        <v>0.4234</v>
      </c>
      <c r="G323" s="2">
        <v>4.6638999999999999</v>
      </c>
      <c r="H323" s="2">
        <v>7.3163999999999998</v>
      </c>
      <c r="I323" s="2">
        <v>0.88870000000000005</v>
      </c>
      <c r="J323" s="2">
        <v>10.668200000000001</v>
      </c>
      <c r="K323" s="2">
        <v>2302.4499999999998</v>
      </c>
      <c r="L323" s="2">
        <v>0</v>
      </c>
    </row>
    <row r="324" spans="1:12" x14ac:dyDescent="0.35">
      <c r="A324" s="3" t="s">
        <v>999</v>
      </c>
      <c r="B324" s="1" t="str">
        <f t="shared" si="10"/>
        <v>Corumba IV</v>
      </c>
      <c r="C324" s="1">
        <f t="shared" ref="C324:C387" si="11">--_xlfn.TEXTBEFORE(_xlfn.TEXTAFTER(A324,"Week "),":")</f>
        <v>-1708</v>
      </c>
      <c r="D324" s="2">
        <v>0</v>
      </c>
      <c r="E324" s="2">
        <v>0</v>
      </c>
      <c r="F324" s="2">
        <v>0</v>
      </c>
      <c r="G324" s="2">
        <v>0.3629</v>
      </c>
      <c r="H324" s="2">
        <v>120.5591</v>
      </c>
      <c r="I324" s="2">
        <v>3.2810000000000001</v>
      </c>
      <c r="J324" s="2">
        <v>117.6409</v>
      </c>
      <c r="K324" s="2">
        <v>0</v>
      </c>
      <c r="L324" s="2">
        <v>0</v>
      </c>
    </row>
    <row r="325" spans="1:12" x14ac:dyDescent="0.35">
      <c r="A325" s="3" t="s">
        <v>1000</v>
      </c>
      <c r="B325" s="1" t="str">
        <f t="shared" si="10"/>
        <v>Lago Paranoa</v>
      </c>
      <c r="C325" s="1">
        <f t="shared" si="11"/>
        <v>-1708</v>
      </c>
      <c r="D325" s="2">
        <v>0</v>
      </c>
      <c r="E325" s="2">
        <v>2302.4499999999998</v>
      </c>
      <c r="F325" s="2">
        <v>0.4234</v>
      </c>
      <c r="G325" s="2">
        <v>4.8337000000000003</v>
      </c>
      <c r="H325" s="2">
        <v>11.584300000000001</v>
      </c>
      <c r="I325" s="2">
        <v>0.89759999999999995</v>
      </c>
      <c r="J325" s="2">
        <v>15.097</v>
      </c>
      <c r="K325" s="2">
        <v>2302.4499999999998</v>
      </c>
      <c r="L325" s="2">
        <v>0</v>
      </c>
    </row>
    <row r="326" spans="1:12" x14ac:dyDescent="0.35">
      <c r="A326" s="3" t="s">
        <v>1001</v>
      </c>
      <c r="B326" s="1" t="str">
        <f t="shared" si="10"/>
        <v>Corumba IV</v>
      </c>
      <c r="C326" s="1">
        <f t="shared" si="11"/>
        <v>-1707</v>
      </c>
      <c r="D326" s="2">
        <v>0</v>
      </c>
      <c r="E326" s="2">
        <v>0</v>
      </c>
      <c r="F326" s="2">
        <v>0</v>
      </c>
      <c r="G326" s="2">
        <v>0.3629</v>
      </c>
      <c r="H326" s="2">
        <v>145.1891</v>
      </c>
      <c r="I326" s="2">
        <v>3.2810000000000001</v>
      </c>
      <c r="J326" s="2">
        <v>142.27099999999999</v>
      </c>
      <c r="K326" s="2">
        <v>0</v>
      </c>
      <c r="L326" s="2">
        <v>0</v>
      </c>
    </row>
    <row r="327" spans="1:12" x14ac:dyDescent="0.35">
      <c r="A327" s="3" t="s">
        <v>1002</v>
      </c>
      <c r="B327" s="1" t="str">
        <f t="shared" si="10"/>
        <v>Lago Paranoa</v>
      </c>
      <c r="C327" s="1">
        <f t="shared" si="11"/>
        <v>-1707</v>
      </c>
      <c r="D327" s="2">
        <v>0</v>
      </c>
      <c r="E327" s="2">
        <v>2302.4499999999998</v>
      </c>
      <c r="F327" s="2">
        <v>0.4234</v>
      </c>
      <c r="G327" s="2">
        <v>5.3833000000000002</v>
      </c>
      <c r="H327" s="2">
        <v>16.709499999999998</v>
      </c>
      <c r="I327" s="2">
        <v>0.89759999999999995</v>
      </c>
      <c r="J327" s="2">
        <v>20.771799999999999</v>
      </c>
      <c r="K327" s="2">
        <v>2302.4499999999998</v>
      </c>
      <c r="L327" s="2">
        <v>0</v>
      </c>
    </row>
    <row r="328" spans="1:12" x14ac:dyDescent="0.35">
      <c r="A328" s="3" t="s">
        <v>1003</v>
      </c>
      <c r="B328" s="1" t="str">
        <f t="shared" si="10"/>
        <v>Corumba IV</v>
      </c>
      <c r="C328" s="1">
        <f t="shared" si="11"/>
        <v>-1706</v>
      </c>
      <c r="D328" s="2">
        <v>0</v>
      </c>
      <c r="E328" s="2">
        <v>0</v>
      </c>
      <c r="F328" s="2">
        <v>0</v>
      </c>
      <c r="G328" s="2">
        <v>0.3629</v>
      </c>
      <c r="H328" s="2">
        <v>285.57709999999997</v>
      </c>
      <c r="I328" s="2">
        <v>3.2810000000000001</v>
      </c>
      <c r="J328" s="2">
        <v>282.65890000000002</v>
      </c>
      <c r="K328" s="2">
        <v>0</v>
      </c>
      <c r="L328" s="2">
        <v>0</v>
      </c>
    </row>
    <row r="329" spans="1:12" x14ac:dyDescent="0.35">
      <c r="A329" s="3" t="s">
        <v>1004</v>
      </c>
      <c r="B329" s="1" t="str">
        <f t="shared" si="10"/>
        <v>Lago Paranoa</v>
      </c>
      <c r="C329" s="1">
        <f t="shared" si="11"/>
        <v>-1706</v>
      </c>
      <c r="D329" s="2">
        <v>0</v>
      </c>
      <c r="E329" s="2">
        <v>2302.4499999999998</v>
      </c>
      <c r="F329" s="2">
        <v>0.4234</v>
      </c>
      <c r="G329" s="2">
        <v>9.0312999999999999</v>
      </c>
      <c r="H329" s="2">
        <v>20.545100000000001</v>
      </c>
      <c r="I329" s="2">
        <v>0.89759999999999995</v>
      </c>
      <c r="J329" s="2">
        <v>28.255400000000002</v>
      </c>
      <c r="K329" s="2">
        <v>2302.4499999999998</v>
      </c>
      <c r="L329" s="2">
        <v>0</v>
      </c>
    </row>
    <row r="330" spans="1:12" x14ac:dyDescent="0.35">
      <c r="A330" s="3" t="s">
        <v>1005</v>
      </c>
      <c r="B330" s="1" t="str">
        <f t="shared" si="10"/>
        <v>Corumba IV</v>
      </c>
      <c r="C330" s="1">
        <f t="shared" si="11"/>
        <v>-1705</v>
      </c>
      <c r="D330" s="2">
        <v>0</v>
      </c>
      <c r="E330" s="2">
        <v>0</v>
      </c>
      <c r="F330" s="2">
        <v>0</v>
      </c>
      <c r="G330" s="2">
        <v>0.3629</v>
      </c>
      <c r="H330" s="2">
        <v>207.64689999999999</v>
      </c>
      <c r="I330" s="2">
        <v>3.0194999999999999</v>
      </c>
      <c r="J330" s="2">
        <v>204.99029999999999</v>
      </c>
      <c r="K330" s="2">
        <v>0</v>
      </c>
      <c r="L330" s="2">
        <v>0</v>
      </c>
    </row>
    <row r="331" spans="1:12" x14ac:dyDescent="0.35">
      <c r="A331" s="3" t="s">
        <v>1006</v>
      </c>
      <c r="B331" s="1" t="str">
        <f t="shared" si="10"/>
        <v>Lago Paranoa</v>
      </c>
      <c r="C331" s="1">
        <f t="shared" si="11"/>
        <v>-1705</v>
      </c>
      <c r="D331" s="2">
        <v>0</v>
      </c>
      <c r="E331" s="2">
        <v>2302.4499999999998</v>
      </c>
      <c r="F331" s="2">
        <v>0.4234</v>
      </c>
      <c r="G331" s="2">
        <v>4.3368000000000002</v>
      </c>
      <c r="H331" s="2">
        <v>9.7492000000000001</v>
      </c>
      <c r="I331" s="2">
        <v>0.86009999999999998</v>
      </c>
      <c r="J331" s="2">
        <v>12.8026</v>
      </c>
      <c r="K331" s="2">
        <v>2302.4499999999998</v>
      </c>
      <c r="L331" s="2">
        <v>0</v>
      </c>
    </row>
    <row r="332" spans="1:12" x14ac:dyDescent="0.35">
      <c r="A332" s="3" t="s">
        <v>1007</v>
      </c>
      <c r="B332" s="1" t="str">
        <f t="shared" si="10"/>
        <v>Corumba IV</v>
      </c>
      <c r="C332" s="1">
        <f t="shared" si="11"/>
        <v>-1704</v>
      </c>
      <c r="D332" s="2">
        <v>0</v>
      </c>
      <c r="E332" s="2">
        <v>0</v>
      </c>
      <c r="F332" s="2">
        <v>0</v>
      </c>
      <c r="G332" s="2">
        <v>0.3629</v>
      </c>
      <c r="H332" s="2">
        <v>172.22800000000001</v>
      </c>
      <c r="I332" s="2">
        <v>4.7601000000000004</v>
      </c>
      <c r="J332" s="2">
        <v>167.83080000000001</v>
      </c>
      <c r="K332" s="2">
        <v>0</v>
      </c>
      <c r="L332" s="2">
        <v>0</v>
      </c>
    </row>
    <row r="333" spans="1:12" x14ac:dyDescent="0.35">
      <c r="A333" s="3" t="s">
        <v>1008</v>
      </c>
      <c r="B333" s="1" t="str">
        <f t="shared" si="10"/>
        <v>Lago Paranoa</v>
      </c>
      <c r="C333" s="1">
        <f t="shared" si="11"/>
        <v>-1704</v>
      </c>
      <c r="D333" s="2">
        <v>0</v>
      </c>
      <c r="E333" s="2">
        <v>2302.4499999999998</v>
      </c>
      <c r="F333" s="2">
        <v>0.4234</v>
      </c>
      <c r="G333" s="2">
        <v>3.8641000000000001</v>
      </c>
      <c r="H333" s="2">
        <v>7.4781000000000004</v>
      </c>
      <c r="I333" s="2">
        <v>1.2276</v>
      </c>
      <c r="J333" s="2">
        <v>9.6913</v>
      </c>
      <c r="K333" s="2">
        <v>2302.4499999999998</v>
      </c>
      <c r="L333" s="2">
        <v>0</v>
      </c>
    </row>
    <row r="334" spans="1:12" x14ac:dyDescent="0.35">
      <c r="A334" s="3" t="s">
        <v>1009</v>
      </c>
      <c r="B334" s="1" t="str">
        <f t="shared" si="10"/>
        <v>Corumba IV</v>
      </c>
      <c r="C334" s="1">
        <f t="shared" si="11"/>
        <v>-1703</v>
      </c>
      <c r="D334" s="2">
        <v>0</v>
      </c>
      <c r="E334" s="2">
        <v>0</v>
      </c>
      <c r="F334" s="2">
        <v>0</v>
      </c>
      <c r="G334" s="2">
        <v>0.3629</v>
      </c>
      <c r="H334" s="2">
        <v>141.85839999999999</v>
      </c>
      <c r="I334" s="2">
        <v>5.1083999999999996</v>
      </c>
      <c r="J334" s="2">
        <v>137.113</v>
      </c>
      <c r="K334" s="2">
        <v>0</v>
      </c>
      <c r="L334" s="2">
        <v>0</v>
      </c>
    </row>
    <row r="335" spans="1:12" x14ac:dyDescent="0.35">
      <c r="A335" s="3" t="s">
        <v>1010</v>
      </c>
      <c r="B335" s="1" t="str">
        <f t="shared" si="10"/>
        <v>Lago Paranoa</v>
      </c>
      <c r="C335" s="1">
        <f t="shared" si="11"/>
        <v>-1703</v>
      </c>
      <c r="D335" s="2">
        <v>0</v>
      </c>
      <c r="E335" s="2">
        <v>2302.4499999999998</v>
      </c>
      <c r="F335" s="2">
        <v>0.4234</v>
      </c>
      <c r="G335" s="2">
        <v>6.9962</v>
      </c>
      <c r="H335" s="2">
        <v>17.431000000000001</v>
      </c>
      <c r="I335" s="2">
        <v>1.2971999999999999</v>
      </c>
      <c r="J335" s="2">
        <v>22.706800000000001</v>
      </c>
      <c r="K335" s="2">
        <v>2302.4499999999998</v>
      </c>
      <c r="L335" s="2">
        <v>0</v>
      </c>
    </row>
    <row r="336" spans="1:12" x14ac:dyDescent="0.35">
      <c r="A336" s="3" t="s">
        <v>1011</v>
      </c>
      <c r="B336" s="1" t="str">
        <f t="shared" si="10"/>
        <v>Corumba IV</v>
      </c>
      <c r="C336" s="1">
        <f t="shared" si="11"/>
        <v>-1702</v>
      </c>
      <c r="D336" s="2">
        <v>0</v>
      </c>
      <c r="E336" s="2">
        <v>0</v>
      </c>
      <c r="F336" s="2">
        <v>0</v>
      </c>
      <c r="G336" s="2">
        <v>0.3629</v>
      </c>
      <c r="H336" s="2">
        <v>122.4383</v>
      </c>
      <c r="I336" s="2">
        <v>5.1083999999999996</v>
      </c>
      <c r="J336" s="2">
        <v>117.69280000000001</v>
      </c>
      <c r="K336" s="2">
        <v>0</v>
      </c>
      <c r="L336" s="2">
        <v>0</v>
      </c>
    </row>
    <row r="337" spans="1:12" x14ac:dyDescent="0.35">
      <c r="A337" s="3" t="s">
        <v>1012</v>
      </c>
      <c r="B337" s="1" t="str">
        <f t="shared" si="10"/>
        <v>Lago Paranoa</v>
      </c>
      <c r="C337" s="1">
        <f t="shared" si="11"/>
        <v>-1702</v>
      </c>
      <c r="D337" s="2">
        <v>0</v>
      </c>
      <c r="E337" s="2">
        <v>2302.4499999999998</v>
      </c>
      <c r="F337" s="2">
        <v>0.4234</v>
      </c>
      <c r="G337" s="2">
        <v>4.3975999999999997</v>
      </c>
      <c r="H337" s="2">
        <v>8.2600999999999996</v>
      </c>
      <c r="I337" s="2">
        <v>1.2971999999999999</v>
      </c>
      <c r="J337" s="2">
        <v>10.937200000000001</v>
      </c>
      <c r="K337" s="2">
        <v>2302.4499999999998</v>
      </c>
      <c r="L337" s="2">
        <v>0</v>
      </c>
    </row>
    <row r="338" spans="1:12" x14ac:dyDescent="0.35">
      <c r="A338" s="3" t="s">
        <v>1013</v>
      </c>
      <c r="B338" s="1" t="str">
        <f t="shared" si="10"/>
        <v>Corumba IV</v>
      </c>
      <c r="C338" s="1">
        <f t="shared" si="11"/>
        <v>-1701</v>
      </c>
      <c r="D338" s="2">
        <v>0</v>
      </c>
      <c r="E338" s="2">
        <v>0</v>
      </c>
      <c r="F338" s="2">
        <v>0</v>
      </c>
      <c r="G338" s="2">
        <v>0.3629</v>
      </c>
      <c r="H338" s="2">
        <v>169.01050000000001</v>
      </c>
      <c r="I338" s="2">
        <v>5.1083999999999996</v>
      </c>
      <c r="J338" s="2">
        <v>164.26499999999999</v>
      </c>
      <c r="K338" s="2">
        <v>0</v>
      </c>
      <c r="L338" s="2">
        <v>0</v>
      </c>
    </row>
    <row r="339" spans="1:12" x14ac:dyDescent="0.35">
      <c r="A339" s="3" t="s">
        <v>1014</v>
      </c>
      <c r="B339" s="1" t="str">
        <f t="shared" si="10"/>
        <v>Lago Paranoa</v>
      </c>
      <c r="C339" s="1">
        <f t="shared" si="11"/>
        <v>-1701</v>
      </c>
      <c r="D339" s="2">
        <v>0</v>
      </c>
      <c r="E339" s="2">
        <v>2302.4499999999998</v>
      </c>
      <c r="F339" s="2">
        <v>0.4234</v>
      </c>
      <c r="G339" s="2">
        <v>6.1769999999999996</v>
      </c>
      <c r="H339" s="2">
        <v>15.2232</v>
      </c>
      <c r="I339" s="2">
        <v>1.2971999999999999</v>
      </c>
      <c r="J339" s="2">
        <v>19.679600000000001</v>
      </c>
      <c r="K339" s="2">
        <v>2302.4499999999998</v>
      </c>
      <c r="L339" s="2">
        <v>0</v>
      </c>
    </row>
    <row r="340" spans="1:12" x14ac:dyDescent="0.35">
      <c r="A340" s="3" t="s">
        <v>1015</v>
      </c>
      <c r="B340" s="1" t="str">
        <f t="shared" si="10"/>
        <v>Corumba IV</v>
      </c>
      <c r="C340" s="1">
        <f t="shared" si="11"/>
        <v>-1700</v>
      </c>
      <c r="D340" s="2">
        <v>0</v>
      </c>
      <c r="E340" s="2">
        <v>0</v>
      </c>
      <c r="F340" s="2">
        <v>0</v>
      </c>
      <c r="G340" s="2">
        <v>0.3629</v>
      </c>
      <c r="H340" s="2">
        <v>119.8411</v>
      </c>
      <c r="I340" s="2">
        <v>5.1215000000000002</v>
      </c>
      <c r="J340" s="2">
        <v>115.0825</v>
      </c>
      <c r="K340" s="2">
        <v>0</v>
      </c>
      <c r="L340" s="2">
        <v>0</v>
      </c>
    </row>
    <row r="341" spans="1:12" x14ac:dyDescent="0.35">
      <c r="A341" s="3" t="s">
        <v>1016</v>
      </c>
      <c r="B341" s="1" t="str">
        <f t="shared" si="10"/>
        <v>Lago Paranoa</v>
      </c>
      <c r="C341" s="1">
        <f t="shared" si="11"/>
        <v>-1700</v>
      </c>
      <c r="D341" s="2">
        <v>0</v>
      </c>
      <c r="E341" s="2">
        <v>2302.4499999999998</v>
      </c>
      <c r="F341" s="2">
        <v>0.4234</v>
      </c>
      <c r="G341" s="2">
        <v>4.4630000000000001</v>
      </c>
      <c r="H341" s="2">
        <v>8.8399000000000001</v>
      </c>
      <c r="I341" s="2">
        <v>1.2466999999999999</v>
      </c>
      <c r="J341" s="2">
        <v>11.6328</v>
      </c>
      <c r="K341" s="2">
        <v>2302.4499999999998</v>
      </c>
      <c r="L341" s="2">
        <v>0</v>
      </c>
    </row>
    <row r="342" spans="1:12" x14ac:dyDescent="0.35">
      <c r="A342" s="3" t="s">
        <v>1017</v>
      </c>
      <c r="B342" s="1" t="str">
        <f t="shared" si="10"/>
        <v>Corumba IV</v>
      </c>
      <c r="C342" s="1">
        <f t="shared" si="11"/>
        <v>-1699</v>
      </c>
      <c r="D342" s="2">
        <v>0</v>
      </c>
      <c r="E342" s="2">
        <v>0</v>
      </c>
      <c r="F342" s="2">
        <v>0</v>
      </c>
      <c r="G342" s="2">
        <v>0.3629</v>
      </c>
      <c r="H342" s="2">
        <v>108.8009</v>
      </c>
      <c r="I342" s="2">
        <v>4.5877999999999997</v>
      </c>
      <c r="J342" s="2">
        <v>104.57599999999999</v>
      </c>
      <c r="K342" s="2">
        <v>0</v>
      </c>
      <c r="L342" s="2">
        <v>0</v>
      </c>
    </row>
    <row r="343" spans="1:12" x14ac:dyDescent="0.35">
      <c r="A343" s="3" t="s">
        <v>1018</v>
      </c>
      <c r="B343" s="1" t="str">
        <f t="shared" si="10"/>
        <v>Lago Paranoa</v>
      </c>
      <c r="C343" s="1">
        <f t="shared" si="11"/>
        <v>-1699</v>
      </c>
      <c r="D343" s="2">
        <v>0</v>
      </c>
      <c r="E343" s="2">
        <v>2302.4499999999998</v>
      </c>
      <c r="F343" s="2">
        <v>0.4234</v>
      </c>
      <c r="G343" s="2">
        <v>3.9079999999999999</v>
      </c>
      <c r="H343" s="2">
        <v>6.7573999999999996</v>
      </c>
      <c r="I343" s="2">
        <v>1.1693</v>
      </c>
      <c r="J343" s="2">
        <v>9.0728000000000009</v>
      </c>
      <c r="K343" s="2">
        <v>2302.4499999999998</v>
      </c>
      <c r="L343" s="2">
        <v>0</v>
      </c>
    </row>
    <row r="344" spans="1:12" x14ac:dyDescent="0.35">
      <c r="A344" s="3" t="s">
        <v>1019</v>
      </c>
      <c r="B344" s="1" t="str">
        <f t="shared" si="10"/>
        <v>Corumba IV</v>
      </c>
      <c r="C344" s="1">
        <f t="shared" si="11"/>
        <v>-1698</v>
      </c>
      <c r="D344" s="2">
        <v>0</v>
      </c>
      <c r="E344" s="2">
        <v>0</v>
      </c>
      <c r="F344" s="2">
        <v>0</v>
      </c>
      <c r="G344" s="2">
        <v>0.3629</v>
      </c>
      <c r="H344" s="2">
        <v>104.6572</v>
      </c>
      <c r="I344" s="2">
        <v>4.5877999999999997</v>
      </c>
      <c r="J344" s="2">
        <v>100.4323</v>
      </c>
      <c r="K344" s="2">
        <v>0</v>
      </c>
      <c r="L344" s="2">
        <v>0</v>
      </c>
    </row>
    <row r="345" spans="1:12" x14ac:dyDescent="0.35">
      <c r="A345" s="3" t="s">
        <v>1020</v>
      </c>
      <c r="B345" s="1" t="str">
        <f t="shared" si="10"/>
        <v>Lago Paranoa</v>
      </c>
      <c r="C345" s="1">
        <f t="shared" si="11"/>
        <v>-1698</v>
      </c>
      <c r="D345" s="2">
        <v>0</v>
      </c>
      <c r="E345" s="2">
        <v>2302.4499999999998</v>
      </c>
      <c r="F345" s="2">
        <v>0.4234</v>
      </c>
      <c r="G345" s="2">
        <v>3.3614000000000002</v>
      </c>
      <c r="H345" s="2">
        <v>5.5964</v>
      </c>
      <c r="I345" s="2">
        <v>1.1693</v>
      </c>
      <c r="J345" s="2">
        <v>7.3651</v>
      </c>
      <c r="K345" s="2">
        <v>2302.4499999999998</v>
      </c>
      <c r="L345" s="2">
        <v>0</v>
      </c>
    </row>
    <row r="346" spans="1:12" x14ac:dyDescent="0.35">
      <c r="A346" s="3" t="s">
        <v>1021</v>
      </c>
      <c r="B346" s="1" t="str">
        <f t="shared" si="10"/>
        <v>Corumba IV</v>
      </c>
      <c r="C346" s="1">
        <f t="shared" si="11"/>
        <v>-1697</v>
      </c>
      <c r="D346" s="2">
        <v>0</v>
      </c>
      <c r="E346" s="2">
        <v>0</v>
      </c>
      <c r="F346" s="2">
        <v>0</v>
      </c>
      <c r="G346" s="2">
        <v>0.47</v>
      </c>
      <c r="H346" s="2">
        <v>94.555300000000003</v>
      </c>
      <c r="I346" s="2">
        <v>4.5877999999999997</v>
      </c>
      <c r="J346" s="2">
        <v>90.4375</v>
      </c>
      <c r="K346" s="2">
        <v>0</v>
      </c>
      <c r="L346" s="2">
        <v>0</v>
      </c>
    </row>
    <row r="347" spans="1:12" x14ac:dyDescent="0.35">
      <c r="A347" s="3" t="s">
        <v>1022</v>
      </c>
      <c r="B347" s="1" t="str">
        <f t="shared" si="10"/>
        <v>Lago Paranoa</v>
      </c>
      <c r="C347" s="1">
        <f t="shared" si="11"/>
        <v>-1697</v>
      </c>
      <c r="D347" s="2">
        <v>0</v>
      </c>
      <c r="E347" s="2">
        <v>2302.4499999999998</v>
      </c>
      <c r="F347" s="2">
        <v>0.4234</v>
      </c>
      <c r="G347" s="2">
        <v>3.0379</v>
      </c>
      <c r="H347" s="2">
        <v>5.0872999999999999</v>
      </c>
      <c r="I347" s="2">
        <v>1.1693</v>
      </c>
      <c r="J347" s="2">
        <v>6.5326000000000004</v>
      </c>
      <c r="K347" s="2">
        <v>2302.4499999999998</v>
      </c>
      <c r="L347" s="2">
        <v>0</v>
      </c>
    </row>
    <row r="348" spans="1:12" x14ac:dyDescent="0.35">
      <c r="A348" s="3" t="s">
        <v>1023</v>
      </c>
      <c r="B348" s="1" t="str">
        <f t="shared" si="10"/>
        <v>Corumba IV</v>
      </c>
      <c r="C348" s="1">
        <f t="shared" si="11"/>
        <v>-1696</v>
      </c>
      <c r="D348" s="2">
        <v>0</v>
      </c>
      <c r="E348" s="2">
        <v>0</v>
      </c>
      <c r="F348" s="2">
        <v>0</v>
      </c>
      <c r="G348" s="2">
        <v>0.3629</v>
      </c>
      <c r="H348" s="2">
        <v>86.311000000000007</v>
      </c>
      <c r="I348" s="2">
        <v>4.8657000000000004</v>
      </c>
      <c r="J348" s="2">
        <v>81.808199999999999</v>
      </c>
      <c r="K348" s="2">
        <v>0</v>
      </c>
      <c r="L348" s="2">
        <v>0</v>
      </c>
    </row>
    <row r="349" spans="1:12" x14ac:dyDescent="0.35">
      <c r="A349" s="3" t="s">
        <v>1024</v>
      </c>
      <c r="B349" s="1" t="str">
        <f t="shared" si="10"/>
        <v>Lago Paranoa</v>
      </c>
      <c r="C349" s="1">
        <f t="shared" si="11"/>
        <v>-1696</v>
      </c>
      <c r="D349" s="2">
        <v>0</v>
      </c>
      <c r="E349" s="2">
        <v>2302.4499999999998</v>
      </c>
      <c r="F349" s="2">
        <v>0.4234</v>
      </c>
      <c r="G349" s="2">
        <v>2.9508999999999999</v>
      </c>
      <c r="H349" s="2">
        <v>4.4093999999999998</v>
      </c>
      <c r="I349" s="2">
        <v>1.1990000000000001</v>
      </c>
      <c r="J349" s="2">
        <v>5.7380000000000004</v>
      </c>
      <c r="K349" s="2">
        <v>2302.4499999999998</v>
      </c>
      <c r="L349" s="2">
        <v>0</v>
      </c>
    </row>
    <row r="350" spans="1:12" x14ac:dyDescent="0.35">
      <c r="A350" s="3" t="s">
        <v>1025</v>
      </c>
      <c r="B350" s="1" t="str">
        <f t="shared" si="10"/>
        <v>Corumba IV</v>
      </c>
      <c r="C350" s="1">
        <f t="shared" si="11"/>
        <v>-1695</v>
      </c>
      <c r="D350" s="2">
        <v>0</v>
      </c>
      <c r="E350" s="2">
        <v>0</v>
      </c>
      <c r="F350" s="2">
        <v>0</v>
      </c>
      <c r="G350" s="2">
        <v>0.3629</v>
      </c>
      <c r="H350" s="2">
        <v>75.085099999999997</v>
      </c>
      <c r="I350" s="2">
        <v>4.5734000000000004</v>
      </c>
      <c r="J350" s="2">
        <v>70.874600000000001</v>
      </c>
      <c r="K350" s="2">
        <v>0</v>
      </c>
      <c r="L350" s="2">
        <v>0</v>
      </c>
    </row>
    <row r="351" spans="1:12" x14ac:dyDescent="0.35">
      <c r="A351" s="3" t="s">
        <v>1026</v>
      </c>
      <c r="B351" s="1" t="str">
        <f t="shared" si="10"/>
        <v>Lago Paranoa</v>
      </c>
      <c r="C351" s="1">
        <f t="shared" si="11"/>
        <v>-1695</v>
      </c>
      <c r="D351" s="2">
        <v>0</v>
      </c>
      <c r="E351" s="2">
        <v>2302.4499999999998</v>
      </c>
      <c r="F351" s="2">
        <v>0.4234</v>
      </c>
      <c r="G351" s="2">
        <v>3.0356000000000001</v>
      </c>
      <c r="H351" s="2">
        <v>4.7446000000000002</v>
      </c>
      <c r="I351" s="2">
        <v>1.1022000000000001</v>
      </c>
      <c r="J351" s="2">
        <v>6.2545999999999999</v>
      </c>
      <c r="K351" s="2">
        <v>2302.4499999999998</v>
      </c>
      <c r="L351" s="2">
        <v>0</v>
      </c>
    </row>
    <row r="352" spans="1:12" x14ac:dyDescent="0.35">
      <c r="A352" s="3" t="s">
        <v>1027</v>
      </c>
      <c r="B352" s="1" t="str">
        <f t="shared" si="10"/>
        <v>Corumba IV</v>
      </c>
      <c r="C352" s="1">
        <f t="shared" si="11"/>
        <v>-1694</v>
      </c>
      <c r="D352" s="2">
        <v>0</v>
      </c>
      <c r="E352" s="2">
        <v>0</v>
      </c>
      <c r="F352" s="2">
        <v>0</v>
      </c>
      <c r="G352" s="2">
        <v>0.3629</v>
      </c>
      <c r="H352" s="2">
        <v>69.835400000000007</v>
      </c>
      <c r="I352" s="2">
        <v>5.5640999999999998</v>
      </c>
      <c r="J352" s="2">
        <v>64.634200000000007</v>
      </c>
      <c r="K352" s="2">
        <v>0</v>
      </c>
      <c r="L352" s="2">
        <v>0</v>
      </c>
    </row>
    <row r="353" spans="1:12" x14ac:dyDescent="0.35">
      <c r="A353" s="3" t="s">
        <v>1028</v>
      </c>
      <c r="B353" s="1" t="str">
        <f t="shared" si="10"/>
        <v>Lago Paranoa</v>
      </c>
      <c r="C353" s="1">
        <f t="shared" si="11"/>
        <v>-1694</v>
      </c>
      <c r="D353" s="2">
        <v>0</v>
      </c>
      <c r="E353" s="2">
        <v>2302.4499999999998</v>
      </c>
      <c r="F353" s="2">
        <v>0.4234</v>
      </c>
      <c r="G353" s="2">
        <v>3.0045000000000002</v>
      </c>
      <c r="H353" s="2">
        <v>4.9936999999999996</v>
      </c>
      <c r="I353" s="2">
        <v>1.343</v>
      </c>
      <c r="J353" s="2">
        <v>6.2319000000000004</v>
      </c>
      <c r="K353" s="2">
        <v>2302.4499999999998</v>
      </c>
      <c r="L353" s="2">
        <v>0</v>
      </c>
    </row>
    <row r="354" spans="1:12" x14ac:dyDescent="0.35">
      <c r="A354" s="3" t="s">
        <v>1029</v>
      </c>
      <c r="B354" s="1" t="str">
        <f t="shared" si="10"/>
        <v>Corumba IV</v>
      </c>
      <c r="C354" s="1">
        <f t="shared" si="11"/>
        <v>-1693</v>
      </c>
      <c r="D354" s="2">
        <v>0</v>
      </c>
      <c r="E354" s="2">
        <v>0</v>
      </c>
      <c r="F354" s="2">
        <v>0</v>
      </c>
      <c r="G354" s="2">
        <v>0.3629</v>
      </c>
      <c r="H354" s="2">
        <v>64.662599999999998</v>
      </c>
      <c r="I354" s="2">
        <v>5.5640999999999998</v>
      </c>
      <c r="J354" s="2">
        <v>59.461399999999998</v>
      </c>
      <c r="K354" s="2">
        <v>0</v>
      </c>
      <c r="L354" s="2">
        <v>0</v>
      </c>
    </row>
    <row r="355" spans="1:12" x14ac:dyDescent="0.35">
      <c r="A355" s="3" t="s">
        <v>1030</v>
      </c>
      <c r="B355" s="1" t="str">
        <f t="shared" si="10"/>
        <v>Lago Paranoa</v>
      </c>
      <c r="C355" s="1">
        <f t="shared" si="11"/>
        <v>-1693</v>
      </c>
      <c r="D355" s="2">
        <v>0</v>
      </c>
      <c r="E355" s="2">
        <v>2302.4499999999998</v>
      </c>
      <c r="F355" s="2">
        <v>0.4234</v>
      </c>
      <c r="G355" s="2">
        <v>2.5834000000000001</v>
      </c>
      <c r="H355" s="2">
        <v>4.3452000000000002</v>
      </c>
      <c r="I355" s="2">
        <v>1.343</v>
      </c>
      <c r="J355" s="2">
        <v>5.1623000000000001</v>
      </c>
      <c r="K355" s="2">
        <v>2302.4499999999998</v>
      </c>
      <c r="L355" s="2">
        <v>0</v>
      </c>
    </row>
    <row r="356" spans="1:12" x14ac:dyDescent="0.35">
      <c r="A356" s="3" t="s">
        <v>1031</v>
      </c>
      <c r="B356" s="1" t="str">
        <f t="shared" si="10"/>
        <v>Corumba IV</v>
      </c>
      <c r="C356" s="1">
        <f t="shared" si="11"/>
        <v>-1692</v>
      </c>
      <c r="D356" s="2">
        <v>0</v>
      </c>
      <c r="E356" s="2">
        <v>0</v>
      </c>
      <c r="F356" s="2">
        <v>0</v>
      </c>
      <c r="G356" s="2">
        <v>0.3629</v>
      </c>
      <c r="H356" s="2">
        <v>61.493499999999997</v>
      </c>
      <c r="I356" s="2">
        <v>5.5640999999999998</v>
      </c>
      <c r="J356" s="2">
        <v>56.292299999999997</v>
      </c>
      <c r="K356" s="2">
        <v>0</v>
      </c>
      <c r="L356" s="2">
        <v>0</v>
      </c>
    </row>
    <row r="357" spans="1:12" x14ac:dyDescent="0.35">
      <c r="A357" s="3" t="s">
        <v>1032</v>
      </c>
      <c r="B357" s="1" t="str">
        <f t="shared" si="10"/>
        <v>Lago Paranoa</v>
      </c>
      <c r="C357" s="1">
        <f t="shared" si="11"/>
        <v>-1692</v>
      </c>
      <c r="D357" s="2">
        <v>0</v>
      </c>
      <c r="E357" s="2">
        <v>2302.4499999999998</v>
      </c>
      <c r="F357" s="2">
        <v>0.4234</v>
      </c>
      <c r="G357" s="2">
        <v>3.0947</v>
      </c>
      <c r="H357" s="2">
        <v>4.1707000000000001</v>
      </c>
      <c r="I357" s="2">
        <v>1.343</v>
      </c>
      <c r="J357" s="2">
        <v>5.4991000000000003</v>
      </c>
      <c r="K357" s="2">
        <v>2302.4499999999998</v>
      </c>
      <c r="L357" s="2">
        <v>0</v>
      </c>
    </row>
    <row r="358" spans="1:12" x14ac:dyDescent="0.35">
      <c r="A358" s="3" t="s">
        <v>1033</v>
      </c>
      <c r="B358" s="1" t="str">
        <f t="shared" si="10"/>
        <v>Corumba IV</v>
      </c>
      <c r="C358" s="1">
        <f t="shared" si="11"/>
        <v>-1691</v>
      </c>
      <c r="D358" s="2">
        <v>0</v>
      </c>
      <c r="E358" s="2">
        <v>0</v>
      </c>
      <c r="F358" s="2">
        <v>0</v>
      </c>
      <c r="G358" s="2">
        <v>0.3629</v>
      </c>
      <c r="H358" s="2">
        <v>57.058599999999998</v>
      </c>
      <c r="I358" s="2">
        <v>5.6459999999999999</v>
      </c>
      <c r="J358" s="2">
        <v>51.775399999999998</v>
      </c>
      <c r="K358" s="2">
        <v>0</v>
      </c>
      <c r="L358" s="2">
        <v>0</v>
      </c>
    </row>
    <row r="359" spans="1:12" x14ac:dyDescent="0.35">
      <c r="A359" s="3" t="s">
        <v>1034</v>
      </c>
      <c r="B359" s="1" t="str">
        <f t="shared" si="10"/>
        <v>Lago Paranoa</v>
      </c>
      <c r="C359" s="1">
        <f t="shared" si="11"/>
        <v>-1691</v>
      </c>
      <c r="D359" s="2">
        <v>0</v>
      </c>
      <c r="E359" s="2">
        <v>2302.4499999999998</v>
      </c>
      <c r="F359" s="2">
        <v>0.4234</v>
      </c>
      <c r="G359" s="2">
        <v>2.7059000000000002</v>
      </c>
      <c r="H359" s="2">
        <v>4.1612999999999998</v>
      </c>
      <c r="I359" s="2">
        <v>1.3427</v>
      </c>
      <c r="J359" s="2">
        <v>5.1012000000000004</v>
      </c>
      <c r="K359" s="2">
        <v>2302.4499999999998</v>
      </c>
      <c r="L359" s="2">
        <v>0</v>
      </c>
    </row>
    <row r="360" spans="1:12" x14ac:dyDescent="0.35">
      <c r="A360" s="3" t="s">
        <v>1243</v>
      </c>
      <c r="B360" s="1" t="str">
        <f t="shared" si="10"/>
        <v>Corumba IV</v>
      </c>
      <c r="C360" s="1">
        <f t="shared" si="11"/>
        <v>-1820</v>
      </c>
      <c r="D360" s="2">
        <v>0</v>
      </c>
      <c r="E360" s="2">
        <v>0</v>
      </c>
      <c r="F360" s="2">
        <v>0</v>
      </c>
      <c r="G360" s="2">
        <v>2.3014000000000001</v>
      </c>
      <c r="H360" s="2">
        <v>144.4375</v>
      </c>
      <c r="I360" s="2">
        <v>4.4669999999999996</v>
      </c>
      <c r="J360" s="2">
        <v>142.27189999999999</v>
      </c>
      <c r="K360" s="2">
        <v>0</v>
      </c>
      <c r="L360" s="2">
        <v>0</v>
      </c>
    </row>
    <row r="361" spans="1:12" x14ac:dyDescent="0.35">
      <c r="A361" s="3" t="s">
        <v>1244</v>
      </c>
      <c r="B361" s="1" t="str">
        <f t="shared" si="10"/>
        <v>Lago Paranoa</v>
      </c>
      <c r="C361" s="1">
        <f t="shared" si="11"/>
        <v>-1820</v>
      </c>
      <c r="D361" s="2">
        <v>0</v>
      </c>
      <c r="E361" s="2">
        <v>2302.4499999999998</v>
      </c>
      <c r="F361" s="2">
        <v>0.4234</v>
      </c>
      <c r="G361" s="2">
        <v>4.8781999999999996</v>
      </c>
      <c r="H361" s="2">
        <v>10.0626</v>
      </c>
      <c r="I361" s="2">
        <v>1.0189999999999999</v>
      </c>
      <c r="J361" s="2">
        <v>13.4984</v>
      </c>
      <c r="K361" s="2">
        <v>2302.4499999999998</v>
      </c>
      <c r="L361" s="2">
        <v>0</v>
      </c>
    </row>
    <row r="362" spans="1:12" x14ac:dyDescent="0.35">
      <c r="A362" s="3" t="s">
        <v>1245</v>
      </c>
      <c r="B362" s="1" t="str">
        <f t="shared" si="10"/>
        <v>Corumba IV</v>
      </c>
      <c r="C362" s="1">
        <f t="shared" si="11"/>
        <v>-1819</v>
      </c>
      <c r="D362" s="2">
        <v>0</v>
      </c>
      <c r="E362" s="2">
        <v>0</v>
      </c>
      <c r="F362" s="2">
        <v>0</v>
      </c>
      <c r="G362" s="2">
        <v>4.0308000000000002</v>
      </c>
      <c r="H362" s="2">
        <v>171.20330000000001</v>
      </c>
      <c r="I362" s="2">
        <v>4.4669999999999996</v>
      </c>
      <c r="J362" s="2">
        <v>170.7671</v>
      </c>
      <c r="K362" s="2">
        <v>0</v>
      </c>
      <c r="L362" s="2">
        <v>0</v>
      </c>
    </row>
    <row r="363" spans="1:12" x14ac:dyDescent="0.35">
      <c r="A363" s="3" t="s">
        <v>1246</v>
      </c>
      <c r="B363" s="1" t="str">
        <f t="shared" si="10"/>
        <v>Lago Paranoa</v>
      </c>
      <c r="C363" s="1">
        <f t="shared" si="11"/>
        <v>-1819</v>
      </c>
      <c r="D363" s="2">
        <v>0</v>
      </c>
      <c r="E363" s="2">
        <v>2302.4499999999998</v>
      </c>
      <c r="F363" s="2">
        <v>0.4234</v>
      </c>
      <c r="G363" s="2">
        <v>4.4600999999999997</v>
      </c>
      <c r="H363" s="2">
        <v>11.4877</v>
      </c>
      <c r="I363" s="2">
        <v>1.0189999999999999</v>
      </c>
      <c r="J363" s="2">
        <v>14.5053</v>
      </c>
      <c r="K363" s="2">
        <v>2302.4499999999998</v>
      </c>
      <c r="L363" s="2">
        <v>0</v>
      </c>
    </row>
    <row r="364" spans="1:12" x14ac:dyDescent="0.35">
      <c r="A364" s="3" t="s">
        <v>1247</v>
      </c>
      <c r="B364" s="1" t="str">
        <f t="shared" si="10"/>
        <v>Corumba IV</v>
      </c>
      <c r="C364" s="1">
        <f t="shared" si="11"/>
        <v>-1818</v>
      </c>
      <c r="D364" s="2">
        <v>0</v>
      </c>
      <c r="E364" s="2">
        <v>0</v>
      </c>
      <c r="F364" s="2">
        <v>0</v>
      </c>
      <c r="G364" s="2">
        <v>2.6846999999999999</v>
      </c>
      <c r="H364" s="2">
        <v>167.82079999999999</v>
      </c>
      <c r="I364" s="2">
        <v>4.4669999999999996</v>
      </c>
      <c r="J364" s="2">
        <v>166.0384</v>
      </c>
      <c r="K364" s="2">
        <v>0</v>
      </c>
      <c r="L364" s="2">
        <v>0</v>
      </c>
    </row>
    <row r="365" spans="1:12" x14ac:dyDescent="0.35">
      <c r="A365" s="3" t="s">
        <v>1248</v>
      </c>
      <c r="B365" s="1" t="str">
        <f t="shared" si="10"/>
        <v>Lago Paranoa</v>
      </c>
      <c r="C365" s="1">
        <f t="shared" si="11"/>
        <v>-1818</v>
      </c>
      <c r="D365" s="2">
        <v>0</v>
      </c>
      <c r="E365" s="2">
        <v>2302.4499999999998</v>
      </c>
      <c r="F365" s="2">
        <v>0.4234</v>
      </c>
      <c r="G365" s="2">
        <v>4.4100999999999999</v>
      </c>
      <c r="H365" s="2">
        <v>11.730399999999999</v>
      </c>
      <c r="I365" s="2">
        <v>1.0189999999999999</v>
      </c>
      <c r="J365" s="2">
        <v>14.6982</v>
      </c>
      <c r="K365" s="2">
        <v>2302.4499999999998</v>
      </c>
      <c r="L365" s="2">
        <v>0</v>
      </c>
    </row>
    <row r="366" spans="1:12" x14ac:dyDescent="0.35">
      <c r="A366" s="3" t="s">
        <v>1249</v>
      </c>
      <c r="B366" s="1" t="str">
        <f t="shared" si="10"/>
        <v>Corumba IV</v>
      </c>
      <c r="C366" s="1">
        <f t="shared" si="11"/>
        <v>-1817</v>
      </c>
      <c r="D366" s="2">
        <v>0</v>
      </c>
      <c r="E366" s="2">
        <v>0</v>
      </c>
      <c r="F366" s="2">
        <v>0</v>
      </c>
      <c r="G366" s="2">
        <v>0.8931</v>
      </c>
      <c r="H366" s="2">
        <v>102.2838</v>
      </c>
      <c r="I366" s="2">
        <v>4.6177999999999999</v>
      </c>
      <c r="J366" s="2">
        <v>98.559100000000001</v>
      </c>
      <c r="K366" s="2">
        <v>0</v>
      </c>
      <c r="L366" s="2">
        <v>0</v>
      </c>
    </row>
    <row r="367" spans="1:12" x14ac:dyDescent="0.35">
      <c r="A367" s="3" t="s">
        <v>1250</v>
      </c>
      <c r="B367" s="1" t="str">
        <f t="shared" si="10"/>
        <v>Lago Paranoa</v>
      </c>
      <c r="C367" s="1">
        <f t="shared" si="11"/>
        <v>-1817</v>
      </c>
      <c r="D367" s="2">
        <v>0</v>
      </c>
      <c r="E367" s="2">
        <v>2302.4499999999998</v>
      </c>
      <c r="F367" s="2">
        <v>0.4234</v>
      </c>
      <c r="G367" s="2">
        <v>3.2921</v>
      </c>
      <c r="H367" s="2">
        <v>7.4085999999999999</v>
      </c>
      <c r="I367" s="2">
        <v>1.2545999999999999</v>
      </c>
      <c r="J367" s="2">
        <v>9.0228000000000002</v>
      </c>
      <c r="K367" s="2">
        <v>2302.4499999999998</v>
      </c>
      <c r="L367" s="2">
        <v>0</v>
      </c>
    </row>
    <row r="368" spans="1:12" x14ac:dyDescent="0.35">
      <c r="A368" s="3" t="s">
        <v>1251</v>
      </c>
      <c r="B368" s="1" t="str">
        <f t="shared" si="10"/>
        <v>Corumba IV</v>
      </c>
      <c r="C368" s="1">
        <f t="shared" si="11"/>
        <v>-1816</v>
      </c>
      <c r="D368" s="2">
        <v>0</v>
      </c>
      <c r="E368" s="2">
        <v>0</v>
      </c>
      <c r="F368" s="2">
        <v>0</v>
      </c>
      <c r="G368" s="2">
        <v>4.3048999999999999</v>
      </c>
      <c r="H368" s="2">
        <v>139.0478</v>
      </c>
      <c r="I368" s="2">
        <v>4.5244999999999997</v>
      </c>
      <c r="J368" s="2">
        <v>138.82820000000001</v>
      </c>
      <c r="K368" s="2">
        <v>0</v>
      </c>
      <c r="L368" s="2">
        <v>0</v>
      </c>
    </row>
    <row r="369" spans="1:12" x14ac:dyDescent="0.35">
      <c r="A369" s="3" t="s">
        <v>1252</v>
      </c>
      <c r="B369" s="1" t="str">
        <f t="shared" si="10"/>
        <v>Lago Paranoa</v>
      </c>
      <c r="C369" s="1">
        <f t="shared" si="11"/>
        <v>-1816</v>
      </c>
      <c r="D369" s="2">
        <v>0</v>
      </c>
      <c r="E369" s="2">
        <v>2302.4499999999998</v>
      </c>
      <c r="F369" s="2">
        <v>0.4234</v>
      </c>
      <c r="G369" s="2">
        <v>4.0922000000000001</v>
      </c>
      <c r="H369" s="2">
        <v>9.0851000000000006</v>
      </c>
      <c r="I369" s="2">
        <v>1.2000999999999999</v>
      </c>
      <c r="J369" s="2">
        <v>11.553900000000001</v>
      </c>
      <c r="K369" s="2">
        <v>2302.4499999999998</v>
      </c>
      <c r="L369" s="2">
        <v>0</v>
      </c>
    </row>
    <row r="370" spans="1:12" x14ac:dyDescent="0.35">
      <c r="A370" s="3" t="s">
        <v>1253</v>
      </c>
      <c r="B370" s="1" t="str">
        <f t="shared" si="10"/>
        <v>Corumba IV</v>
      </c>
      <c r="C370" s="1">
        <f t="shared" si="11"/>
        <v>-1815</v>
      </c>
      <c r="D370" s="2">
        <v>0</v>
      </c>
      <c r="E370" s="2">
        <v>0</v>
      </c>
      <c r="F370" s="2">
        <v>0</v>
      </c>
      <c r="G370" s="2">
        <v>2.3233999999999999</v>
      </c>
      <c r="H370" s="2">
        <v>120.7604</v>
      </c>
      <c r="I370" s="2">
        <v>4.2572000000000001</v>
      </c>
      <c r="J370" s="2">
        <v>118.8266</v>
      </c>
      <c r="K370" s="2">
        <v>0</v>
      </c>
      <c r="L370" s="2">
        <v>0</v>
      </c>
    </row>
    <row r="371" spans="1:12" x14ac:dyDescent="0.35">
      <c r="A371" s="3" t="s">
        <v>1254</v>
      </c>
      <c r="B371" s="1" t="str">
        <f t="shared" si="10"/>
        <v>Lago Paranoa</v>
      </c>
      <c r="C371" s="1">
        <f t="shared" si="11"/>
        <v>-1815</v>
      </c>
      <c r="D371" s="2">
        <v>0</v>
      </c>
      <c r="E371" s="2">
        <v>2302.4499999999998</v>
      </c>
      <c r="F371" s="2">
        <v>0.4234</v>
      </c>
      <c r="G371" s="2">
        <v>4.0396000000000001</v>
      </c>
      <c r="H371" s="2">
        <v>8.4742999999999995</v>
      </c>
      <c r="I371" s="2">
        <v>1.097</v>
      </c>
      <c r="J371" s="2">
        <v>10.993600000000001</v>
      </c>
      <c r="K371" s="2">
        <v>2302.4499999999998</v>
      </c>
      <c r="L371" s="2">
        <v>0</v>
      </c>
    </row>
    <row r="372" spans="1:12" x14ac:dyDescent="0.35">
      <c r="A372" s="3" t="s">
        <v>1255</v>
      </c>
      <c r="B372" s="1" t="str">
        <f t="shared" si="10"/>
        <v>Corumba IV</v>
      </c>
      <c r="C372" s="1">
        <f t="shared" si="11"/>
        <v>-1814</v>
      </c>
      <c r="D372" s="2">
        <v>0</v>
      </c>
      <c r="E372" s="2">
        <v>0</v>
      </c>
      <c r="F372" s="2">
        <v>0</v>
      </c>
      <c r="G372" s="2">
        <v>2.3161999999999998</v>
      </c>
      <c r="H372" s="2">
        <v>129.00729999999999</v>
      </c>
      <c r="I372" s="2">
        <v>4.2572000000000001</v>
      </c>
      <c r="J372" s="2">
        <v>127.06619999999999</v>
      </c>
      <c r="K372" s="2">
        <v>0</v>
      </c>
      <c r="L372" s="2">
        <v>0</v>
      </c>
    </row>
    <row r="373" spans="1:12" x14ac:dyDescent="0.35">
      <c r="A373" s="3" t="s">
        <v>1256</v>
      </c>
      <c r="B373" s="1" t="str">
        <f t="shared" si="10"/>
        <v>Lago Paranoa</v>
      </c>
      <c r="C373" s="1">
        <f t="shared" si="11"/>
        <v>-1814</v>
      </c>
      <c r="D373" s="2">
        <v>0</v>
      </c>
      <c r="E373" s="2">
        <v>2302.4499999999998</v>
      </c>
      <c r="F373" s="2">
        <v>0.4234</v>
      </c>
      <c r="G373" s="2">
        <v>4.1725000000000003</v>
      </c>
      <c r="H373" s="2">
        <v>8.5287000000000006</v>
      </c>
      <c r="I373" s="2">
        <v>1.097</v>
      </c>
      <c r="J373" s="2">
        <v>11.1808</v>
      </c>
      <c r="K373" s="2">
        <v>2302.4499999999998</v>
      </c>
      <c r="L373" s="2">
        <v>0</v>
      </c>
    </row>
    <row r="374" spans="1:12" x14ac:dyDescent="0.35">
      <c r="A374" s="3" t="s">
        <v>1257</v>
      </c>
      <c r="B374" s="1" t="str">
        <f t="shared" si="10"/>
        <v>Corumba IV</v>
      </c>
      <c r="C374" s="1">
        <f t="shared" si="11"/>
        <v>-1813</v>
      </c>
      <c r="D374" s="2">
        <v>0</v>
      </c>
      <c r="E374" s="2">
        <v>0</v>
      </c>
      <c r="F374" s="2">
        <v>0</v>
      </c>
      <c r="G374" s="2">
        <v>1.4336</v>
      </c>
      <c r="H374" s="2">
        <v>124.63200000000001</v>
      </c>
      <c r="I374" s="2">
        <v>4.2834000000000003</v>
      </c>
      <c r="J374" s="2">
        <v>121.7822</v>
      </c>
      <c r="K374" s="2">
        <v>0</v>
      </c>
      <c r="L374" s="2">
        <v>0</v>
      </c>
    </row>
    <row r="375" spans="1:12" x14ac:dyDescent="0.35">
      <c r="A375" s="3" t="s">
        <v>1258</v>
      </c>
      <c r="B375" s="1" t="str">
        <f t="shared" si="10"/>
        <v>Lago Paranoa</v>
      </c>
      <c r="C375" s="1">
        <f t="shared" si="11"/>
        <v>-1813</v>
      </c>
      <c r="D375" s="2">
        <v>0</v>
      </c>
      <c r="E375" s="2">
        <v>2302.4499999999998</v>
      </c>
      <c r="F375" s="2">
        <v>0.4234</v>
      </c>
      <c r="G375" s="2">
        <v>3.6513</v>
      </c>
      <c r="H375" s="2">
        <v>6.7493999999999996</v>
      </c>
      <c r="I375" s="2">
        <v>1.0947</v>
      </c>
      <c r="J375" s="2">
        <v>8.8826000000000001</v>
      </c>
      <c r="K375" s="2">
        <v>2302.4499999999998</v>
      </c>
      <c r="L375" s="2">
        <v>0</v>
      </c>
    </row>
    <row r="376" spans="1:12" x14ac:dyDescent="0.35">
      <c r="A376" s="3" t="s">
        <v>1259</v>
      </c>
      <c r="B376" s="1" t="str">
        <f t="shared" si="10"/>
        <v>Corumba IV</v>
      </c>
      <c r="C376" s="1">
        <f t="shared" si="11"/>
        <v>-1812</v>
      </c>
      <c r="D376" s="2">
        <v>0</v>
      </c>
      <c r="E376" s="2">
        <v>0</v>
      </c>
      <c r="F376" s="2">
        <v>0</v>
      </c>
      <c r="G376" s="2">
        <v>0.85599999999999998</v>
      </c>
      <c r="H376" s="2">
        <v>82.981999999999999</v>
      </c>
      <c r="I376" s="2">
        <v>4.4404000000000003</v>
      </c>
      <c r="J376" s="2">
        <v>79.397599999999997</v>
      </c>
      <c r="K376" s="2">
        <v>0</v>
      </c>
      <c r="L376" s="2">
        <v>0</v>
      </c>
    </row>
    <row r="377" spans="1:12" x14ac:dyDescent="0.35">
      <c r="A377" s="3" t="s">
        <v>1260</v>
      </c>
      <c r="B377" s="1" t="str">
        <f t="shared" si="10"/>
        <v>Lago Paranoa</v>
      </c>
      <c r="C377" s="1">
        <f t="shared" si="11"/>
        <v>-1812</v>
      </c>
      <c r="D377" s="2">
        <v>0</v>
      </c>
      <c r="E377" s="2">
        <v>2302.4499999999998</v>
      </c>
      <c r="F377" s="2">
        <v>0.4234</v>
      </c>
      <c r="G377" s="2">
        <v>3.5185</v>
      </c>
      <c r="H377" s="2">
        <v>6.5902000000000003</v>
      </c>
      <c r="I377" s="2">
        <v>1.0809</v>
      </c>
      <c r="J377" s="2">
        <v>8.6044</v>
      </c>
      <c r="K377" s="2">
        <v>2302.4499999999998</v>
      </c>
      <c r="L377" s="2">
        <v>0</v>
      </c>
    </row>
    <row r="378" spans="1:12" x14ac:dyDescent="0.35">
      <c r="A378" s="3" t="s">
        <v>1261</v>
      </c>
      <c r="B378" s="1" t="str">
        <f t="shared" si="10"/>
        <v>Corumba IV</v>
      </c>
      <c r="C378" s="1">
        <f t="shared" si="11"/>
        <v>-1811</v>
      </c>
      <c r="D378" s="2">
        <v>0</v>
      </c>
      <c r="E378" s="2">
        <v>0</v>
      </c>
      <c r="F378" s="2">
        <v>0</v>
      </c>
      <c r="G378" s="2">
        <v>2.0371999999999999</v>
      </c>
      <c r="H378" s="2">
        <v>96.679900000000004</v>
      </c>
      <c r="I378" s="2">
        <v>4.4404000000000003</v>
      </c>
      <c r="J378" s="2">
        <v>94.276600000000002</v>
      </c>
      <c r="K378" s="2">
        <v>0</v>
      </c>
      <c r="L378" s="2">
        <v>0</v>
      </c>
    </row>
    <row r="379" spans="1:12" x14ac:dyDescent="0.35">
      <c r="A379" s="3" t="s">
        <v>1262</v>
      </c>
      <c r="B379" s="1" t="str">
        <f t="shared" si="10"/>
        <v>Lago Paranoa</v>
      </c>
      <c r="C379" s="1">
        <f t="shared" si="11"/>
        <v>-1811</v>
      </c>
      <c r="D379" s="2">
        <v>0</v>
      </c>
      <c r="E379" s="2">
        <v>2302.4499999999998</v>
      </c>
      <c r="F379" s="2">
        <v>0.4234</v>
      </c>
      <c r="G379" s="2">
        <v>4.1210000000000004</v>
      </c>
      <c r="H379" s="2">
        <v>9.4642999999999997</v>
      </c>
      <c r="I379" s="2">
        <v>1.0809</v>
      </c>
      <c r="J379" s="2">
        <v>12.0809</v>
      </c>
      <c r="K379" s="2">
        <v>2302.4499999999998</v>
      </c>
      <c r="L379" s="2">
        <v>0</v>
      </c>
    </row>
    <row r="380" spans="1:12" x14ac:dyDescent="0.35">
      <c r="A380" s="3" t="s">
        <v>1263</v>
      </c>
      <c r="B380" s="1" t="str">
        <f t="shared" si="10"/>
        <v>Corumba IV</v>
      </c>
      <c r="C380" s="1">
        <f t="shared" si="11"/>
        <v>-1810</v>
      </c>
      <c r="D380" s="2">
        <v>0</v>
      </c>
      <c r="E380" s="2">
        <v>0</v>
      </c>
      <c r="F380" s="2">
        <v>0</v>
      </c>
      <c r="G380" s="2">
        <v>0.69810000000000005</v>
      </c>
      <c r="H380" s="2">
        <v>74.831900000000005</v>
      </c>
      <c r="I380" s="2">
        <v>4.4404000000000003</v>
      </c>
      <c r="J380" s="2">
        <v>71.089500000000001</v>
      </c>
      <c r="K380" s="2">
        <v>0</v>
      </c>
      <c r="L380" s="2">
        <v>0</v>
      </c>
    </row>
    <row r="381" spans="1:12" x14ac:dyDescent="0.35">
      <c r="A381" s="3" t="s">
        <v>1264</v>
      </c>
      <c r="B381" s="1" t="str">
        <f t="shared" si="10"/>
        <v>Lago Paranoa</v>
      </c>
      <c r="C381" s="1">
        <f t="shared" si="11"/>
        <v>-1810</v>
      </c>
      <c r="D381" s="2">
        <v>0</v>
      </c>
      <c r="E381" s="2">
        <v>2302.4499999999998</v>
      </c>
      <c r="F381" s="2">
        <v>0.4234</v>
      </c>
      <c r="G381" s="2">
        <v>3.1981999999999999</v>
      </c>
      <c r="H381" s="2">
        <v>6.2954999999999997</v>
      </c>
      <c r="I381" s="2">
        <v>1.0809</v>
      </c>
      <c r="J381" s="2">
        <v>7.9893999999999998</v>
      </c>
      <c r="K381" s="2">
        <v>2302.4499999999998</v>
      </c>
      <c r="L381" s="2">
        <v>0</v>
      </c>
    </row>
    <row r="382" spans="1:12" x14ac:dyDescent="0.35">
      <c r="A382" s="3" t="s">
        <v>1265</v>
      </c>
      <c r="B382" s="1" t="str">
        <f t="shared" si="10"/>
        <v>Corumba IV</v>
      </c>
      <c r="C382" s="1">
        <f t="shared" si="11"/>
        <v>-1809</v>
      </c>
      <c r="D382" s="2">
        <v>0</v>
      </c>
      <c r="E382" s="2">
        <v>0</v>
      </c>
      <c r="F382" s="2">
        <v>0</v>
      </c>
      <c r="G382" s="2">
        <v>0.63539999999999996</v>
      </c>
      <c r="H382" s="2">
        <v>81.744799999999998</v>
      </c>
      <c r="I382" s="2">
        <v>4.3798000000000004</v>
      </c>
      <c r="J382" s="2">
        <v>78.000399999999999</v>
      </c>
      <c r="K382" s="2">
        <v>0</v>
      </c>
      <c r="L382" s="2">
        <v>0</v>
      </c>
    </row>
    <row r="383" spans="1:12" x14ac:dyDescent="0.35">
      <c r="A383" s="3" t="s">
        <v>1266</v>
      </c>
      <c r="B383" s="1" t="str">
        <f t="shared" si="10"/>
        <v>Lago Paranoa</v>
      </c>
      <c r="C383" s="1">
        <f t="shared" si="11"/>
        <v>-1809</v>
      </c>
      <c r="D383" s="2">
        <v>0</v>
      </c>
      <c r="E383" s="2">
        <v>2302.4499999999998</v>
      </c>
      <c r="F383" s="2">
        <v>0.4234</v>
      </c>
      <c r="G383" s="2">
        <v>3.0853999999999999</v>
      </c>
      <c r="H383" s="2">
        <v>5.9488000000000003</v>
      </c>
      <c r="I383" s="2">
        <v>1.008</v>
      </c>
      <c r="J383" s="2">
        <v>7.6028000000000002</v>
      </c>
      <c r="K383" s="2">
        <v>2302.4499999999998</v>
      </c>
      <c r="L383" s="2">
        <v>0</v>
      </c>
    </row>
    <row r="384" spans="1:12" x14ac:dyDescent="0.35">
      <c r="A384" s="3" t="s">
        <v>1267</v>
      </c>
      <c r="B384" s="1" t="str">
        <f t="shared" si="10"/>
        <v>Corumba IV</v>
      </c>
      <c r="C384" s="1">
        <f t="shared" si="11"/>
        <v>-1808</v>
      </c>
      <c r="D384" s="2">
        <v>0</v>
      </c>
      <c r="E384" s="2">
        <v>0</v>
      </c>
      <c r="F384" s="2">
        <v>0</v>
      </c>
      <c r="G384" s="2">
        <v>0.3629</v>
      </c>
      <c r="H384" s="2">
        <v>59.0276</v>
      </c>
      <c r="I384" s="2">
        <v>3.7894000000000001</v>
      </c>
      <c r="J384" s="2">
        <v>55.601100000000002</v>
      </c>
      <c r="K384" s="2">
        <v>0</v>
      </c>
      <c r="L384" s="2">
        <v>0</v>
      </c>
    </row>
    <row r="385" spans="1:12" x14ac:dyDescent="0.35">
      <c r="A385" s="3" t="s">
        <v>1268</v>
      </c>
      <c r="B385" s="1" t="str">
        <f t="shared" si="10"/>
        <v>Lago Paranoa</v>
      </c>
      <c r="C385" s="1">
        <f t="shared" si="11"/>
        <v>-1808</v>
      </c>
      <c r="D385" s="2">
        <v>0</v>
      </c>
      <c r="E385" s="2">
        <v>2302.4499999999998</v>
      </c>
      <c r="F385" s="2">
        <v>0.4234</v>
      </c>
      <c r="G385" s="2">
        <v>2.9140999999999999</v>
      </c>
      <c r="H385" s="2">
        <v>5.6230000000000002</v>
      </c>
      <c r="I385" s="2">
        <v>0.88660000000000005</v>
      </c>
      <c r="J385" s="2">
        <v>7.2271999999999998</v>
      </c>
      <c r="K385" s="2">
        <v>2302.4499999999998</v>
      </c>
      <c r="L385" s="2">
        <v>0</v>
      </c>
    </row>
    <row r="386" spans="1:12" x14ac:dyDescent="0.35">
      <c r="A386" s="3" t="s">
        <v>1269</v>
      </c>
      <c r="B386" s="1" t="str">
        <f t="shared" si="10"/>
        <v>Corumba IV</v>
      </c>
      <c r="C386" s="1">
        <f t="shared" si="11"/>
        <v>-1807</v>
      </c>
      <c r="D386" s="2">
        <v>0</v>
      </c>
      <c r="E386" s="2">
        <v>0</v>
      </c>
      <c r="F386" s="2">
        <v>0</v>
      </c>
      <c r="G386" s="2">
        <v>0.3629</v>
      </c>
      <c r="H386" s="2">
        <v>37.041400000000003</v>
      </c>
      <c r="I386" s="2">
        <v>3.5714999999999999</v>
      </c>
      <c r="J386" s="2">
        <v>33.832799999999999</v>
      </c>
      <c r="K386" s="2">
        <v>0</v>
      </c>
      <c r="L386" s="2">
        <v>0</v>
      </c>
    </row>
    <row r="387" spans="1:12" x14ac:dyDescent="0.35">
      <c r="A387" s="3" t="s">
        <v>1270</v>
      </c>
      <c r="B387" s="1" t="str">
        <f t="shared" ref="B387:B450" si="12">_xlfn.TEXTBEFORE(_xlfn.TEXTAFTER(A387,"["),"]")</f>
        <v>Lago Paranoa</v>
      </c>
      <c r="C387" s="1">
        <f t="shared" si="11"/>
        <v>-1807</v>
      </c>
      <c r="D387" s="2">
        <v>0</v>
      </c>
      <c r="E387" s="2">
        <v>2302.4499999999998</v>
      </c>
      <c r="F387" s="2">
        <v>0.4234</v>
      </c>
      <c r="G387" s="2">
        <v>2.7435999999999998</v>
      </c>
      <c r="H387" s="2">
        <v>6.1303999999999998</v>
      </c>
      <c r="I387" s="2">
        <v>0.86</v>
      </c>
      <c r="J387" s="2">
        <v>7.5906000000000002</v>
      </c>
      <c r="K387" s="2">
        <v>2302.4499999999998</v>
      </c>
      <c r="L387" s="2">
        <v>0</v>
      </c>
    </row>
    <row r="388" spans="1:12" x14ac:dyDescent="0.35">
      <c r="A388" s="3" t="s">
        <v>1271</v>
      </c>
      <c r="B388" s="1" t="str">
        <f t="shared" si="12"/>
        <v>Corumba IV</v>
      </c>
      <c r="C388" s="1">
        <f t="shared" ref="C388:C451" si="13">--_xlfn.TEXTBEFORE(_xlfn.TEXTAFTER(A388,"Week "),":")</f>
        <v>-1806</v>
      </c>
      <c r="D388" s="2">
        <v>0</v>
      </c>
      <c r="E388" s="2">
        <v>0</v>
      </c>
      <c r="F388" s="2">
        <v>0</v>
      </c>
      <c r="G388" s="2">
        <v>0.3629</v>
      </c>
      <c r="H388" s="2">
        <v>45.0732</v>
      </c>
      <c r="I388" s="2">
        <v>3.5714999999999999</v>
      </c>
      <c r="J388" s="2">
        <v>41.864600000000003</v>
      </c>
      <c r="K388" s="2">
        <v>0</v>
      </c>
      <c r="L388" s="2">
        <v>0</v>
      </c>
    </row>
    <row r="389" spans="1:12" x14ac:dyDescent="0.35">
      <c r="A389" s="3" t="s">
        <v>1272</v>
      </c>
      <c r="B389" s="1" t="str">
        <f t="shared" si="12"/>
        <v>Lago Paranoa</v>
      </c>
      <c r="C389" s="1">
        <f t="shared" si="13"/>
        <v>-1806</v>
      </c>
      <c r="D389" s="2">
        <v>0</v>
      </c>
      <c r="E389" s="2">
        <v>2302.4499999999998</v>
      </c>
      <c r="F389" s="2">
        <v>0.4234</v>
      </c>
      <c r="G389" s="2">
        <v>2.8246000000000002</v>
      </c>
      <c r="H389" s="2">
        <v>6.4763000000000002</v>
      </c>
      <c r="I389" s="2">
        <v>0.86</v>
      </c>
      <c r="J389" s="2">
        <v>8.0175000000000001</v>
      </c>
      <c r="K389" s="2">
        <v>2302.4499999999998</v>
      </c>
      <c r="L389" s="2">
        <v>0</v>
      </c>
    </row>
    <row r="390" spans="1:12" x14ac:dyDescent="0.35">
      <c r="A390" s="3" t="s">
        <v>1273</v>
      </c>
      <c r="B390" s="1" t="str">
        <f t="shared" si="12"/>
        <v>Corumba IV</v>
      </c>
      <c r="C390" s="1">
        <f t="shared" si="13"/>
        <v>-1805</v>
      </c>
      <c r="D390" s="2">
        <v>0</v>
      </c>
      <c r="E390" s="2">
        <v>0</v>
      </c>
      <c r="F390" s="2">
        <v>0</v>
      </c>
      <c r="G390" s="2">
        <v>0.3629</v>
      </c>
      <c r="H390" s="2">
        <v>55.746099999999998</v>
      </c>
      <c r="I390" s="2">
        <v>3.5714999999999999</v>
      </c>
      <c r="J390" s="2">
        <v>52.537599999999998</v>
      </c>
      <c r="K390" s="2">
        <v>0</v>
      </c>
      <c r="L390" s="2">
        <v>0</v>
      </c>
    </row>
    <row r="391" spans="1:12" x14ac:dyDescent="0.35">
      <c r="A391" s="3" t="s">
        <v>1274</v>
      </c>
      <c r="B391" s="1" t="str">
        <f t="shared" si="12"/>
        <v>Lago Paranoa</v>
      </c>
      <c r="C391" s="1">
        <f t="shared" si="13"/>
        <v>-1805</v>
      </c>
      <c r="D391" s="2">
        <v>0</v>
      </c>
      <c r="E391" s="2">
        <v>2302.4499999999998</v>
      </c>
      <c r="F391" s="2">
        <v>0.4234</v>
      </c>
      <c r="G391" s="2">
        <v>2.7467000000000001</v>
      </c>
      <c r="H391" s="2">
        <v>6.5312999999999999</v>
      </c>
      <c r="I391" s="2">
        <v>0.86</v>
      </c>
      <c r="J391" s="2">
        <v>7.9946999999999999</v>
      </c>
      <c r="K391" s="2">
        <v>2302.4499999999998</v>
      </c>
      <c r="L391" s="2">
        <v>0</v>
      </c>
    </row>
    <row r="392" spans="1:12" x14ac:dyDescent="0.35">
      <c r="A392" s="3" t="s">
        <v>1275</v>
      </c>
      <c r="B392" s="1" t="str">
        <f t="shared" si="12"/>
        <v>Corumba IV</v>
      </c>
      <c r="C392" s="1">
        <f t="shared" si="13"/>
        <v>-1804</v>
      </c>
      <c r="D392" s="2">
        <v>0</v>
      </c>
      <c r="E392" s="2">
        <v>0</v>
      </c>
      <c r="F392" s="2">
        <v>0</v>
      </c>
      <c r="G392" s="2">
        <v>0.3629</v>
      </c>
      <c r="H392" s="2">
        <v>56.393300000000004</v>
      </c>
      <c r="I392" s="2">
        <v>4.2763999999999998</v>
      </c>
      <c r="J392" s="2">
        <v>52.479700000000001</v>
      </c>
      <c r="K392" s="2">
        <v>0</v>
      </c>
      <c r="L392" s="2">
        <v>0</v>
      </c>
    </row>
    <row r="393" spans="1:12" x14ac:dyDescent="0.35">
      <c r="A393" s="3" t="s">
        <v>1276</v>
      </c>
      <c r="B393" s="1" t="str">
        <f t="shared" si="12"/>
        <v>Lago Paranoa</v>
      </c>
      <c r="C393" s="1">
        <f t="shared" si="13"/>
        <v>-1804</v>
      </c>
      <c r="D393" s="2">
        <v>0</v>
      </c>
      <c r="E393" s="2">
        <v>2302.4499999999998</v>
      </c>
      <c r="F393" s="2">
        <v>0.4234</v>
      </c>
      <c r="G393" s="2">
        <v>2.8209</v>
      </c>
      <c r="H393" s="2">
        <v>6.4309000000000003</v>
      </c>
      <c r="I393" s="2">
        <v>0.97260000000000002</v>
      </c>
      <c r="J393" s="2">
        <v>7.8558000000000003</v>
      </c>
      <c r="K393" s="2">
        <v>2302.4499999999998</v>
      </c>
      <c r="L393" s="2">
        <v>0</v>
      </c>
    </row>
    <row r="394" spans="1:12" x14ac:dyDescent="0.35">
      <c r="A394" s="3" t="s">
        <v>1277</v>
      </c>
      <c r="B394" s="1" t="str">
        <f t="shared" si="12"/>
        <v>Corumba IV</v>
      </c>
      <c r="C394" s="1">
        <f t="shared" si="13"/>
        <v>-1803</v>
      </c>
      <c r="D394" s="2">
        <v>0</v>
      </c>
      <c r="E394" s="2">
        <v>0</v>
      </c>
      <c r="F394" s="2">
        <v>0</v>
      </c>
      <c r="G394" s="2">
        <v>0.3629</v>
      </c>
      <c r="H394" s="2">
        <v>54.223799999999997</v>
      </c>
      <c r="I394" s="2">
        <v>4.3579999999999997</v>
      </c>
      <c r="J394" s="2">
        <v>50.228700000000003</v>
      </c>
      <c r="K394" s="2">
        <v>0</v>
      </c>
      <c r="L394" s="2">
        <v>0</v>
      </c>
    </row>
    <row r="395" spans="1:12" x14ac:dyDescent="0.35">
      <c r="A395" s="3" t="s">
        <v>1278</v>
      </c>
      <c r="B395" s="1" t="str">
        <f t="shared" si="12"/>
        <v>Lago Paranoa</v>
      </c>
      <c r="C395" s="1">
        <f t="shared" si="13"/>
        <v>-1803</v>
      </c>
      <c r="D395" s="2">
        <v>0</v>
      </c>
      <c r="E395" s="2">
        <v>2302.4499999999998</v>
      </c>
      <c r="F395" s="2">
        <v>0.4234</v>
      </c>
      <c r="G395" s="2">
        <v>2.6133000000000002</v>
      </c>
      <c r="H395" s="2">
        <v>5.3525</v>
      </c>
      <c r="I395" s="2">
        <v>1.0128999999999999</v>
      </c>
      <c r="J395" s="2">
        <v>6.5294999999999996</v>
      </c>
      <c r="K395" s="2">
        <v>2302.4499999999998</v>
      </c>
      <c r="L395" s="2">
        <v>0</v>
      </c>
    </row>
    <row r="396" spans="1:12" x14ac:dyDescent="0.35">
      <c r="A396" s="3" t="s">
        <v>1279</v>
      </c>
      <c r="B396" s="1" t="str">
        <f t="shared" si="12"/>
        <v>Corumba IV</v>
      </c>
      <c r="C396" s="1">
        <f t="shared" si="13"/>
        <v>-1802</v>
      </c>
      <c r="D396" s="2">
        <v>0</v>
      </c>
      <c r="E396" s="2">
        <v>0</v>
      </c>
      <c r="F396" s="2">
        <v>0</v>
      </c>
      <c r="G396" s="2">
        <v>0.3629</v>
      </c>
      <c r="H396" s="2">
        <v>49.1417</v>
      </c>
      <c r="I396" s="2">
        <v>3.8159999999999998</v>
      </c>
      <c r="J396" s="2">
        <v>45.688600000000001</v>
      </c>
      <c r="K396" s="2">
        <v>0</v>
      </c>
      <c r="L396" s="2">
        <v>0</v>
      </c>
    </row>
    <row r="397" spans="1:12" x14ac:dyDescent="0.35">
      <c r="A397" s="3" t="s">
        <v>1280</v>
      </c>
      <c r="B397" s="1" t="str">
        <f t="shared" si="12"/>
        <v>Lago Paranoa</v>
      </c>
      <c r="C397" s="1">
        <f t="shared" si="13"/>
        <v>-1802</v>
      </c>
      <c r="D397" s="2">
        <v>0</v>
      </c>
      <c r="E397" s="2">
        <v>2302.4499999999998</v>
      </c>
      <c r="F397" s="2">
        <v>0.4234</v>
      </c>
      <c r="G397" s="2">
        <v>2.6351</v>
      </c>
      <c r="H397" s="2">
        <v>5.3437999999999999</v>
      </c>
      <c r="I397" s="2">
        <v>0.9506</v>
      </c>
      <c r="J397" s="2">
        <v>6.6048999999999998</v>
      </c>
      <c r="K397" s="2">
        <v>2302.4499999999998</v>
      </c>
      <c r="L397" s="2">
        <v>0</v>
      </c>
    </row>
    <row r="398" spans="1:12" x14ac:dyDescent="0.35">
      <c r="A398" s="3" t="s">
        <v>1281</v>
      </c>
      <c r="B398" s="1" t="str">
        <f t="shared" si="12"/>
        <v>Corumba IV</v>
      </c>
      <c r="C398" s="1">
        <f t="shared" si="13"/>
        <v>-1801</v>
      </c>
      <c r="D398" s="2">
        <v>0</v>
      </c>
      <c r="E398" s="2">
        <v>0</v>
      </c>
      <c r="F398" s="2">
        <v>0</v>
      </c>
      <c r="G398" s="2">
        <v>0.3629</v>
      </c>
      <c r="H398" s="2">
        <v>46.681100000000001</v>
      </c>
      <c r="I398" s="2">
        <v>3.8159999999999998</v>
      </c>
      <c r="J398" s="2">
        <v>43.227899999999998</v>
      </c>
      <c r="K398" s="2">
        <v>0</v>
      </c>
      <c r="L398" s="2">
        <v>0</v>
      </c>
    </row>
    <row r="399" spans="1:12" x14ac:dyDescent="0.35">
      <c r="A399" s="3" t="s">
        <v>1282</v>
      </c>
      <c r="B399" s="1" t="str">
        <f t="shared" si="12"/>
        <v>Lago Paranoa</v>
      </c>
      <c r="C399" s="1">
        <f t="shared" si="13"/>
        <v>-1801</v>
      </c>
      <c r="D399" s="2">
        <v>0</v>
      </c>
      <c r="E399" s="2">
        <v>2302.4499999999998</v>
      </c>
      <c r="F399" s="2">
        <v>0.4234</v>
      </c>
      <c r="G399" s="2">
        <v>2.5829</v>
      </c>
      <c r="H399" s="2">
        <v>5.2759999999999998</v>
      </c>
      <c r="I399" s="2">
        <v>0.9506</v>
      </c>
      <c r="J399" s="2">
        <v>6.4850000000000003</v>
      </c>
      <c r="K399" s="2">
        <v>2302.4499999999998</v>
      </c>
      <c r="L399" s="2">
        <v>0</v>
      </c>
    </row>
    <row r="400" spans="1:12" x14ac:dyDescent="0.35">
      <c r="A400" s="3" t="s">
        <v>1283</v>
      </c>
      <c r="B400" s="1" t="str">
        <f t="shared" si="12"/>
        <v>Corumba IV</v>
      </c>
      <c r="C400" s="1">
        <f t="shared" si="13"/>
        <v>-1800</v>
      </c>
      <c r="D400" s="2">
        <v>0</v>
      </c>
      <c r="E400" s="2">
        <v>0</v>
      </c>
      <c r="F400" s="2">
        <v>0</v>
      </c>
      <c r="G400" s="2">
        <v>0.3629</v>
      </c>
      <c r="H400" s="2">
        <v>42.150199999999998</v>
      </c>
      <c r="I400" s="2">
        <v>3.8159999999999998</v>
      </c>
      <c r="J400" s="2">
        <v>38.697099999999999</v>
      </c>
      <c r="K400" s="2">
        <v>0</v>
      </c>
      <c r="L400" s="2">
        <v>0</v>
      </c>
    </row>
    <row r="401" spans="1:12" x14ac:dyDescent="0.35">
      <c r="A401" s="3" t="s">
        <v>1284</v>
      </c>
      <c r="B401" s="1" t="str">
        <f t="shared" si="12"/>
        <v>Lago Paranoa</v>
      </c>
      <c r="C401" s="1">
        <f t="shared" si="13"/>
        <v>-1800</v>
      </c>
      <c r="D401" s="2">
        <v>0</v>
      </c>
      <c r="E401" s="2">
        <v>2302.4499999999998</v>
      </c>
      <c r="F401" s="2">
        <v>0.4234</v>
      </c>
      <c r="G401" s="2">
        <v>2.4645999999999999</v>
      </c>
      <c r="H401" s="2">
        <v>5.0582000000000003</v>
      </c>
      <c r="I401" s="2">
        <v>0.9506</v>
      </c>
      <c r="J401" s="2">
        <v>6.1489000000000003</v>
      </c>
      <c r="K401" s="2">
        <v>2302.4499999999998</v>
      </c>
      <c r="L401" s="2">
        <v>0</v>
      </c>
    </row>
    <row r="402" spans="1:12" x14ac:dyDescent="0.35">
      <c r="A402" s="3" t="s">
        <v>1285</v>
      </c>
      <c r="B402" s="1" t="str">
        <f t="shared" si="12"/>
        <v>Corumba IV</v>
      </c>
      <c r="C402" s="1">
        <f t="shared" si="13"/>
        <v>-1799</v>
      </c>
      <c r="D402" s="2">
        <v>0</v>
      </c>
      <c r="E402" s="2">
        <v>0</v>
      </c>
      <c r="F402" s="2">
        <v>0</v>
      </c>
      <c r="G402" s="2">
        <v>0.3629</v>
      </c>
      <c r="H402" s="2">
        <v>39.345700000000001</v>
      </c>
      <c r="I402" s="2">
        <v>5.0205000000000002</v>
      </c>
      <c r="J402" s="2">
        <v>34.688099999999999</v>
      </c>
      <c r="K402" s="2">
        <v>0</v>
      </c>
      <c r="L402" s="2">
        <v>0</v>
      </c>
    </row>
    <row r="403" spans="1:12" x14ac:dyDescent="0.35">
      <c r="A403" s="3" t="s">
        <v>1286</v>
      </c>
      <c r="B403" s="1" t="str">
        <f t="shared" si="12"/>
        <v>Lago Paranoa</v>
      </c>
      <c r="C403" s="1">
        <f t="shared" si="13"/>
        <v>-1799</v>
      </c>
      <c r="D403" s="2">
        <v>0</v>
      </c>
      <c r="E403" s="2">
        <v>2302.4499999999998</v>
      </c>
      <c r="F403" s="2">
        <v>0.4234</v>
      </c>
      <c r="G403" s="2">
        <v>2.4621</v>
      </c>
      <c r="H403" s="2">
        <v>4.6334</v>
      </c>
      <c r="I403" s="2">
        <v>1.0981000000000001</v>
      </c>
      <c r="J403" s="2">
        <v>5.5740999999999996</v>
      </c>
      <c r="K403" s="2">
        <v>2302.4499999999998</v>
      </c>
      <c r="L403" s="2">
        <v>0</v>
      </c>
    </row>
    <row r="404" spans="1:12" x14ac:dyDescent="0.35">
      <c r="A404" s="3" t="s">
        <v>1287</v>
      </c>
      <c r="B404" s="1" t="str">
        <f t="shared" si="12"/>
        <v>Corumba IV</v>
      </c>
      <c r="C404" s="1">
        <f t="shared" si="13"/>
        <v>-1798</v>
      </c>
      <c r="D404" s="2">
        <v>0</v>
      </c>
      <c r="E404" s="2">
        <v>0</v>
      </c>
      <c r="F404" s="2">
        <v>0</v>
      </c>
      <c r="G404" s="2">
        <v>0.3629</v>
      </c>
      <c r="H404" s="2">
        <v>36.140300000000003</v>
      </c>
      <c r="I404" s="2">
        <v>5.0205000000000002</v>
      </c>
      <c r="J404" s="2">
        <v>31.482700000000001</v>
      </c>
      <c r="K404" s="2">
        <v>0</v>
      </c>
      <c r="L404" s="2">
        <v>0</v>
      </c>
    </row>
    <row r="405" spans="1:12" x14ac:dyDescent="0.35">
      <c r="A405" s="3" t="s">
        <v>1288</v>
      </c>
      <c r="B405" s="1" t="str">
        <f t="shared" si="12"/>
        <v>Lago Paranoa</v>
      </c>
      <c r="C405" s="1">
        <f t="shared" si="13"/>
        <v>-1798</v>
      </c>
      <c r="D405" s="2">
        <v>0</v>
      </c>
      <c r="E405" s="2">
        <v>2302.4499999999998</v>
      </c>
      <c r="F405" s="2">
        <v>0.4234</v>
      </c>
      <c r="G405" s="2">
        <v>2.5118999999999998</v>
      </c>
      <c r="H405" s="2">
        <v>4.0936000000000003</v>
      </c>
      <c r="I405" s="2">
        <v>1.0981000000000001</v>
      </c>
      <c r="J405" s="2">
        <v>5.0839999999999996</v>
      </c>
      <c r="K405" s="2">
        <v>2302.4499999999998</v>
      </c>
      <c r="L405" s="2">
        <v>0</v>
      </c>
    </row>
    <row r="406" spans="1:12" x14ac:dyDescent="0.35">
      <c r="A406" s="3" t="s">
        <v>1289</v>
      </c>
      <c r="B406" s="1" t="str">
        <f t="shared" si="12"/>
        <v>Corumba IV</v>
      </c>
      <c r="C406" s="1">
        <f t="shared" si="13"/>
        <v>-1797</v>
      </c>
      <c r="D406" s="2">
        <v>0</v>
      </c>
      <c r="E406" s="2">
        <v>0</v>
      </c>
      <c r="F406" s="2">
        <v>0</v>
      </c>
      <c r="G406" s="2">
        <v>0.3629</v>
      </c>
      <c r="H406" s="2">
        <v>32.130400000000002</v>
      </c>
      <c r="I406" s="2">
        <v>5.0205000000000002</v>
      </c>
      <c r="J406" s="2">
        <v>27.472799999999999</v>
      </c>
      <c r="K406" s="2">
        <v>0</v>
      </c>
      <c r="L406" s="2">
        <v>0</v>
      </c>
    </row>
    <row r="407" spans="1:12" x14ac:dyDescent="0.35">
      <c r="A407" s="3" t="s">
        <v>1290</v>
      </c>
      <c r="B407" s="1" t="str">
        <f t="shared" si="12"/>
        <v>Lago Paranoa</v>
      </c>
      <c r="C407" s="1">
        <f t="shared" si="13"/>
        <v>-1797</v>
      </c>
      <c r="D407" s="2">
        <v>0</v>
      </c>
      <c r="E407" s="2">
        <v>2302.4499999999998</v>
      </c>
      <c r="F407" s="2">
        <v>0.4234</v>
      </c>
      <c r="G407" s="2">
        <v>2.4798</v>
      </c>
      <c r="H407" s="2">
        <v>3.8683000000000001</v>
      </c>
      <c r="I407" s="2">
        <v>1.0981000000000001</v>
      </c>
      <c r="J407" s="2">
        <v>4.8266</v>
      </c>
      <c r="K407" s="2">
        <v>2302.4499999999998</v>
      </c>
      <c r="L407" s="2">
        <v>0</v>
      </c>
    </row>
    <row r="408" spans="1:12" x14ac:dyDescent="0.35">
      <c r="A408" s="3" t="s">
        <v>1291</v>
      </c>
      <c r="B408" s="1" t="str">
        <f t="shared" si="12"/>
        <v>Corumba IV</v>
      </c>
      <c r="C408" s="1">
        <f t="shared" si="13"/>
        <v>-1796</v>
      </c>
      <c r="D408" s="2">
        <v>0</v>
      </c>
      <c r="E408" s="2">
        <v>0</v>
      </c>
      <c r="F408" s="2">
        <v>0</v>
      </c>
      <c r="G408" s="2">
        <v>0.3629</v>
      </c>
      <c r="H408" s="2">
        <v>30.2348</v>
      </c>
      <c r="I408" s="2">
        <v>5.0846</v>
      </c>
      <c r="J408" s="2">
        <v>25.513100000000001</v>
      </c>
      <c r="K408" s="2">
        <v>0</v>
      </c>
      <c r="L408" s="2">
        <v>0</v>
      </c>
    </row>
    <row r="409" spans="1:12" x14ac:dyDescent="0.35">
      <c r="A409" s="3" t="s">
        <v>1292</v>
      </c>
      <c r="B409" s="1" t="str">
        <f t="shared" si="12"/>
        <v>Lago Paranoa</v>
      </c>
      <c r="C409" s="1">
        <f t="shared" si="13"/>
        <v>-1796</v>
      </c>
      <c r="D409" s="2">
        <v>0</v>
      </c>
      <c r="E409" s="2">
        <v>2302.4499999999998</v>
      </c>
      <c r="F409" s="2">
        <v>0.4234</v>
      </c>
      <c r="G409" s="2">
        <v>2.4592000000000001</v>
      </c>
      <c r="H409" s="2">
        <v>3.7477</v>
      </c>
      <c r="I409" s="2">
        <v>1.1172</v>
      </c>
      <c r="J409" s="2">
        <v>4.6664000000000003</v>
      </c>
      <c r="K409" s="2">
        <v>2302.4499999999998</v>
      </c>
      <c r="L409" s="2">
        <v>0</v>
      </c>
    </row>
    <row r="410" spans="1:12" x14ac:dyDescent="0.35">
      <c r="A410" s="3" t="s">
        <v>1293</v>
      </c>
      <c r="B410" s="1" t="str">
        <f t="shared" si="12"/>
        <v>Corumba IV</v>
      </c>
      <c r="C410" s="1">
        <f t="shared" si="13"/>
        <v>-1795</v>
      </c>
      <c r="D410" s="2">
        <v>0</v>
      </c>
      <c r="E410" s="2">
        <v>0</v>
      </c>
      <c r="F410" s="2">
        <v>0</v>
      </c>
      <c r="G410" s="2">
        <v>0.3629</v>
      </c>
      <c r="H410" s="2">
        <v>29.464099999999998</v>
      </c>
      <c r="I410" s="2">
        <v>5.1254</v>
      </c>
      <c r="J410" s="2">
        <v>24.701599999999999</v>
      </c>
      <c r="K410" s="2">
        <v>0</v>
      </c>
      <c r="L410" s="2">
        <v>0</v>
      </c>
    </row>
    <row r="411" spans="1:12" x14ac:dyDescent="0.35">
      <c r="A411" s="3" t="s">
        <v>1294</v>
      </c>
      <c r="B411" s="1" t="str">
        <f t="shared" si="12"/>
        <v>Lago Paranoa</v>
      </c>
      <c r="C411" s="1">
        <f t="shared" si="13"/>
        <v>-1795</v>
      </c>
      <c r="D411" s="2">
        <v>0</v>
      </c>
      <c r="E411" s="2">
        <v>2302.4499999999998</v>
      </c>
      <c r="F411" s="2">
        <v>0.4234</v>
      </c>
      <c r="G411" s="2">
        <v>2.4266999999999999</v>
      </c>
      <c r="H411" s="2">
        <v>3.5078</v>
      </c>
      <c r="I411" s="2">
        <v>1.2323</v>
      </c>
      <c r="J411" s="2">
        <v>4.2788000000000004</v>
      </c>
      <c r="K411" s="2">
        <v>2302.4499999999998</v>
      </c>
      <c r="L411" s="2">
        <v>0</v>
      </c>
    </row>
    <row r="412" spans="1:12" x14ac:dyDescent="0.35">
      <c r="A412" s="3" t="s">
        <v>1295</v>
      </c>
      <c r="B412" s="1" t="str">
        <f t="shared" si="12"/>
        <v>Corumba IV</v>
      </c>
      <c r="C412" s="1">
        <f t="shared" si="13"/>
        <v>-1794</v>
      </c>
      <c r="D412" s="2">
        <v>0</v>
      </c>
      <c r="E412" s="2">
        <v>0</v>
      </c>
      <c r="F412" s="2">
        <v>0</v>
      </c>
      <c r="G412" s="2">
        <v>0.3629</v>
      </c>
      <c r="H412" s="2">
        <v>27.437200000000001</v>
      </c>
      <c r="I412" s="2">
        <v>5.2125000000000004</v>
      </c>
      <c r="J412" s="2">
        <v>22.587499999999999</v>
      </c>
      <c r="K412" s="2">
        <v>0</v>
      </c>
      <c r="L412" s="2">
        <v>0</v>
      </c>
    </row>
    <row r="413" spans="1:12" x14ac:dyDescent="0.35">
      <c r="A413" s="3" t="s">
        <v>1296</v>
      </c>
      <c r="B413" s="1" t="str">
        <f t="shared" si="12"/>
        <v>Lago Paranoa</v>
      </c>
      <c r="C413" s="1">
        <f t="shared" si="13"/>
        <v>-1794</v>
      </c>
      <c r="D413" s="2">
        <v>0</v>
      </c>
      <c r="E413" s="2">
        <v>2302.4499999999998</v>
      </c>
      <c r="F413" s="2">
        <v>0.4234</v>
      </c>
      <c r="G413" s="2">
        <v>2.4163000000000001</v>
      </c>
      <c r="H413" s="2">
        <v>2.9575</v>
      </c>
      <c r="I413" s="2">
        <v>1.3011999999999999</v>
      </c>
      <c r="J413" s="2">
        <v>3.6493000000000002</v>
      </c>
      <c r="K413" s="2">
        <v>2302.4499999999998</v>
      </c>
      <c r="L413" s="2">
        <v>0</v>
      </c>
    </row>
    <row r="414" spans="1:12" x14ac:dyDescent="0.35">
      <c r="A414" s="3" t="s">
        <v>1297</v>
      </c>
      <c r="B414" s="1" t="str">
        <f t="shared" si="12"/>
        <v>Corumba IV</v>
      </c>
      <c r="C414" s="1">
        <f t="shared" si="13"/>
        <v>-1793</v>
      </c>
      <c r="D414" s="2">
        <v>0</v>
      </c>
      <c r="E414" s="2">
        <v>0</v>
      </c>
      <c r="F414" s="2">
        <v>0</v>
      </c>
      <c r="G414" s="2">
        <v>0.3629</v>
      </c>
      <c r="H414" s="2">
        <v>26.212900000000001</v>
      </c>
      <c r="I414" s="2">
        <v>5.2125000000000004</v>
      </c>
      <c r="J414" s="2">
        <v>21.363299999999999</v>
      </c>
      <c r="K414" s="2">
        <v>0</v>
      </c>
      <c r="L414" s="2">
        <v>0</v>
      </c>
    </row>
    <row r="415" spans="1:12" x14ac:dyDescent="0.35">
      <c r="A415" s="3" t="s">
        <v>1298</v>
      </c>
      <c r="B415" s="1" t="str">
        <f t="shared" si="12"/>
        <v>Lago Paranoa</v>
      </c>
      <c r="C415" s="1">
        <f t="shared" si="13"/>
        <v>-1793</v>
      </c>
      <c r="D415" s="2">
        <v>0</v>
      </c>
      <c r="E415" s="2">
        <v>2302.4499999999998</v>
      </c>
      <c r="F415" s="2">
        <v>0.4234</v>
      </c>
      <c r="G415" s="2">
        <v>2.4188999999999998</v>
      </c>
      <c r="H415" s="2">
        <v>2.8961999999999999</v>
      </c>
      <c r="I415" s="2">
        <v>1.3011999999999999</v>
      </c>
      <c r="J415" s="2">
        <v>3.5905999999999998</v>
      </c>
      <c r="K415" s="2">
        <v>2302.4499999999998</v>
      </c>
      <c r="L415" s="2">
        <v>0</v>
      </c>
    </row>
    <row r="416" spans="1:12" x14ac:dyDescent="0.35">
      <c r="A416" s="3" t="s">
        <v>1299</v>
      </c>
      <c r="B416" s="1" t="str">
        <f t="shared" si="12"/>
        <v>Corumba IV</v>
      </c>
      <c r="C416" s="1">
        <f t="shared" si="13"/>
        <v>-1792</v>
      </c>
      <c r="D416" s="2">
        <v>0</v>
      </c>
      <c r="E416" s="2">
        <v>0</v>
      </c>
      <c r="F416" s="2">
        <v>0</v>
      </c>
      <c r="G416" s="2">
        <v>0.3629</v>
      </c>
      <c r="H416" s="2">
        <v>26.098800000000001</v>
      </c>
      <c r="I416" s="2">
        <v>5.2125000000000004</v>
      </c>
      <c r="J416" s="2">
        <v>21.249199999999998</v>
      </c>
      <c r="K416" s="2">
        <v>0</v>
      </c>
      <c r="L416" s="2">
        <v>0</v>
      </c>
    </row>
    <row r="417" spans="1:12" x14ac:dyDescent="0.35">
      <c r="A417" s="3" t="s">
        <v>1300</v>
      </c>
      <c r="B417" s="1" t="str">
        <f t="shared" si="12"/>
        <v>Lago Paranoa</v>
      </c>
      <c r="C417" s="1">
        <f t="shared" si="13"/>
        <v>-1792</v>
      </c>
      <c r="D417" s="2">
        <v>0</v>
      </c>
      <c r="E417" s="2">
        <v>2302.4499999999998</v>
      </c>
      <c r="F417" s="2">
        <v>0.4234</v>
      </c>
      <c r="G417" s="2">
        <v>2.4182000000000001</v>
      </c>
      <c r="H417" s="2">
        <v>2.8269000000000002</v>
      </c>
      <c r="I417" s="2">
        <v>1.3011999999999999</v>
      </c>
      <c r="J417" s="2">
        <v>3.5206</v>
      </c>
      <c r="K417" s="2">
        <v>2302.4499999999998</v>
      </c>
      <c r="L417" s="2">
        <v>0</v>
      </c>
    </row>
    <row r="418" spans="1:12" x14ac:dyDescent="0.35">
      <c r="A418" s="3" t="s">
        <v>1301</v>
      </c>
      <c r="B418" s="1" t="str">
        <f t="shared" si="12"/>
        <v>Corumba IV</v>
      </c>
      <c r="C418" s="1">
        <f t="shared" si="13"/>
        <v>-1791</v>
      </c>
      <c r="D418" s="2">
        <v>0</v>
      </c>
      <c r="E418" s="2">
        <v>0</v>
      </c>
      <c r="F418" s="2">
        <v>0</v>
      </c>
      <c r="G418" s="2">
        <v>0.3629</v>
      </c>
      <c r="H418" s="2">
        <v>31.053899999999999</v>
      </c>
      <c r="I418" s="2">
        <v>5.3914</v>
      </c>
      <c r="J418" s="2">
        <v>26.025300000000001</v>
      </c>
      <c r="K418" s="2">
        <v>0</v>
      </c>
      <c r="L418" s="2">
        <v>0</v>
      </c>
    </row>
    <row r="419" spans="1:12" x14ac:dyDescent="0.35">
      <c r="A419" s="3" t="s">
        <v>1302</v>
      </c>
      <c r="B419" s="1" t="str">
        <f t="shared" si="12"/>
        <v>Lago Paranoa</v>
      </c>
      <c r="C419" s="1">
        <f t="shared" si="13"/>
        <v>-1791</v>
      </c>
      <c r="D419" s="2">
        <v>0</v>
      </c>
      <c r="E419" s="2">
        <v>2302.4499999999998</v>
      </c>
      <c r="F419" s="2">
        <v>0.4234</v>
      </c>
      <c r="G419" s="2">
        <v>2.5550000000000002</v>
      </c>
      <c r="H419" s="2">
        <v>3.23</v>
      </c>
      <c r="I419" s="2">
        <v>1.3206</v>
      </c>
      <c r="J419" s="2">
        <v>4.0410000000000004</v>
      </c>
      <c r="K419" s="2">
        <v>2302.4499999999998</v>
      </c>
      <c r="L419" s="2">
        <v>0</v>
      </c>
    </row>
    <row r="420" spans="1:12" x14ac:dyDescent="0.35">
      <c r="A420" s="3" t="s">
        <v>1303</v>
      </c>
      <c r="B420" s="1" t="str">
        <f t="shared" si="12"/>
        <v>Corumba IV</v>
      </c>
      <c r="C420" s="1">
        <f t="shared" si="13"/>
        <v>-1790</v>
      </c>
      <c r="D420" s="2">
        <v>0</v>
      </c>
      <c r="E420" s="2">
        <v>0</v>
      </c>
      <c r="F420" s="2">
        <v>0</v>
      </c>
      <c r="G420" s="2">
        <v>0.3629</v>
      </c>
      <c r="H420" s="2">
        <v>26.572299999999998</v>
      </c>
      <c r="I420" s="2">
        <v>5.8387000000000002</v>
      </c>
      <c r="J420" s="2">
        <v>21.096499999999999</v>
      </c>
      <c r="K420" s="2">
        <v>0</v>
      </c>
      <c r="L420" s="2">
        <v>0</v>
      </c>
    </row>
    <row r="421" spans="1:12" x14ac:dyDescent="0.35">
      <c r="A421" s="3" t="s">
        <v>1304</v>
      </c>
      <c r="B421" s="1" t="str">
        <f t="shared" si="12"/>
        <v>Lago Paranoa</v>
      </c>
      <c r="C421" s="1">
        <f t="shared" si="13"/>
        <v>-1790</v>
      </c>
      <c r="D421" s="2">
        <v>0</v>
      </c>
      <c r="E421" s="2">
        <v>2302.4499999999998</v>
      </c>
      <c r="F421" s="2">
        <v>0.4234</v>
      </c>
      <c r="G421" s="2">
        <v>2.4996999999999998</v>
      </c>
      <c r="H421" s="2">
        <v>3.0032999999999999</v>
      </c>
      <c r="I421" s="2">
        <v>1.3691</v>
      </c>
      <c r="J421" s="2">
        <v>3.7105999999999999</v>
      </c>
      <c r="K421" s="2">
        <v>2302.4499999999998</v>
      </c>
      <c r="L421" s="2">
        <v>0</v>
      </c>
    </row>
    <row r="422" spans="1:12" x14ac:dyDescent="0.35">
      <c r="A422" s="3" t="s">
        <v>1305</v>
      </c>
      <c r="B422" s="1" t="str">
        <f t="shared" si="12"/>
        <v>Corumba IV</v>
      </c>
      <c r="C422" s="1">
        <f t="shared" si="13"/>
        <v>-1789</v>
      </c>
      <c r="D422" s="2">
        <v>0</v>
      </c>
      <c r="E422" s="2">
        <v>0</v>
      </c>
      <c r="F422" s="2">
        <v>0</v>
      </c>
      <c r="G422" s="2">
        <v>0.3629</v>
      </c>
      <c r="H422" s="2">
        <v>25.7515</v>
      </c>
      <c r="I422" s="2">
        <v>5.8387000000000002</v>
      </c>
      <c r="J422" s="2">
        <v>20.275700000000001</v>
      </c>
      <c r="K422" s="2">
        <v>0</v>
      </c>
      <c r="L422" s="2">
        <v>0</v>
      </c>
    </row>
    <row r="423" spans="1:12" x14ac:dyDescent="0.35">
      <c r="A423" s="3" t="s">
        <v>1306</v>
      </c>
      <c r="B423" s="1" t="str">
        <f t="shared" si="12"/>
        <v>Lago Paranoa</v>
      </c>
      <c r="C423" s="1">
        <f t="shared" si="13"/>
        <v>-1789</v>
      </c>
      <c r="D423" s="2">
        <v>0</v>
      </c>
      <c r="E423" s="2">
        <v>2302.4499999999998</v>
      </c>
      <c r="F423" s="2">
        <v>0.4234</v>
      </c>
      <c r="G423" s="2">
        <v>2.464</v>
      </c>
      <c r="H423" s="2">
        <v>2.8853</v>
      </c>
      <c r="I423" s="2">
        <v>1.3691</v>
      </c>
      <c r="J423" s="2">
        <v>3.5569000000000002</v>
      </c>
      <c r="K423" s="2">
        <v>2302.4499999999998</v>
      </c>
      <c r="L423" s="2">
        <v>0</v>
      </c>
    </row>
    <row r="424" spans="1:12" x14ac:dyDescent="0.35">
      <c r="A424" s="3" t="s">
        <v>1307</v>
      </c>
      <c r="B424" s="1" t="str">
        <f t="shared" si="12"/>
        <v>Corumba IV</v>
      </c>
      <c r="C424" s="1">
        <f t="shared" si="13"/>
        <v>-1788</v>
      </c>
      <c r="D424" s="2">
        <v>0</v>
      </c>
      <c r="E424" s="2">
        <v>0</v>
      </c>
      <c r="F424" s="2">
        <v>0</v>
      </c>
      <c r="G424" s="2">
        <v>0.3629</v>
      </c>
      <c r="H424" s="2">
        <v>24.745799999999999</v>
      </c>
      <c r="I424" s="2">
        <v>5.8387000000000002</v>
      </c>
      <c r="J424" s="2">
        <v>19.27</v>
      </c>
      <c r="K424" s="2">
        <v>0</v>
      </c>
      <c r="L424" s="2">
        <v>0</v>
      </c>
    </row>
    <row r="425" spans="1:12" x14ac:dyDescent="0.35">
      <c r="A425" s="3" t="s">
        <v>1308</v>
      </c>
      <c r="B425" s="1" t="str">
        <f t="shared" si="12"/>
        <v>Lago Paranoa</v>
      </c>
      <c r="C425" s="1">
        <f t="shared" si="13"/>
        <v>-1788</v>
      </c>
      <c r="D425" s="2">
        <v>0</v>
      </c>
      <c r="E425" s="2">
        <v>2302.4499999999998</v>
      </c>
      <c r="F425" s="2">
        <v>0.4234</v>
      </c>
      <c r="G425" s="2">
        <v>2.4622999999999999</v>
      </c>
      <c r="H425" s="2">
        <v>2.8206000000000002</v>
      </c>
      <c r="I425" s="2">
        <v>1.3691</v>
      </c>
      <c r="J425" s="2">
        <v>3.4906000000000001</v>
      </c>
      <c r="K425" s="2">
        <v>2302.4499999999998</v>
      </c>
      <c r="L425" s="2">
        <v>0</v>
      </c>
    </row>
    <row r="426" spans="1:12" x14ac:dyDescent="0.35">
      <c r="A426" s="3" t="s">
        <v>1309</v>
      </c>
      <c r="B426" s="1" t="str">
        <f t="shared" si="12"/>
        <v>Corumba IV</v>
      </c>
      <c r="C426" s="1">
        <f t="shared" si="13"/>
        <v>-1787</v>
      </c>
      <c r="D426" s="2">
        <v>0</v>
      </c>
      <c r="E426" s="2">
        <v>0</v>
      </c>
      <c r="F426" s="2">
        <v>0</v>
      </c>
      <c r="G426" s="2">
        <v>0.3629</v>
      </c>
      <c r="H426" s="2">
        <v>28.309000000000001</v>
      </c>
      <c r="I426" s="2">
        <v>5.8387000000000002</v>
      </c>
      <c r="J426" s="2">
        <v>22.833100000000002</v>
      </c>
      <c r="K426" s="2">
        <v>0</v>
      </c>
      <c r="L426" s="2">
        <v>0</v>
      </c>
    </row>
    <row r="427" spans="1:12" x14ac:dyDescent="0.35">
      <c r="A427" s="3" t="s">
        <v>1310</v>
      </c>
      <c r="B427" s="1" t="str">
        <f t="shared" si="12"/>
        <v>Lago Paranoa</v>
      </c>
      <c r="C427" s="1">
        <f t="shared" si="13"/>
        <v>-1787</v>
      </c>
      <c r="D427" s="2">
        <v>0</v>
      </c>
      <c r="E427" s="2">
        <v>2302.4499999999998</v>
      </c>
      <c r="F427" s="2">
        <v>0.4234</v>
      </c>
      <c r="G427" s="2">
        <v>2.5065</v>
      </c>
      <c r="H427" s="2">
        <v>3.16</v>
      </c>
      <c r="I427" s="2">
        <v>1.3691</v>
      </c>
      <c r="J427" s="2">
        <v>3.8740999999999999</v>
      </c>
      <c r="K427" s="2">
        <v>2302.4499999999998</v>
      </c>
      <c r="L427" s="2">
        <v>0</v>
      </c>
    </row>
    <row r="428" spans="1:12" x14ac:dyDescent="0.35">
      <c r="A428" s="3" t="s">
        <v>1311</v>
      </c>
      <c r="B428" s="1" t="str">
        <f t="shared" si="12"/>
        <v>Corumba IV</v>
      </c>
      <c r="C428" s="1">
        <f t="shared" si="13"/>
        <v>-1786</v>
      </c>
      <c r="D428" s="2">
        <v>0</v>
      </c>
      <c r="E428" s="2">
        <v>0</v>
      </c>
      <c r="F428" s="2">
        <v>0</v>
      </c>
      <c r="G428" s="2">
        <v>0.3629</v>
      </c>
      <c r="H428" s="2">
        <v>27.431999999999999</v>
      </c>
      <c r="I428" s="2">
        <v>5.9363000000000001</v>
      </c>
      <c r="J428" s="2">
        <v>21.858599999999999</v>
      </c>
      <c r="K428" s="2">
        <v>0</v>
      </c>
      <c r="L428" s="2">
        <v>0</v>
      </c>
    </row>
    <row r="429" spans="1:12" x14ac:dyDescent="0.35">
      <c r="A429" s="3" t="s">
        <v>1312</v>
      </c>
      <c r="B429" s="1" t="str">
        <f t="shared" si="12"/>
        <v>Lago Paranoa</v>
      </c>
      <c r="C429" s="1">
        <f t="shared" si="13"/>
        <v>-1786</v>
      </c>
      <c r="D429" s="2">
        <v>0</v>
      </c>
      <c r="E429" s="2">
        <v>2302.4499999999998</v>
      </c>
      <c r="F429" s="2">
        <v>0.4234</v>
      </c>
      <c r="G429" s="2">
        <v>2.4794999999999998</v>
      </c>
      <c r="H429" s="2">
        <v>2.9428999999999998</v>
      </c>
      <c r="I429" s="2">
        <v>1.4882</v>
      </c>
      <c r="J429" s="2">
        <v>3.5108999999999999</v>
      </c>
      <c r="K429" s="2">
        <v>2302.4499999999998</v>
      </c>
      <c r="L429" s="2">
        <v>0</v>
      </c>
    </row>
    <row r="430" spans="1:12" x14ac:dyDescent="0.35">
      <c r="A430" s="3" t="s">
        <v>1313</v>
      </c>
      <c r="B430" s="1" t="str">
        <f t="shared" si="12"/>
        <v>Corumba IV</v>
      </c>
      <c r="C430" s="1">
        <f t="shared" si="13"/>
        <v>-1785</v>
      </c>
      <c r="D430" s="2">
        <v>0</v>
      </c>
      <c r="E430" s="2">
        <v>0</v>
      </c>
      <c r="F430" s="2">
        <v>0</v>
      </c>
      <c r="G430" s="2">
        <v>0.3629</v>
      </c>
      <c r="H430" s="2">
        <v>23.410900000000002</v>
      </c>
      <c r="I430" s="2">
        <v>5.9526000000000003</v>
      </c>
      <c r="J430" s="2">
        <v>17.821300000000001</v>
      </c>
      <c r="K430" s="2">
        <v>0</v>
      </c>
      <c r="L430" s="2">
        <v>0</v>
      </c>
    </row>
    <row r="431" spans="1:12" x14ac:dyDescent="0.35">
      <c r="A431" s="3" t="s">
        <v>1314</v>
      </c>
      <c r="B431" s="1" t="str">
        <f t="shared" si="12"/>
        <v>Lago Paranoa</v>
      </c>
      <c r="C431" s="1">
        <f t="shared" si="13"/>
        <v>-1785</v>
      </c>
      <c r="D431" s="2">
        <v>0</v>
      </c>
      <c r="E431" s="2">
        <v>2302.4499999999998</v>
      </c>
      <c r="F431" s="2">
        <v>0.4234</v>
      </c>
      <c r="G431" s="2">
        <v>2.4782000000000002</v>
      </c>
      <c r="H431" s="2">
        <v>2.6985000000000001</v>
      </c>
      <c r="I431" s="2">
        <v>1.508</v>
      </c>
      <c r="J431" s="2">
        <v>3.2454000000000001</v>
      </c>
      <c r="K431" s="2">
        <v>2302.4499999999998</v>
      </c>
      <c r="L431" s="2">
        <v>0</v>
      </c>
    </row>
    <row r="432" spans="1:12" x14ac:dyDescent="0.35">
      <c r="A432" s="3" t="s">
        <v>1315</v>
      </c>
      <c r="B432" s="1" t="str">
        <f t="shared" si="12"/>
        <v>Corumba IV</v>
      </c>
      <c r="C432" s="1">
        <f t="shared" si="13"/>
        <v>-1784</v>
      </c>
      <c r="D432" s="2">
        <v>0</v>
      </c>
      <c r="E432" s="2">
        <v>0</v>
      </c>
      <c r="F432" s="2">
        <v>0</v>
      </c>
      <c r="G432" s="2">
        <v>0.3629</v>
      </c>
      <c r="H432" s="2">
        <v>21.823799999999999</v>
      </c>
      <c r="I432" s="2">
        <v>5.9526000000000003</v>
      </c>
      <c r="J432" s="2">
        <v>16.234100000000002</v>
      </c>
      <c r="K432" s="2">
        <v>0</v>
      </c>
      <c r="L432" s="2">
        <v>0</v>
      </c>
    </row>
    <row r="433" spans="1:12" x14ac:dyDescent="0.35">
      <c r="A433" s="3" t="s">
        <v>1316</v>
      </c>
      <c r="B433" s="1" t="str">
        <f t="shared" si="12"/>
        <v>Lago Paranoa</v>
      </c>
      <c r="C433" s="1">
        <f t="shared" si="13"/>
        <v>-1784</v>
      </c>
      <c r="D433" s="2">
        <v>0</v>
      </c>
      <c r="E433" s="2">
        <v>2302.4499999999998</v>
      </c>
      <c r="F433" s="2">
        <v>0.4234</v>
      </c>
      <c r="G433" s="2">
        <v>2.4567000000000001</v>
      </c>
      <c r="H433" s="2">
        <v>2.6377000000000002</v>
      </c>
      <c r="I433" s="2">
        <v>1.508</v>
      </c>
      <c r="J433" s="2">
        <v>3.1631</v>
      </c>
      <c r="K433" s="2">
        <v>2302.4499999999998</v>
      </c>
      <c r="L433" s="2">
        <v>0</v>
      </c>
    </row>
    <row r="434" spans="1:12" x14ac:dyDescent="0.35">
      <c r="A434" s="3" t="s">
        <v>1317</v>
      </c>
      <c r="B434" s="1" t="str">
        <f t="shared" si="12"/>
        <v>Corumba IV</v>
      </c>
      <c r="C434" s="1">
        <f t="shared" si="13"/>
        <v>-1783</v>
      </c>
      <c r="D434" s="2">
        <v>0</v>
      </c>
      <c r="E434" s="2">
        <v>0</v>
      </c>
      <c r="F434" s="2">
        <v>0</v>
      </c>
      <c r="G434" s="2">
        <v>0.3629</v>
      </c>
      <c r="H434" s="2">
        <v>20.192499999999999</v>
      </c>
      <c r="I434" s="2">
        <v>5.9526000000000003</v>
      </c>
      <c r="J434" s="2">
        <v>14.6029</v>
      </c>
      <c r="K434" s="2">
        <v>0</v>
      </c>
      <c r="L434" s="2">
        <v>0</v>
      </c>
    </row>
    <row r="435" spans="1:12" x14ac:dyDescent="0.35">
      <c r="A435" s="3" t="s">
        <v>1318</v>
      </c>
      <c r="B435" s="1" t="str">
        <f t="shared" si="12"/>
        <v>Lago Paranoa</v>
      </c>
      <c r="C435" s="1">
        <f t="shared" si="13"/>
        <v>-1783</v>
      </c>
      <c r="D435" s="2">
        <v>0</v>
      </c>
      <c r="E435" s="2">
        <v>2302.4499999999998</v>
      </c>
      <c r="F435" s="2">
        <v>0.4234</v>
      </c>
      <c r="G435" s="2">
        <v>2.4581</v>
      </c>
      <c r="H435" s="2">
        <v>2.5154000000000001</v>
      </c>
      <c r="I435" s="2">
        <v>1.508</v>
      </c>
      <c r="J435" s="2">
        <v>3.0421</v>
      </c>
      <c r="K435" s="2">
        <v>2302.4499999999998</v>
      </c>
      <c r="L435" s="2">
        <v>0</v>
      </c>
    </row>
    <row r="436" spans="1:12" x14ac:dyDescent="0.35">
      <c r="A436" s="3" t="s">
        <v>1319</v>
      </c>
      <c r="B436" s="1" t="str">
        <f t="shared" si="12"/>
        <v>Corumba IV</v>
      </c>
      <c r="C436" s="1">
        <f t="shared" si="13"/>
        <v>-1782</v>
      </c>
      <c r="D436" s="2">
        <v>0</v>
      </c>
      <c r="E436" s="2">
        <v>0</v>
      </c>
      <c r="F436" s="2">
        <v>0</v>
      </c>
      <c r="G436" s="2">
        <v>0.3629</v>
      </c>
      <c r="H436" s="2">
        <v>19.637</v>
      </c>
      <c r="I436" s="2">
        <v>5.9593999999999996</v>
      </c>
      <c r="J436" s="2">
        <v>14.0405</v>
      </c>
      <c r="K436" s="2">
        <v>0</v>
      </c>
      <c r="L436" s="2">
        <v>0</v>
      </c>
    </row>
    <row r="437" spans="1:12" x14ac:dyDescent="0.35">
      <c r="A437" s="3" t="s">
        <v>1320</v>
      </c>
      <c r="B437" s="1" t="str">
        <f t="shared" si="12"/>
        <v>Lago Paranoa</v>
      </c>
      <c r="C437" s="1">
        <f t="shared" si="13"/>
        <v>-1782</v>
      </c>
      <c r="D437" s="2">
        <v>0</v>
      </c>
      <c r="E437" s="2">
        <v>2302.4499999999998</v>
      </c>
      <c r="F437" s="2">
        <v>0.4234</v>
      </c>
      <c r="G437" s="2">
        <v>2.4592000000000001</v>
      </c>
      <c r="H437" s="2">
        <v>2.5272000000000001</v>
      </c>
      <c r="I437" s="2">
        <v>1.4726999999999999</v>
      </c>
      <c r="J437" s="2">
        <v>3.0903999999999998</v>
      </c>
      <c r="K437" s="2">
        <v>2302.4499999999998</v>
      </c>
      <c r="L437" s="2">
        <v>0</v>
      </c>
    </row>
    <row r="438" spans="1:12" x14ac:dyDescent="0.35">
      <c r="A438" s="3" t="s">
        <v>1321</v>
      </c>
      <c r="B438" s="1" t="str">
        <f t="shared" si="12"/>
        <v>Corumba IV</v>
      </c>
      <c r="C438" s="1">
        <f t="shared" si="13"/>
        <v>-1781</v>
      </c>
      <c r="D438" s="2">
        <v>0</v>
      </c>
      <c r="E438" s="2">
        <v>0</v>
      </c>
      <c r="F438" s="2">
        <v>0</v>
      </c>
      <c r="G438" s="2">
        <v>0.3629</v>
      </c>
      <c r="H438" s="2">
        <v>19.272400000000001</v>
      </c>
      <c r="I438" s="2">
        <v>5.9645000000000001</v>
      </c>
      <c r="J438" s="2">
        <v>13.6707</v>
      </c>
      <c r="K438" s="2">
        <v>0</v>
      </c>
      <c r="L438" s="2">
        <v>0</v>
      </c>
    </row>
    <row r="439" spans="1:12" x14ac:dyDescent="0.35">
      <c r="A439" s="3" t="s">
        <v>1322</v>
      </c>
      <c r="B439" s="1" t="str">
        <f t="shared" si="12"/>
        <v>Lago Paranoa</v>
      </c>
      <c r="C439" s="1">
        <f t="shared" si="13"/>
        <v>-1781</v>
      </c>
      <c r="D439" s="2">
        <v>0</v>
      </c>
      <c r="E439" s="2">
        <v>2302.4499999999998</v>
      </c>
      <c r="F439" s="2">
        <v>0.4234</v>
      </c>
      <c r="G439" s="2">
        <v>2.4603999999999999</v>
      </c>
      <c r="H439" s="2">
        <v>2.5038999999999998</v>
      </c>
      <c r="I439" s="2">
        <v>1.4461999999999999</v>
      </c>
      <c r="J439" s="2">
        <v>3.0948000000000002</v>
      </c>
      <c r="K439" s="2">
        <v>2302.4499999999998</v>
      </c>
      <c r="L439" s="2">
        <v>0</v>
      </c>
    </row>
    <row r="440" spans="1:12" x14ac:dyDescent="0.35">
      <c r="A440" s="3" t="s">
        <v>1323</v>
      </c>
      <c r="B440" s="1" t="str">
        <f t="shared" si="12"/>
        <v>Corumba IV</v>
      </c>
      <c r="C440" s="1">
        <f t="shared" si="13"/>
        <v>-1780</v>
      </c>
      <c r="D440" s="2">
        <v>0</v>
      </c>
      <c r="E440" s="2">
        <v>0</v>
      </c>
      <c r="F440" s="2">
        <v>0</v>
      </c>
      <c r="G440" s="2">
        <v>0.3629</v>
      </c>
      <c r="H440" s="2">
        <v>19.777000000000001</v>
      </c>
      <c r="I440" s="2">
        <v>5.9645000000000001</v>
      </c>
      <c r="J440" s="2">
        <v>14.1753</v>
      </c>
      <c r="K440" s="2">
        <v>0</v>
      </c>
      <c r="L440" s="2">
        <v>0</v>
      </c>
    </row>
    <row r="441" spans="1:12" x14ac:dyDescent="0.35">
      <c r="A441" s="3" t="s">
        <v>1324</v>
      </c>
      <c r="B441" s="1" t="str">
        <f t="shared" si="12"/>
        <v>Lago Paranoa</v>
      </c>
      <c r="C441" s="1">
        <f t="shared" si="13"/>
        <v>-1780</v>
      </c>
      <c r="D441" s="2">
        <v>0</v>
      </c>
      <c r="E441" s="2">
        <v>2302.4499999999998</v>
      </c>
      <c r="F441" s="2">
        <v>0.4234</v>
      </c>
      <c r="G441" s="2">
        <v>2.4961000000000002</v>
      </c>
      <c r="H441" s="2">
        <v>3.2863000000000002</v>
      </c>
      <c r="I441" s="2">
        <v>1.4461999999999999</v>
      </c>
      <c r="J441" s="2">
        <v>3.9127999999999998</v>
      </c>
      <c r="K441" s="2">
        <v>2302.4499999999998</v>
      </c>
      <c r="L441" s="2">
        <v>0</v>
      </c>
    </row>
    <row r="442" spans="1:12" x14ac:dyDescent="0.35">
      <c r="A442" s="3" t="s">
        <v>1325</v>
      </c>
      <c r="B442" s="1" t="str">
        <f t="shared" si="12"/>
        <v>Corumba IV</v>
      </c>
      <c r="C442" s="1">
        <f t="shared" si="13"/>
        <v>-1779</v>
      </c>
      <c r="D442" s="2">
        <v>0</v>
      </c>
      <c r="E442" s="2">
        <v>0</v>
      </c>
      <c r="F442" s="2">
        <v>0</v>
      </c>
      <c r="G442" s="2">
        <v>0.3629</v>
      </c>
      <c r="H442" s="2">
        <v>23.061</v>
      </c>
      <c r="I442" s="2">
        <v>5.9645000000000001</v>
      </c>
      <c r="J442" s="2">
        <v>17.459399999999999</v>
      </c>
      <c r="K442" s="2">
        <v>0</v>
      </c>
      <c r="L442" s="2">
        <v>0</v>
      </c>
    </row>
    <row r="443" spans="1:12" x14ac:dyDescent="0.35">
      <c r="A443" s="3" t="s">
        <v>1326</v>
      </c>
      <c r="B443" s="1" t="str">
        <f t="shared" si="12"/>
        <v>Lago Paranoa</v>
      </c>
      <c r="C443" s="1">
        <f t="shared" si="13"/>
        <v>-1779</v>
      </c>
      <c r="D443" s="2">
        <v>0</v>
      </c>
      <c r="E443" s="2">
        <v>2302.4499999999998</v>
      </c>
      <c r="F443" s="2">
        <v>0.4234</v>
      </c>
      <c r="G443" s="2">
        <v>2.5068999999999999</v>
      </c>
      <c r="H443" s="2">
        <v>2.8332000000000002</v>
      </c>
      <c r="I443" s="2">
        <v>1.4461999999999999</v>
      </c>
      <c r="J443" s="2">
        <v>3.4704999999999999</v>
      </c>
      <c r="K443" s="2">
        <v>2302.4499999999998</v>
      </c>
      <c r="L443" s="2">
        <v>0</v>
      </c>
    </row>
    <row r="444" spans="1:12" x14ac:dyDescent="0.35">
      <c r="A444" s="3" t="s">
        <v>1327</v>
      </c>
      <c r="B444" s="1" t="str">
        <f t="shared" si="12"/>
        <v>Corumba IV</v>
      </c>
      <c r="C444" s="1">
        <f t="shared" si="13"/>
        <v>-1778</v>
      </c>
      <c r="D444" s="2">
        <v>0</v>
      </c>
      <c r="E444" s="2">
        <v>0</v>
      </c>
      <c r="F444" s="2">
        <v>0</v>
      </c>
      <c r="G444" s="2">
        <v>0.3629</v>
      </c>
      <c r="H444" s="2">
        <v>26.072900000000001</v>
      </c>
      <c r="I444" s="2">
        <v>5.8334999999999999</v>
      </c>
      <c r="J444" s="2">
        <v>20.6023</v>
      </c>
      <c r="K444" s="2">
        <v>0</v>
      </c>
      <c r="L444" s="2">
        <v>0</v>
      </c>
    </row>
    <row r="445" spans="1:12" x14ac:dyDescent="0.35">
      <c r="A445" s="3" t="s">
        <v>1328</v>
      </c>
      <c r="B445" s="1" t="str">
        <f t="shared" si="12"/>
        <v>Lago Paranoa</v>
      </c>
      <c r="C445" s="1">
        <f t="shared" si="13"/>
        <v>-1778</v>
      </c>
      <c r="D445" s="2">
        <v>0</v>
      </c>
      <c r="E445" s="2">
        <v>2302.4499999999998</v>
      </c>
      <c r="F445" s="2">
        <v>0.4234</v>
      </c>
      <c r="G445" s="2">
        <v>2.6423000000000001</v>
      </c>
      <c r="H445" s="2">
        <v>3.5626000000000002</v>
      </c>
      <c r="I445" s="2">
        <v>1.4222999999999999</v>
      </c>
      <c r="J445" s="2">
        <v>4.3593000000000002</v>
      </c>
      <c r="K445" s="2">
        <v>2302.4499999999998</v>
      </c>
      <c r="L445" s="2">
        <v>0</v>
      </c>
    </row>
    <row r="446" spans="1:12" x14ac:dyDescent="0.35">
      <c r="A446" s="3" t="s">
        <v>1329</v>
      </c>
      <c r="B446" s="1" t="str">
        <f t="shared" si="12"/>
        <v>Corumba IV</v>
      </c>
      <c r="C446" s="1">
        <f t="shared" si="13"/>
        <v>-1777</v>
      </c>
      <c r="D446" s="2">
        <v>0</v>
      </c>
      <c r="E446" s="2">
        <v>0</v>
      </c>
      <c r="F446" s="2">
        <v>0</v>
      </c>
      <c r="G446" s="2">
        <v>0.3629</v>
      </c>
      <c r="H446" s="2">
        <v>22.700700000000001</v>
      </c>
      <c r="I446" s="2">
        <v>5.0472000000000001</v>
      </c>
      <c r="J446" s="2">
        <v>18.016400000000001</v>
      </c>
      <c r="K446" s="2">
        <v>0</v>
      </c>
      <c r="L446" s="2">
        <v>0</v>
      </c>
    </row>
    <row r="447" spans="1:12" x14ac:dyDescent="0.35">
      <c r="A447" s="3" t="s">
        <v>1330</v>
      </c>
      <c r="B447" s="1" t="str">
        <f t="shared" si="12"/>
        <v>Lago Paranoa</v>
      </c>
      <c r="C447" s="1">
        <f t="shared" si="13"/>
        <v>-1777</v>
      </c>
      <c r="D447" s="2">
        <v>0</v>
      </c>
      <c r="E447" s="2">
        <v>2302.4499999999998</v>
      </c>
      <c r="F447" s="2">
        <v>0.4234</v>
      </c>
      <c r="G447" s="2">
        <v>2.5449999999999999</v>
      </c>
      <c r="H447" s="2">
        <v>3.7183999999999999</v>
      </c>
      <c r="I447" s="2">
        <v>1.2786999999999999</v>
      </c>
      <c r="J447" s="2">
        <v>4.5613000000000001</v>
      </c>
      <c r="K447" s="2">
        <v>2302.4499999999998</v>
      </c>
      <c r="L447" s="2">
        <v>0</v>
      </c>
    </row>
    <row r="448" spans="1:12" x14ac:dyDescent="0.35">
      <c r="A448" s="3" t="s">
        <v>1331</v>
      </c>
      <c r="B448" s="1" t="str">
        <f t="shared" si="12"/>
        <v>Corumba IV</v>
      </c>
      <c r="C448" s="1">
        <f t="shared" si="13"/>
        <v>-1776</v>
      </c>
      <c r="D448" s="2">
        <v>0</v>
      </c>
      <c r="E448" s="2">
        <v>0</v>
      </c>
      <c r="F448" s="2">
        <v>0</v>
      </c>
      <c r="G448" s="2">
        <v>0.3629</v>
      </c>
      <c r="H448" s="2">
        <v>24.631799999999998</v>
      </c>
      <c r="I448" s="2">
        <v>3.3622000000000001</v>
      </c>
      <c r="J448" s="2">
        <v>21.6325</v>
      </c>
      <c r="K448" s="2">
        <v>0</v>
      </c>
      <c r="L448" s="2">
        <v>0</v>
      </c>
    </row>
    <row r="449" spans="1:12" x14ac:dyDescent="0.35">
      <c r="A449" s="3" t="s">
        <v>1332</v>
      </c>
      <c r="B449" s="1" t="str">
        <f t="shared" si="12"/>
        <v>Lago Paranoa</v>
      </c>
      <c r="C449" s="1">
        <f t="shared" si="13"/>
        <v>-1776</v>
      </c>
      <c r="D449" s="2">
        <v>0</v>
      </c>
      <c r="E449" s="2">
        <v>2302.4499999999998</v>
      </c>
      <c r="F449" s="2">
        <v>0.4234</v>
      </c>
      <c r="G449" s="2">
        <v>2.4348999999999998</v>
      </c>
      <c r="H449" s="2">
        <v>3.4725999999999999</v>
      </c>
      <c r="I449" s="2">
        <v>0.8538</v>
      </c>
      <c r="J449" s="2">
        <v>4.6303999999999998</v>
      </c>
      <c r="K449" s="2">
        <v>2302.4499999999998</v>
      </c>
      <c r="L449" s="2">
        <v>0</v>
      </c>
    </row>
    <row r="450" spans="1:12" x14ac:dyDescent="0.35">
      <c r="A450" s="3" t="s">
        <v>1333</v>
      </c>
      <c r="B450" s="1" t="str">
        <f t="shared" si="12"/>
        <v>Corumba IV</v>
      </c>
      <c r="C450" s="1">
        <f t="shared" si="13"/>
        <v>-1775</v>
      </c>
      <c r="D450" s="2">
        <v>0</v>
      </c>
      <c r="E450" s="2">
        <v>0</v>
      </c>
      <c r="F450" s="2">
        <v>0</v>
      </c>
      <c r="G450" s="2">
        <v>0.3629</v>
      </c>
      <c r="H450" s="2">
        <v>27.9435</v>
      </c>
      <c r="I450" s="2">
        <v>3.3622000000000001</v>
      </c>
      <c r="J450" s="2">
        <v>24.944199999999999</v>
      </c>
      <c r="K450" s="2">
        <v>0</v>
      </c>
      <c r="L450" s="2">
        <v>0</v>
      </c>
    </row>
    <row r="451" spans="1:12" x14ac:dyDescent="0.35">
      <c r="A451" s="3" t="s">
        <v>1334</v>
      </c>
      <c r="B451" s="1" t="str">
        <f t="shared" ref="B451:B508" si="14">_xlfn.TEXTBEFORE(_xlfn.TEXTAFTER(A451,"["),"]")</f>
        <v>Lago Paranoa</v>
      </c>
      <c r="C451" s="1">
        <f t="shared" si="13"/>
        <v>-1775</v>
      </c>
      <c r="D451" s="2">
        <v>0</v>
      </c>
      <c r="E451" s="2">
        <v>2302.4499999999998</v>
      </c>
      <c r="F451" s="2">
        <v>0.4234</v>
      </c>
      <c r="G451" s="2">
        <v>2.6734</v>
      </c>
      <c r="H451" s="2">
        <v>5.0315000000000003</v>
      </c>
      <c r="I451" s="2">
        <v>0.8538</v>
      </c>
      <c r="J451" s="2">
        <v>6.4278000000000004</v>
      </c>
      <c r="K451" s="2">
        <v>2302.4499999999998</v>
      </c>
      <c r="L451" s="2">
        <v>0</v>
      </c>
    </row>
    <row r="452" spans="1:12" x14ac:dyDescent="0.35">
      <c r="A452" s="3" t="s">
        <v>1335</v>
      </c>
      <c r="B452" s="1" t="str">
        <f t="shared" si="14"/>
        <v>Corumba IV</v>
      </c>
      <c r="C452" s="1">
        <f t="shared" ref="C452:C508" si="15">--_xlfn.TEXTBEFORE(_xlfn.TEXTAFTER(A452,"Week "),":")</f>
        <v>-1774</v>
      </c>
      <c r="D452" s="2">
        <v>0</v>
      </c>
      <c r="E452" s="2">
        <v>0</v>
      </c>
      <c r="F452" s="2">
        <v>0</v>
      </c>
      <c r="G452" s="2">
        <v>0.3629</v>
      </c>
      <c r="H452" s="2">
        <v>21.721</v>
      </c>
      <c r="I452" s="2">
        <v>3.3622000000000001</v>
      </c>
      <c r="J452" s="2">
        <v>18.721599999999999</v>
      </c>
      <c r="K452" s="2">
        <v>0</v>
      </c>
      <c r="L452" s="2">
        <v>0</v>
      </c>
    </row>
    <row r="453" spans="1:12" x14ac:dyDescent="0.35">
      <c r="A453" s="3" t="s">
        <v>1336</v>
      </c>
      <c r="B453" s="1" t="str">
        <f t="shared" si="14"/>
        <v>Lago Paranoa</v>
      </c>
      <c r="C453" s="1">
        <f t="shared" si="15"/>
        <v>-1774</v>
      </c>
      <c r="D453" s="2">
        <v>0</v>
      </c>
      <c r="E453" s="2">
        <v>2302.4499999999998</v>
      </c>
      <c r="F453" s="2">
        <v>0.4234</v>
      </c>
      <c r="G453" s="2">
        <v>2.5002</v>
      </c>
      <c r="H453" s="2">
        <v>3.6915</v>
      </c>
      <c r="I453" s="2">
        <v>0.8538</v>
      </c>
      <c r="J453" s="2">
        <v>4.9145000000000003</v>
      </c>
      <c r="K453" s="2">
        <v>2302.4499999999998</v>
      </c>
      <c r="L453" s="2">
        <v>0</v>
      </c>
    </row>
    <row r="454" spans="1:12" x14ac:dyDescent="0.35">
      <c r="A454" s="3" t="s">
        <v>1337</v>
      </c>
      <c r="B454" s="1" t="str">
        <f t="shared" si="14"/>
        <v>Corumba IV</v>
      </c>
      <c r="C454" s="1">
        <f t="shared" si="15"/>
        <v>-1773</v>
      </c>
      <c r="D454" s="2">
        <v>0</v>
      </c>
      <c r="E454" s="2">
        <v>0</v>
      </c>
      <c r="F454" s="2">
        <v>0</v>
      </c>
      <c r="G454" s="2">
        <v>0.3629</v>
      </c>
      <c r="H454" s="2">
        <v>25.6919</v>
      </c>
      <c r="I454" s="2">
        <v>4.2850000000000001</v>
      </c>
      <c r="J454" s="2">
        <v>21.7698</v>
      </c>
      <c r="K454" s="2">
        <v>0</v>
      </c>
      <c r="L454" s="2">
        <v>0</v>
      </c>
    </row>
    <row r="455" spans="1:12" x14ac:dyDescent="0.35">
      <c r="A455" s="3" t="s">
        <v>1338</v>
      </c>
      <c r="B455" s="1" t="str">
        <f t="shared" si="14"/>
        <v>Lago Paranoa</v>
      </c>
      <c r="C455" s="1">
        <f t="shared" si="15"/>
        <v>-1773</v>
      </c>
      <c r="D455" s="2">
        <v>0</v>
      </c>
      <c r="E455" s="2">
        <v>2302.4499999999998</v>
      </c>
      <c r="F455" s="2">
        <v>0.4234</v>
      </c>
      <c r="G455" s="2">
        <v>2.5453000000000001</v>
      </c>
      <c r="H455" s="2">
        <v>4.4576000000000002</v>
      </c>
      <c r="I455" s="2">
        <v>1.1063000000000001</v>
      </c>
      <c r="J455" s="2">
        <v>5.4733000000000001</v>
      </c>
      <c r="K455" s="2">
        <v>2302.4499999999998</v>
      </c>
      <c r="L455" s="2">
        <v>0</v>
      </c>
    </row>
    <row r="456" spans="1:12" x14ac:dyDescent="0.35">
      <c r="A456" s="3" t="s">
        <v>1339</v>
      </c>
      <c r="B456" s="1" t="str">
        <f t="shared" si="14"/>
        <v>Corumba IV</v>
      </c>
      <c r="C456" s="1">
        <f t="shared" si="15"/>
        <v>-1772</v>
      </c>
      <c r="D456" s="2">
        <v>0</v>
      </c>
      <c r="E456" s="2">
        <v>0</v>
      </c>
      <c r="F456" s="2">
        <v>0</v>
      </c>
      <c r="G456" s="2">
        <v>0.3629</v>
      </c>
      <c r="H456" s="2">
        <v>37.034500000000001</v>
      </c>
      <c r="I456" s="2">
        <v>4.0702999999999996</v>
      </c>
      <c r="J456" s="2">
        <v>33.327100000000002</v>
      </c>
      <c r="K456" s="2">
        <v>0</v>
      </c>
      <c r="L456" s="2">
        <v>0</v>
      </c>
    </row>
    <row r="457" spans="1:12" x14ac:dyDescent="0.35">
      <c r="A457" s="3" t="s">
        <v>1340</v>
      </c>
      <c r="B457" s="1" t="str">
        <f t="shared" si="14"/>
        <v>Lago Paranoa</v>
      </c>
      <c r="C457" s="1">
        <f t="shared" si="15"/>
        <v>-1772</v>
      </c>
      <c r="D457" s="2">
        <v>0</v>
      </c>
      <c r="E457" s="2">
        <v>2302.4499999999998</v>
      </c>
      <c r="F457" s="2">
        <v>0.4234</v>
      </c>
      <c r="G457" s="2">
        <v>2.431</v>
      </c>
      <c r="H457" s="2">
        <v>4.7047999999999996</v>
      </c>
      <c r="I457" s="2">
        <v>1.0210999999999999</v>
      </c>
      <c r="J457" s="2">
        <v>5.6913</v>
      </c>
      <c r="K457" s="2">
        <v>2302.4499999999998</v>
      </c>
      <c r="L457" s="2">
        <v>0</v>
      </c>
    </row>
    <row r="458" spans="1:12" x14ac:dyDescent="0.35">
      <c r="A458" s="3" t="s">
        <v>1341</v>
      </c>
      <c r="B458" s="1" t="str">
        <f t="shared" si="14"/>
        <v>Corumba IV</v>
      </c>
      <c r="C458" s="1">
        <f t="shared" si="15"/>
        <v>-1771</v>
      </c>
      <c r="D458" s="2">
        <v>0</v>
      </c>
      <c r="E458" s="2">
        <v>0</v>
      </c>
      <c r="F458" s="2">
        <v>0</v>
      </c>
      <c r="G458" s="2">
        <v>0.3629</v>
      </c>
      <c r="H458" s="2">
        <v>35.586399999999998</v>
      </c>
      <c r="I458" s="2">
        <v>4.0088999999999997</v>
      </c>
      <c r="J458" s="2">
        <v>31.9404</v>
      </c>
      <c r="K458" s="2">
        <v>0</v>
      </c>
      <c r="L458" s="2">
        <v>0</v>
      </c>
    </row>
    <row r="459" spans="1:12" x14ac:dyDescent="0.35">
      <c r="A459" s="3" t="s">
        <v>1342</v>
      </c>
      <c r="B459" s="1" t="str">
        <f t="shared" si="14"/>
        <v>Lago Paranoa</v>
      </c>
      <c r="C459" s="1">
        <f t="shared" si="15"/>
        <v>-1771</v>
      </c>
      <c r="D459" s="2">
        <v>0</v>
      </c>
      <c r="E459" s="2">
        <v>2302.4499999999998</v>
      </c>
      <c r="F459" s="2">
        <v>0.4234</v>
      </c>
      <c r="G459" s="2">
        <v>2.4384999999999999</v>
      </c>
      <c r="H459" s="2">
        <v>4.6539999999999999</v>
      </c>
      <c r="I459" s="2">
        <v>0.99990000000000001</v>
      </c>
      <c r="J459" s="2">
        <v>5.6692999999999998</v>
      </c>
      <c r="K459" s="2">
        <v>2302.4499999999998</v>
      </c>
      <c r="L459" s="2">
        <v>0</v>
      </c>
    </row>
    <row r="460" spans="1:12" x14ac:dyDescent="0.35">
      <c r="A460" s="3" t="s">
        <v>1343</v>
      </c>
      <c r="B460" s="1" t="str">
        <f t="shared" si="14"/>
        <v>Corumba IV</v>
      </c>
      <c r="C460" s="1">
        <f t="shared" si="15"/>
        <v>-1770</v>
      </c>
      <c r="D460" s="2">
        <v>0</v>
      </c>
      <c r="E460" s="2">
        <v>0</v>
      </c>
      <c r="F460" s="2">
        <v>0</v>
      </c>
      <c r="G460" s="2">
        <v>0.3629</v>
      </c>
      <c r="H460" s="2">
        <v>37.870800000000003</v>
      </c>
      <c r="I460" s="2">
        <v>4.0088999999999997</v>
      </c>
      <c r="J460" s="2">
        <v>34.224800000000002</v>
      </c>
      <c r="K460" s="2">
        <v>0</v>
      </c>
      <c r="L460" s="2">
        <v>0</v>
      </c>
    </row>
    <row r="461" spans="1:12" x14ac:dyDescent="0.35">
      <c r="A461" s="3" t="s">
        <v>1344</v>
      </c>
      <c r="B461" s="1" t="str">
        <f t="shared" si="14"/>
        <v>Lago Paranoa</v>
      </c>
      <c r="C461" s="1">
        <f t="shared" si="15"/>
        <v>-1770</v>
      </c>
      <c r="D461" s="2">
        <v>0</v>
      </c>
      <c r="E461" s="2">
        <v>2302.4499999999998</v>
      </c>
      <c r="F461" s="2">
        <v>0.4234</v>
      </c>
      <c r="G461" s="2">
        <v>2.4378000000000002</v>
      </c>
      <c r="H461" s="2">
        <v>4.3535000000000004</v>
      </c>
      <c r="I461" s="2">
        <v>0.99990000000000001</v>
      </c>
      <c r="J461" s="2">
        <v>5.3680000000000003</v>
      </c>
      <c r="K461" s="2">
        <v>2302.4499999999998</v>
      </c>
      <c r="L461" s="2">
        <v>0</v>
      </c>
    </row>
    <row r="462" spans="1:12" x14ac:dyDescent="0.35">
      <c r="A462" s="3" t="s">
        <v>1345</v>
      </c>
      <c r="B462" s="1" t="str">
        <f t="shared" si="14"/>
        <v>Corumba IV</v>
      </c>
      <c r="C462" s="1">
        <f t="shared" si="15"/>
        <v>-1769</v>
      </c>
      <c r="D462" s="2">
        <v>0</v>
      </c>
      <c r="E462" s="2">
        <v>0</v>
      </c>
      <c r="F462" s="2">
        <v>0</v>
      </c>
      <c r="G462" s="2">
        <v>0.3629</v>
      </c>
      <c r="H462" s="2">
        <v>32.880400000000002</v>
      </c>
      <c r="I462" s="2">
        <v>4.2026000000000003</v>
      </c>
      <c r="J462" s="2">
        <v>29.040700000000001</v>
      </c>
      <c r="K462" s="2">
        <v>0</v>
      </c>
      <c r="L462" s="2">
        <v>0</v>
      </c>
    </row>
    <row r="463" spans="1:12" x14ac:dyDescent="0.35">
      <c r="A463" s="3" t="s">
        <v>1346</v>
      </c>
      <c r="B463" s="1" t="str">
        <f t="shared" si="14"/>
        <v>Lago Paranoa</v>
      </c>
      <c r="C463" s="1">
        <f t="shared" si="15"/>
        <v>-1769</v>
      </c>
      <c r="D463" s="2">
        <v>0</v>
      </c>
      <c r="E463" s="2">
        <v>2302.4499999999998</v>
      </c>
      <c r="F463" s="2">
        <v>0.4234</v>
      </c>
      <c r="G463" s="2">
        <v>3.1404999999999998</v>
      </c>
      <c r="H463" s="2">
        <v>7.2081</v>
      </c>
      <c r="I463" s="2">
        <v>1.1649</v>
      </c>
      <c r="J463" s="2">
        <v>8.7603000000000009</v>
      </c>
      <c r="K463" s="2">
        <v>2302.4499999999998</v>
      </c>
      <c r="L463" s="2">
        <v>0</v>
      </c>
    </row>
    <row r="464" spans="1:12" x14ac:dyDescent="0.35">
      <c r="A464" s="3" t="s">
        <v>1139</v>
      </c>
      <c r="B464" s="1" t="str">
        <f t="shared" si="14"/>
        <v>Corumba IV</v>
      </c>
      <c r="C464" s="1">
        <f t="shared" si="15"/>
        <v>-1768</v>
      </c>
      <c r="D464" s="2">
        <v>0</v>
      </c>
      <c r="E464" s="2">
        <v>0</v>
      </c>
      <c r="F464" s="2">
        <v>0</v>
      </c>
      <c r="G464" s="2">
        <v>0.3629</v>
      </c>
      <c r="H464" s="2">
        <v>66.254999999999995</v>
      </c>
      <c r="I464" s="2">
        <v>4.4607999999999999</v>
      </c>
      <c r="J464" s="2">
        <v>62.156999999999996</v>
      </c>
      <c r="K464" s="2">
        <v>0</v>
      </c>
      <c r="L464" s="2">
        <v>0</v>
      </c>
    </row>
    <row r="465" spans="1:12" x14ac:dyDescent="0.35">
      <c r="A465" s="3" t="s">
        <v>1140</v>
      </c>
      <c r="B465" s="1" t="str">
        <f t="shared" si="14"/>
        <v>Lago Paranoa</v>
      </c>
      <c r="C465" s="1">
        <f t="shared" si="15"/>
        <v>-1768</v>
      </c>
      <c r="D465" s="2">
        <v>0</v>
      </c>
      <c r="E465" s="2">
        <v>2302.4499999999998</v>
      </c>
      <c r="F465" s="2">
        <v>0.4234</v>
      </c>
      <c r="G465" s="2">
        <v>2.6482999999999999</v>
      </c>
      <c r="H465" s="2">
        <v>5.3894000000000002</v>
      </c>
      <c r="I465" s="2">
        <v>1.3848</v>
      </c>
      <c r="J465" s="2">
        <v>6.2294999999999998</v>
      </c>
      <c r="K465" s="2">
        <v>2302.4499999999998</v>
      </c>
      <c r="L465" s="2">
        <v>0</v>
      </c>
    </row>
    <row r="466" spans="1:12" x14ac:dyDescent="0.35">
      <c r="A466" s="3" t="s">
        <v>1141</v>
      </c>
      <c r="B466" s="1" t="str">
        <f t="shared" si="14"/>
        <v>Corumba IV</v>
      </c>
      <c r="C466" s="1">
        <f t="shared" si="15"/>
        <v>-1767</v>
      </c>
      <c r="D466" s="2">
        <v>0</v>
      </c>
      <c r="E466" s="2">
        <v>0</v>
      </c>
      <c r="F466" s="2">
        <v>0</v>
      </c>
      <c r="G466" s="2">
        <v>0.3629</v>
      </c>
      <c r="H466" s="2">
        <v>77.116299999999995</v>
      </c>
      <c r="I466" s="2">
        <v>4.4607999999999999</v>
      </c>
      <c r="J466" s="2">
        <v>73.0184</v>
      </c>
      <c r="K466" s="2">
        <v>0</v>
      </c>
      <c r="L466" s="2">
        <v>0</v>
      </c>
    </row>
    <row r="467" spans="1:12" x14ac:dyDescent="0.35">
      <c r="A467" s="3" t="s">
        <v>1142</v>
      </c>
      <c r="B467" s="1" t="str">
        <f t="shared" si="14"/>
        <v>Lago Paranoa</v>
      </c>
      <c r="C467" s="1">
        <f t="shared" si="15"/>
        <v>-1767</v>
      </c>
      <c r="D467" s="2">
        <v>0</v>
      </c>
      <c r="E467" s="2">
        <v>2302.4499999999998</v>
      </c>
      <c r="F467" s="2">
        <v>0.4234</v>
      </c>
      <c r="G467" s="2">
        <v>3.0708000000000002</v>
      </c>
      <c r="H467" s="2">
        <v>6.1628999999999996</v>
      </c>
      <c r="I467" s="2">
        <v>1.3848</v>
      </c>
      <c r="J467" s="2">
        <v>7.4255000000000004</v>
      </c>
      <c r="K467" s="2">
        <v>2302.4499999999998</v>
      </c>
      <c r="L467" s="2">
        <v>0</v>
      </c>
    </row>
    <row r="468" spans="1:12" x14ac:dyDescent="0.35">
      <c r="A468" s="3" t="s">
        <v>1143</v>
      </c>
      <c r="B468" s="1" t="str">
        <f t="shared" si="14"/>
        <v>Corumba IV</v>
      </c>
      <c r="C468" s="1">
        <f t="shared" si="15"/>
        <v>-1766</v>
      </c>
      <c r="D468" s="2">
        <v>0</v>
      </c>
      <c r="E468" s="2">
        <v>0</v>
      </c>
      <c r="F468" s="2">
        <v>0</v>
      </c>
      <c r="G468" s="2">
        <v>0.3629</v>
      </c>
      <c r="H468" s="2">
        <v>79.023200000000003</v>
      </c>
      <c r="I468" s="2">
        <v>4.4607999999999999</v>
      </c>
      <c r="J468" s="2">
        <v>74.925200000000004</v>
      </c>
      <c r="K468" s="2">
        <v>0</v>
      </c>
      <c r="L468" s="2">
        <v>0</v>
      </c>
    </row>
    <row r="469" spans="1:12" x14ac:dyDescent="0.35">
      <c r="A469" s="3" t="s">
        <v>1144</v>
      </c>
      <c r="B469" s="1" t="str">
        <f t="shared" si="14"/>
        <v>Lago Paranoa</v>
      </c>
      <c r="C469" s="1">
        <f t="shared" si="15"/>
        <v>-1766</v>
      </c>
      <c r="D469" s="2">
        <v>0</v>
      </c>
      <c r="E469" s="2">
        <v>2302.4499999999998</v>
      </c>
      <c r="F469" s="2">
        <v>0.4234</v>
      </c>
      <c r="G469" s="2">
        <v>2.6436000000000002</v>
      </c>
      <c r="H469" s="2">
        <v>5.9664000000000001</v>
      </c>
      <c r="I469" s="2">
        <v>1.3848</v>
      </c>
      <c r="J469" s="2">
        <v>6.8018000000000001</v>
      </c>
      <c r="K469" s="2">
        <v>2302.4499999999998</v>
      </c>
      <c r="L469" s="2">
        <v>0</v>
      </c>
    </row>
    <row r="470" spans="1:12" x14ac:dyDescent="0.35">
      <c r="A470" s="3" t="s">
        <v>1145</v>
      </c>
      <c r="B470" s="1" t="str">
        <f t="shared" si="14"/>
        <v>Corumba IV</v>
      </c>
      <c r="C470" s="1">
        <f t="shared" si="15"/>
        <v>-1765</v>
      </c>
      <c r="D470" s="2">
        <v>0</v>
      </c>
      <c r="E470" s="2">
        <v>0</v>
      </c>
      <c r="F470" s="2">
        <v>0</v>
      </c>
      <c r="G470" s="2">
        <v>0.3629</v>
      </c>
      <c r="H470" s="2">
        <v>66.927999999999997</v>
      </c>
      <c r="I470" s="2">
        <v>4.3761000000000001</v>
      </c>
      <c r="J470" s="2">
        <v>62.9148</v>
      </c>
      <c r="K470" s="2">
        <v>0</v>
      </c>
      <c r="L470" s="2">
        <v>0</v>
      </c>
    </row>
    <row r="471" spans="1:12" x14ac:dyDescent="0.35">
      <c r="A471" s="3" t="s">
        <v>1146</v>
      </c>
      <c r="B471" s="1" t="str">
        <f t="shared" si="14"/>
        <v>Lago Paranoa</v>
      </c>
      <c r="C471" s="1">
        <f t="shared" si="15"/>
        <v>-1765</v>
      </c>
      <c r="D471" s="2">
        <v>0</v>
      </c>
      <c r="E471" s="2">
        <v>2302.4499999999998</v>
      </c>
      <c r="F471" s="2">
        <v>0.4234</v>
      </c>
      <c r="G471" s="2">
        <v>2.5238999999999998</v>
      </c>
      <c r="H471" s="2">
        <v>5.6467000000000001</v>
      </c>
      <c r="I471" s="2">
        <v>1.2935000000000001</v>
      </c>
      <c r="J471" s="2">
        <v>6.4537000000000004</v>
      </c>
      <c r="K471" s="2">
        <v>2302.4499999999998</v>
      </c>
      <c r="L471" s="2">
        <v>0</v>
      </c>
    </row>
    <row r="472" spans="1:12" x14ac:dyDescent="0.35">
      <c r="A472" s="3" t="s">
        <v>1147</v>
      </c>
      <c r="B472" s="1" t="str">
        <f t="shared" si="14"/>
        <v>Corumba IV</v>
      </c>
      <c r="C472" s="1">
        <f t="shared" si="15"/>
        <v>-1764</v>
      </c>
      <c r="D472" s="2">
        <v>0</v>
      </c>
      <c r="E472" s="2">
        <v>0</v>
      </c>
      <c r="F472" s="2">
        <v>0</v>
      </c>
      <c r="G472" s="2">
        <v>0.3629</v>
      </c>
      <c r="H472" s="2">
        <v>95.337199999999996</v>
      </c>
      <c r="I472" s="2">
        <v>3.9581</v>
      </c>
      <c r="J472" s="2">
        <v>91.742000000000004</v>
      </c>
      <c r="K472" s="2">
        <v>0</v>
      </c>
      <c r="L472" s="2">
        <v>0</v>
      </c>
    </row>
    <row r="473" spans="1:12" x14ac:dyDescent="0.35">
      <c r="A473" s="3" t="s">
        <v>1148</v>
      </c>
      <c r="B473" s="1" t="str">
        <f t="shared" si="14"/>
        <v>Lago Paranoa</v>
      </c>
      <c r="C473" s="1">
        <f t="shared" si="15"/>
        <v>-1764</v>
      </c>
      <c r="D473" s="2">
        <v>0</v>
      </c>
      <c r="E473" s="2">
        <v>2302.4499999999998</v>
      </c>
      <c r="F473" s="2">
        <v>0.4234</v>
      </c>
      <c r="G473" s="2">
        <v>2.5670000000000002</v>
      </c>
      <c r="H473" s="2">
        <v>5.0652999999999997</v>
      </c>
      <c r="I473" s="2">
        <v>1.0248999999999999</v>
      </c>
      <c r="J473" s="2">
        <v>6.1840000000000002</v>
      </c>
      <c r="K473" s="2">
        <v>2302.4499999999998</v>
      </c>
      <c r="L473" s="2">
        <v>0</v>
      </c>
    </row>
    <row r="474" spans="1:12" x14ac:dyDescent="0.35">
      <c r="A474" s="3" t="s">
        <v>1149</v>
      </c>
      <c r="B474" s="1" t="str">
        <f t="shared" si="14"/>
        <v>Corumba IV</v>
      </c>
      <c r="C474" s="1">
        <f t="shared" si="15"/>
        <v>-1763</v>
      </c>
      <c r="D474" s="2">
        <v>0</v>
      </c>
      <c r="E474" s="2">
        <v>0</v>
      </c>
      <c r="F474" s="2">
        <v>0</v>
      </c>
      <c r="G474" s="2">
        <v>0.3629</v>
      </c>
      <c r="H474" s="2">
        <v>67.908699999999996</v>
      </c>
      <c r="I474" s="2">
        <v>3.9359999999999999</v>
      </c>
      <c r="J474" s="2">
        <v>64.335499999999996</v>
      </c>
      <c r="K474" s="2">
        <v>0</v>
      </c>
      <c r="L474" s="2">
        <v>0</v>
      </c>
    </row>
    <row r="475" spans="1:12" x14ac:dyDescent="0.35">
      <c r="A475" s="3" t="s">
        <v>1150</v>
      </c>
      <c r="B475" s="1" t="str">
        <f t="shared" si="14"/>
        <v>Lago Paranoa</v>
      </c>
      <c r="C475" s="1">
        <f t="shared" si="15"/>
        <v>-1763</v>
      </c>
      <c r="D475" s="2">
        <v>0</v>
      </c>
      <c r="E475" s="2">
        <v>2302.4499999999998</v>
      </c>
      <c r="F475" s="2">
        <v>0.4234</v>
      </c>
      <c r="G475" s="2">
        <v>3.0409000000000002</v>
      </c>
      <c r="H475" s="2">
        <v>4.8015999999999996</v>
      </c>
      <c r="I475" s="2">
        <v>1.0074000000000001</v>
      </c>
      <c r="J475" s="2">
        <v>6.4116999999999997</v>
      </c>
      <c r="K475" s="2">
        <v>2302.4499999999998</v>
      </c>
      <c r="L475" s="2">
        <v>0</v>
      </c>
    </row>
    <row r="476" spans="1:12" x14ac:dyDescent="0.35">
      <c r="A476" s="3" t="s">
        <v>1151</v>
      </c>
      <c r="B476" s="1" t="str">
        <f t="shared" si="14"/>
        <v>Corumba IV</v>
      </c>
      <c r="C476" s="1">
        <f t="shared" si="15"/>
        <v>-1762</v>
      </c>
      <c r="D476" s="2">
        <v>0</v>
      </c>
      <c r="E476" s="2">
        <v>0</v>
      </c>
      <c r="F476" s="2">
        <v>0</v>
      </c>
      <c r="G476" s="2">
        <v>0.3629</v>
      </c>
      <c r="H476" s="2">
        <v>66.726699999999994</v>
      </c>
      <c r="I476" s="2">
        <v>3.9359999999999999</v>
      </c>
      <c r="J476" s="2">
        <v>63.153599999999997</v>
      </c>
      <c r="K476" s="2">
        <v>0</v>
      </c>
      <c r="L476" s="2">
        <v>0</v>
      </c>
    </row>
    <row r="477" spans="1:12" x14ac:dyDescent="0.35">
      <c r="A477" s="3" t="s">
        <v>1152</v>
      </c>
      <c r="B477" s="1" t="str">
        <f t="shared" si="14"/>
        <v>Lago Paranoa</v>
      </c>
      <c r="C477" s="1">
        <f t="shared" si="15"/>
        <v>-1762</v>
      </c>
      <c r="D477" s="2">
        <v>0</v>
      </c>
      <c r="E477" s="2">
        <v>2302.4499999999998</v>
      </c>
      <c r="F477" s="2">
        <v>0.4234</v>
      </c>
      <c r="G477" s="2">
        <v>3.5007000000000001</v>
      </c>
      <c r="H477" s="2">
        <v>6.5853999999999999</v>
      </c>
      <c r="I477" s="2">
        <v>1.0074000000000001</v>
      </c>
      <c r="J477" s="2">
        <v>8.6553000000000004</v>
      </c>
      <c r="K477" s="2">
        <v>2302.4499999999998</v>
      </c>
      <c r="L477" s="2">
        <v>0</v>
      </c>
    </row>
    <row r="478" spans="1:12" x14ac:dyDescent="0.35">
      <c r="A478" s="3" t="s">
        <v>1153</v>
      </c>
      <c r="B478" s="1" t="str">
        <f t="shared" si="14"/>
        <v>Corumba IV</v>
      </c>
      <c r="C478" s="1">
        <f t="shared" si="15"/>
        <v>-1761</v>
      </c>
      <c r="D478" s="2">
        <v>0</v>
      </c>
      <c r="E478" s="2">
        <v>0</v>
      </c>
      <c r="F478" s="2">
        <v>0</v>
      </c>
      <c r="G478" s="2">
        <v>0.3629</v>
      </c>
      <c r="H478" s="2">
        <v>80.355500000000006</v>
      </c>
      <c r="I478" s="2">
        <v>4.0624000000000002</v>
      </c>
      <c r="J478" s="2">
        <v>76.655900000000003</v>
      </c>
      <c r="K478" s="2">
        <v>0</v>
      </c>
      <c r="L478" s="2">
        <v>0</v>
      </c>
    </row>
    <row r="479" spans="1:12" x14ac:dyDescent="0.35">
      <c r="A479" s="3" t="s">
        <v>1154</v>
      </c>
      <c r="B479" s="1" t="str">
        <f t="shared" si="14"/>
        <v>Lago Paranoa</v>
      </c>
      <c r="C479" s="1">
        <f t="shared" si="15"/>
        <v>-1761</v>
      </c>
      <c r="D479" s="2">
        <v>0</v>
      </c>
      <c r="E479" s="2">
        <v>2302.4499999999998</v>
      </c>
      <c r="F479" s="2">
        <v>0.4234</v>
      </c>
      <c r="G479" s="2">
        <v>2.8948</v>
      </c>
      <c r="H479" s="2">
        <v>5.4188999999999998</v>
      </c>
      <c r="I479" s="2">
        <v>1.0432999999999999</v>
      </c>
      <c r="J479" s="2">
        <v>6.8471000000000002</v>
      </c>
      <c r="K479" s="2">
        <v>2302.4499999999998</v>
      </c>
      <c r="L479" s="2">
        <v>0</v>
      </c>
    </row>
    <row r="480" spans="1:12" x14ac:dyDescent="0.35">
      <c r="A480" s="3" t="s">
        <v>1155</v>
      </c>
      <c r="B480" s="1" t="str">
        <f t="shared" si="14"/>
        <v>Corumba IV</v>
      </c>
      <c r="C480" s="1">
        <f t="shared" si="15"/>
        <v>-1760</v>
      </c>
      <c r="D480" s="2">
        <v>0</v>
      </c>
      <c r="E480" s="2">
        <v>0</v>
      </c>
      <c r="F480" s="2">
        <v>0</v>
      </c>
      <c r="G480" s="2">
        <v>0.3629</v>
      </c>
      <c r="H480" s="2">
        <v>80.634500000000003</v>
      </c>
      <c r="I480" s="2">
        <v>4.4493</v>
      </c>
      <c r="J480" s="2">
        <v>76.548100000000005</v>
      </c>
      <c r="K480" s="2">
        <v>0</v>
      </c>
      <c r="L480" s="2">
        <v>0</v>
      </c>
    </row>
    <row r="481" spans="1:12" x14ac:dyDescent="0.35">
      <c r="A481" s="3" t="s">
        <v>1156</v>
      </c>
      <c r="B481" s="1" t="str">
        <f t="shared" si="14"/>
        <v>Lago Paranoa</v>
      </c>
      <c r="C481" s="1">
        <f t="shared" si="15"/>
        <v>-1760</v>
      </c>
      <c r="D481" s="2">
        <v>0</v>
      </c>
      <c r="E481" s="2">
        <v>2302.4499999999998</v>
      </c>
      <c r="F481" s="2">
        <v>0.4234</v>
      </c>
      <c r="G481" s="2">
        <v>2.9626000000000001</v>
      </c>
      <c r="H481" s="2">
        <v>5.0724</v>
      </c>
      <c r="I481" s="2">
        <v>1.0552999999999999</v>
      </c>
      <c r="J481" s="2">
        <v>6.5564</v>
      </c>
      <c r="K481" s="2">
        <v>2302.4499999999998</v>
      </c>
      <c r="L481" s="2">
        <v>0</v>
      </c>
    </row>
    <row r="482" spans="1:12" x14ac:dyDescent="0.35">
      <c r="A482" s="3" t="s">
        <v>1157</v>
      </c>
      <c r="B482" s="1" t="str">
        <f t="shared" si="14"/>
        <v>Corumba IV</v>
      </c>
      <c r="C482" s="1">
        <f t="shared" si="15"/>
        <v>-1759</v>
      </c>
      <c r="D482" s="2">
        <v>0</v>
      </c>
      <c r="E482" s="2">
        <v>0</v>
      </c>
      <c r="F482" s="2">
        <v>0</v>
      </c>
      <c r="G482" s="2">
        <v>0.3629</v>
      </c>
      <c r="H482" s="2">
        <v>88.915999999999997</v>
      </c>
      <c r="I482" s="2">
        <v>4.1707000000000001</v>
      </c>
      <c r="J482" s="2">
        <v>85.108099999999993</v>
      </c>
      <c r="K482" s="2">
        <v>0</v>
      </c>
      <c r="L482" s="2">
        <v>0</v>
      </c>
    </row>
    <row r="483" spans="1:12" x14ac:dyDescent="0.35">
      <c r="A483" s="3" t="s">
        <v>1158</v>
      </c>
      <c r="B483" s="1" t="str">
        <f t="shared" si="14"/>
        <v>Lago Paranoa</v>
      </c>
      <c r="C483" s="1">
        <f t="shared" si="15"/>
        <v>-1759</v>
      </c>
      <c r="D483" s="2">
        <v>0</v>
      </c>
      <c r="E483" s="2">
        <v>2302.4499999999998</v>
      </c>
      <c r="F483" s="2">
        <v>0.4234</v>
      </c>
      <c r="G483" s="2">
        <v>5.8677999999999999</v>
      </c>
      <c r="H483" s="2">
        <v>11.989000000000001</v>
      </c>
      <c r="I483" s="2">
        <v>0.90310000000000001</v>
      </c>
      <c r="J483" s="2">
        <v>16.5304</v>
      </c>
      <c r="K483" s="2">
        <v>2302.4499999999998</v>
      </c>
      <c r="L483" s="2">
        <v>0</v>
      </c>
    </row>
    <row r="484" spans="1:12" x14ac:dyDescent="0.35">
      <c r="A484" s="3" t="s">
        <v>1159</v>
      </c>
      <c r="B484" s="1" t="str">
        <f t="shared" si="14"/>
        <v>Corumba IV</v>
      </c>
      <c r="C484" s="1">
        <f t="shared" si="15"/>
        <v>-1758</v>
      </c>
      <c r="D484" s="2">
        <v>0</v>
      </c>
      <c r="E484" s="2">
        <v>0</v>
      </c>
      <c r="F484" s="2">
        <v>0</v>
      </c>
      <c r="G484" s="2">
        <v>0.3629</v>
      </c>
      <c r="H484" s="2">
        <v>104.24769999999999</v>
      </c>
      <c r="I484" s="2">
        <v>4.1707000000000001</v>
      </c>
      <c r="J484" s="2">
        <v>100.43980000000001</v>
      </c>
      <c r="K484" s="2">
        <v>0</v>
      </c>
      <c r="L484" s="2">
        <v>0</v>
      </c>
    </row>
    <row r="485" spans="1:12" x14ac:dyDescent="0.35">
      <c r="A485" s="3" t="s">
        <v>1160</v>
      </c>
      <c r="B485" s="1" t="str">
        <f t="shared" si="14"/>
        <v>Lago Paranoa</v>
      </c>
      <c r="C485" s="1">
        <f t="shared" si="15"/>
        <v>-1758</v>
      </c>
      <c r="D485" s="2">
        <v>0</v>
      </c>
      <c r="E485" s="2">
        <v>2302.4499999999998</v>
      </c>
      <c r="F485" s="2">
        <v>0.4234</v>
      </c>
      <c r="G485" s="2">
        <v>4.7328999999999999</v>
      </c>
      <c r="H485" s="2">
        <v>9.6707000000000001</v>
      </c>
      <c r="I485" s="2">
        <v>0.90310000000000001</v>
      </c>
      <c r="J485" s="2">
        <v>13.0771</v>
      </c>
      <c r="K485" s="2">
        <v>2302.4499999999998</v>
      </c>
      <c r="L485" s="2">
        <v>0</v>
      </c>
    </row>
    <row r="486" spans="1:12" x14ac:dyDescent="0.35">
      <c r="A486" s="3" t="s">
        <v>1161</v>
      </c>
      <c r="B486" s="1" t="str">
        <f t="shared" si="14"/>
        <v>Corumba IV</v>
      </c>
      <c r="C486" s="1">
        <f t="shared" si="15"/>
        <v>-1757</v>
      </c>
      <c r="D486" s="2">
        <v>0</v>
      </c>
      <c r="E486" s="2">
        <v>0</v>
      </c>
      <c r="F486" s="2">
        <v>0</v>
      </c>
      <c r="G486" s="2">
        <v>0.3629</v>
      </c>
      <c r="H486" s="2">
        <v>102.244</v>
      </c>
      <c r="I486" s="2">
        <v>4.1707000000000001</v>
      </c>
      <c r="J486" s="2">
        <v>98.436199999999999</v>
      </c>
      <c r="K486" s="2">
        <v>0</v>
      </c>
      <c r="L486" s="2">
        <v>0</v>
      </c>
    </row>
    <row r="487" spans="1:12" x14ac:dyDescent="0.35">
      <c r="A487" s="3" t="s">
        <v>1162</v>
      </c>
      <c r="B487" s="1" t="str">
        <f t="shared" si="14"/>
        <v>Lago Paranoa</v>
      </c>
      <c r="C487" s="1">
        <f t="shared" si="15"/>
        <v>-1757</v>
      </c>
      <c r="D487" s="2">
        <v>0</v>
      </c>
      <c r="E487" s="2">
        <v>2302.4499999999998</v>
      </c>
      <c r="F487" s="2">
        <v>0.4234</v>
      </c>
      <c r="G487" s="2">
        <v>4.5498000000000003</v>
      </c>
      <c r="H487" s="2">
        <v>8.4834999999999994</v>
      </c>
      <c r="I487" s="2">
        <v>0.90310000000000001</v>
      </c>
      <c r="J487" s="2">
        <v>11.706899999999999</v>
      </c>
      <c r="K487" s="2">
        <v>2302.4499999999998</v>
      </c>
      <c r="L487" s="2">
        <v>0</v>
      </c>
    </row>
    <row r="488" spans="1:12" x14ac:dyDescent="0.35">
      <c r="A488" s="3" t="s">
        <v>1163</v>
      </c>
      <c r="B488" s="1" t="str">
        <f t="shared" si="14"/>
        <v>Corumba IV</v>
      </c>
      <c r="C488" s="1">
        <f t="shared" si="15"/>
        <v>-1756</v>
      </c>
      <c r="D488" s="2">
        <v>0</v>
      </c>
      <c r="E488" s="2">
        <v>0</v>
      </c>
      <c r="F488" s="2">
        <v>0</v>
      </c>
      <c r="G488" s="2">
        <v>0.3629</v>
      </c>
      <c r="H488" s="2">
        <v>81.194400000000002</v>
      </c>
      <c r="I488" s="2">
        <v>2.9220000000000002</v>
      </c>
      <c r="J488" s="2">
        <v>78.635199999999998</v>
      </c>
      <c r="K488" s="2">
        <v>0</v>
      </c>
      <c r="L488" s="2">
        <v>0</v>
      </c>
    </row>
    <row r="489" spans="1:12" x14ac:dyDescent="0.35">
      <c r="A489" s="3" t="s">
        <v>1164</v>
      </c>
      <c r="B489" s="1" t="str">
        <f t="shared" si="14"/>
        <v>Lago Paranoa</v>
      </c>
      <c r="C489" s="1">
        <f t="shared" si="15"/>
        <v>-1756</v>
      </c>
      <c r="D489" s="2">
        <v>0</v>
      </c>
      <c r="E489" s="2">
        <v>2302.4499999999998</v>
      </c>
      <c r="F489" s="2">
        <v>0.4234</v>
      </c>
      <c r="G489" s="2">
        <v>3.3128000000000002</v>
      </c>
      <c r="H489" s="2">
        <v>6.3952</v>
      </c>
      <c r="I489" s="2">
        <v>0.67649999999999999</v>
      </c>
      <c r="J489" s="2">
        <v>8.6081000000000003</v>
      </c>
      <c r="K489" s="2">
        <v>2302.4499999999998</v>
      </c>
      <c r="L489" s="2">
        <v>0</v>
      </c>
    </row>
    <row r="490" spans="1:12" x14ac:dyDescent="0.35">
      <c r="A490" s="3" t="s">
        <v>1165</v>
      </c>
      <c r="B490" s="1" t="str">
        <f t="shared" si="14"/>
        <v>Corumba IV</v>
      </c>
      <c r="C490" s="1">
        <f t="shared" si="15"/>
        <v>-1755</v>
      </c>
      <c r="D490" s="2">
        <v>0</v>
      </c>
      <c r="E490" s="2">
        <v>0</v>
      </c>
      <c r="F490" s="2">
        <v>0</v>
      </c>
      <c r="G490" s="2">
        <v>0.3629</v>
      </c>
      <c r="H490" s="2">
        <v>143.14320000000001</v>
      </c>
      <c r="I490" s="2">
        <v>2.7139000000000002</v>
      </c>
      <c r="J490" s="2">
        <v>140.7921</v>
      </c>
      <c r="K490" s="2">
        <v>0</v>
      </c>
      <c r="L490" s="2">
        <v>0</v>
      </c>
    </row>
    <row r="491" spans="1:12" x14ac:dyDescent="0.35">
      <c r="A491" s="3" t="s">
        <v>1166</v>
      </c>
      <c r="B491" s="1" t="str">
        <f t="shared" si="14"/>
        <v>Lago Paranoa</v>
      </c>
      <c r="C491" s="1">
        <f t="shared" si="15"/>
        <v>-1755</v>
      </c>
      <c r="D491" s="2">
        <v>0</v>
      </c>
      <c r="E491" s="2">
        <v>2302.4499999999998</v>
      </c>
      <c r="F491" s="2">
        <v>0.4234</v>
      </c>
      <c r="G491" s="2">
        <v>4.8414000000000001</v>
      </c>
      <c r="H491" s="2">
        <v>12.138299999999999</v>
      </c>
      <c r="I491" s="2">
        <v>0.63870000000000005</v>
      </c>
      <c r="J491" s="2">
        <v>15.9176</v>
      </c>
      <c r="K491" s="2">
        <v>2302.4499999999998</v>
      </c>
      <c r="L491" s="2">
        <v>0</v>
      </c>
    </row>
    <row r="492" spans="1:12" x14ac:dyDescent="0.35">
      <c r="A492" s="3" t="s">
        <v>1167</v>
      </c>
      <c r="B492" s="1" t="str">
        <f t="shared" si="14"/>
        <v>Corumba IV</v>
      </c>
      <c r="C492" s="1">
        <f t="shared" si="15"/>
        <v>-1754</v>
      </c>
      <c r="D492" s="2">
        <v>0</v>
      </c>
      <c r="E492" s="2">
        <v>0</v>
      </c>
      <c r="F492" s="2">
        <v>0</v>
      </c>
      <c r="G492" s="2">
        <v>0.3629</v>
      </c>
      <c r="H492" s="2">
        <v>82.359099999999998</v>
      </c>
      <c r="I492" s="2">
        <v>2.7139000000000002</v>
      </c>
      <c r="J492" s="2">
        <v>80.007999999999996</v>
      </c>
      <c r="K492" s="2">
        <v>0</v>
      </c>
      <c r="L492" s="2">
        <v>0</v>
      </c>
    </row>
    <row r="493" spans="1:12" x14ac:dyDescent="0.35">
      <c r="A493" s="3" t="s">
        <v>1168</v>
      </c>
      <c r="B493" s="1" t="str">
        <f t="shared" si="14"/>
        <v>Lago Paranoa</v>
      </c>
      <c r="C493" s="1">
        <f t="shared" si="15"/>
        <v>-1754</v>
      </c>
      <c r="D493" s="2">
        <v>0</v>
      </c>
      <c r="E493" s="2">
        <v>2302.4499999999998</v>
      </c>
      <c r="F493" s="2">
        <v>0.4234</v>
      </c>
      <c r="G493" s="2">
        <v>3.2723</v>
      </c>
      <c r="H493" s="2">
        <v>6.2778999999999998</v>
      </c>
      <c r="I493" s="2">
        <v>0.63870000000000005</v>
      </c>
      <c r="J493" s="2">
        <v>8.4880999999999993</v>
      </c>
      <c r="K493" s="2">
        <v>2302.4499999999998</v>
      </c>
      <c r="L493" s="2">
        <v>0</v>
      </c>
    </row>
    <row r="494" spans="1:12" x14ac:dyDescent="0.35">
      <c r="A494" s="3" t="s">
        <v>1169</v>
      </c>
      <c r="B494" s="1" t="str">
        <f t="shared" si="14"/>
        <v>Corumba IV</v>
      </c>
      <c r="C494" s="1">
        <f t="shared" si="15"/>
        <v>-1753</v>
      </c>
      <c r="D494" s="2">
        <v>0</v>
      </c>
      <c r="E494" s="2">
        <v>0</v>
      </c>
      <c r="F494" s="2">
        <v>0</v>
      </c>
      <c r="G494" s="2">
        <v>0.3629</v>
      </c>
      <c r="H494" s="2">
        <v>62.596800000000002</v>
      </c>
      <c r="I494" s="2">
        <v>2.8883999999999999</v>
      </c>
      <c r="J494" s="2">
        <v>60.071199999999997</v>
      </c>
      <c r="K494" s="2">
        <v>0</v>
      </c>
      <c r="L494" s="2">
        <v>0</v>
      </c>
    </row>
    <row r="495" spans="1:12" x14ac:dyDescent="0.35">
      <c r="A495" s="3" t="s">
        <v>1170</v>
      </c>
      <c r="B495" s="1" t="str">
        <f t="shared" si="14"/>
        <v>Lago Paranoa</v>
      </c>
      <c r="C495" s="1">
        <f t="shared" si="15"/>
        <v>-1753</v>
      </c>
      <c r="D495" s="2">
        <v>0</v>
      </c>
      <c r="E495" s="2">
        <v>2302.4499999999998</v>
      </c>
      <c r="F495" s="2">
        <v>0.4234</v>
      </c>
      <c r="G495" s="2">
        <v>2.9438</v>
      </c>
      <c r="H495" s="2">
        <v>5.4115000000000002</v>
      </c>
      <c r="I495" s="2">
        <v>0.67310000000000003</v>
      </c>
      <c r="J495" s="2">
        <v>7.2587999999999999</v>
      </c>
      <c r="K495" s="2">
        <v>2302.4499999999998</v>
      </c>
      <c r="L495" s="2">
        <v>0</v>
      </c>
    </row>
    <row r="496" spans="1:12" x14ac:dyDescent="0.35">
      <c r="A496" s="3" t="s">
        <v>1171</v>
      </c>
      <c r="B496" s="1" t="str">
        <f t="shared" si="14"/>
        <v>Corumba IV</v>
      </c>
      <c r="C496" s="1">
        <f t="shared" si="15"/>
        <v>-1752</v>
      </c>
      <c r="D496" s="2">
        <v>0</v>
      </c>
      <c r="E496" s="2">
        <v>0</v>
      </c>
      <c r="F496" s="2">
        <v>0</v>
      </c>
      <c r="G496" s="2">
        <v>0.3629</v>
      </c>
      <c r="H496" s="2">
        <v>87.310699999999997</v>
      </c>
      <c r="I496" s="2">
        <v>3.5592000000000001</v>
      </c>
      <c r="J496" s="2">
        <v>84.1143</v>
      </c>
      <c r="K496" s="2">
        <v>0</v>
      </c>
      <c r="L496" s="2">
        <v>0</v>
      </c>
    </row>
    <row r="497" spans="1:12" x14ac:dyDescent="0.35">
      <c r="A497" s="3" t="s">
        <v>1172</v>
      </c>
      <c r="B497" s="1" t="str">
        <f t="shared" si="14"/>
        <v>Lago Paranoa</v>
      </c>
      <c r="C497" s="1">
        <f t="shared" si="15"/>
        <v>-1752</v>
      </c>
      <c r="D497" s="2">
        <v>0</v>
      </c>
      <c r="E497" s="2">
        <v>2302.4499999999998</v>
      </c>
      <c r="F497" s="2">
        <v>0.4234</v>
      </c>
      <c r="G497" s="2">
        <v>3.5051999999999999</v>
      </c>
      <c r="H497" s="2">
        <v>9.2880000000000003</v>
      </c>
      <c r="I497" s="2">
        <v>0.87829999999999997</v>
      </c>
      <c r="J497" s="2">
        <v>11.4916</v>
      </c>
      <c r="K497" s="2">
        <v>2302.4499999999998</v>
      </c>
      <c r="L497" s="2">
        <v>0</v>
      </c>
    </row>
    <row r="498" spans="1:12" x14ac:dyDescent="0.35">
      <c r="A498" s="3" t="s">
        <v>1173</v>
      </c>
      <c r="B498" s="1" t="str">
        <f t="shared" si="14"/>
        <v>Corumba IV</v>
      </c>
      <c r="C498" s="1">
        <f t="shared" si="15"/>
        <v>-1751</v>
      </c>
      <c r="D498" s="2">
        <v>0</v>
      </c>
      <c r="E498" s="2">
        <v>0</v>
      </c>
      <c r="F498" s="2">
        <v>0</v>
      </c>
      <c r="G498" s="2">
        <v>0.3629</v>
      </c>
      <c r="H498" s="2">
        <v>109.95180000000001</v>
      </c>
      <c r="I498" s="2">
        <v>4.1760000000000002</v>
      </c>
      <c r="J498" s="2">
        <v>106.1386</v>
      </c>
      <c r="K498" s="2">
        <v>0</v>
      </c>
      <c r="L498" s="2">
        <v>0</v>
      </c>
    </row>
    <row r="499" spans="1:12" x14ac:dyDescent="0.35">
      <c r="A499" s="3" t="s">
        <v>1174</v>
      </c>
      <c r="B499" s="1" t="str">
        <f t="shared" si="14"/>
        <v>Lago Paranoa</v>
      </c>
      <c r="C499" s="1">
        <f t="shared" si="15"/>
        <v>-1751</v>
      </c>
      <c r="D499" s="2">
        <v>0</v>
      </c>
      <c r="E499" s="2">
        <v>2302.4499999999998</v>
      </c>
      <c r="F499" s="2">
        <v>0.4234</v>
      </c>
      <c r="G499" s="2">
        <v>3.9443999999999999</v>
      </c>
      <c r="H499" s="2">
        <v>7.5209999999999999</v>
      </c>
      <c r="I499" s="2">
        <v>1.0149999999999999</v>
      </c>
      <c r="J499" s="2">
        <v>10.027100000000001</v>
      </c>
      <c r="K499" s="2">
        <v>2302.4499999999998</v>
      </c>
      <c r="L499" s="2">
        <v>0</v>
      </c>
    </row>
    <row r="500" spans="1:12" x14ac:dyDescent="0.35">
      <c r="A500" s="3" t="s">
        <v>1175</v>
      </c>
      <c r="B500" s="1" t="str">
        <f t="shared" si="14"/>
        <v>Corumba IV</v>
      </c>
      <c r="C500" s="1">
        <f t="shared" si="15"/>
        <v>-1750</v>
      </c>
      <c r="D500" s="2">
        <v>0</v>
      </c>
      <c r="E500" s="2">
        <v>0</v>
      </c>
      <c r="F500" s="2">
        <v>0</v>
      </c>
      <c r="G500" s="2">
        <v>0.3629</v>
      </c>
      <c r="H500" s="2">
        <v>86.099299999999999</v>
      </c>
      <c r="I500" s="2">
        <v>4.2914000000000003</v>
      </c>
      <c r="J500" s="2">
        <v>82.170900000000003</v>
      </c>
      <c r="K500" s="2">
        <v>0</v>
      </c>
      <c r="L500" s="2">
        <v>0</v>
      </c>
    </row>
    <row r="501" spans="1:12" x14ac:dyDescent="0.35">
      <c r="A501" s="3" t="s">
        <v>1176</v>
      </c>
      <c r="B501" s="1" t="str">
        <f t="shared" si="14"/>
        <v>Lago Paranoa</v>
      </c>
      <c r="C501" s="1">
        <f t="shared" si="15"/>
        <v>-1750</v>
      </c>
      <c r="D501" s="2">
        <v>0</v>
      </c>
      <c r="E501" s="2">
        <v>2302.4499999999998</v>
      </c>
      <c r="F501" s="2">
        <v>0.4234</v>
      </c>
      <c r="G501" s="2">
        <v>3.4186000000000001</v>
      </c>
      <c r="H501" s="2">
        <v>5.8461999999999996</v>
      </c>
      <c r="I501" s="2">
        <v>1.0219</v>
      </c>
      <c r="J501" s="2">
        <v>7.8194999999999997</v>
      </c>
      <c r="K501" s="2">
        <v>2302.4499999999998</v>
      </c>
      <c r="L501" s="2">
        <v>0</v>
      </c>
    </row>
    <row r="502" spans="1:12" x14ac:dyDescent="0.35">
      <c r="A502" s="3" t="s">
        <v>1177</v>
      </c>
      <c r="B502" s="1" t="str">
        <f t="shared" si="14"/>
        <v>Corumba IV</v>
      </c>
      <c r="C502" s="1">
        <f t="shared" si="15"/>
        <v>-1749</v>
      </c>
      <c r="D502" s="2">
        <v>0</v>
      </c>
      <c r="E502" s="2">
        <v>0</v>
      </c>
      <c r="F502" s="2">
        <v>0</v>
      </c>
      <c r="G502" s="2">
        <v>0.3629</v>
      </c>
      <c r="H502" s="2">
        <v>72.536299999999997</v>
      </c>
      <c r="I502" s="2">
        <v>4.2914000000000003</v>
      </c>
      <c r="J502" s="2">
        <v>68.607799999999997</v>
      </c>
      <c r="K502" s="2">
        <v>0</v>
      </c>
      <c r="L502" s="2">
        <v>0</v>
      </c>
    </row>
    <row r="503" spans="1:12" x14ac:dyDescent="0.35">
      <c r="A503" s="3" t="s">
        <v>1178</v>
      </c>
      <c r="B503" s="1" t="str">
        <f t="shared" si="14"/>
        <v>Lago Paranoa</v>
      </c>
      <c r="C503" s="1">
        <f t="shared" si="15"/>
        <v>-1749</v>
      </c>
      <c r="D503" s="2">
        <v>0</v>
      </c>
      <c r="E503" s="2">
        <v>2302.4499999999998</v>
      </c>
      <c r="F503" s="2">
        <v>0.4234</v>
      </c>
      <c r="G503" s="2">
        <v>3.3504999999999998</v>
      </c>
      <c r="H503" s="2">
        <v>4.8470000000000004</v>
      </c>
      <c r="I503" s="2">
        <v>1.0219</v>
      </c>
      <c r="J503" s="2">
        <v>6.7522000000000002</v>
      </c>
      <c r="K503" s="2">
        <v>2302.4499999999998</v>
      </c>
      <c r="L503" s="2">
        <v>0</v>
      </c>
    </row>
    <row r="504" spans="1:12" x14ac:dyDescent="0.35">
      <c r="A504" s="3" t="s">
        <v>1179</v>
      </c>
      <c r="B504" s="1" t="str">
        <f t="shared" si="14"/>
        <v>Corumba IV</v>
      </c>
      <c r="C504" s="1">
        <f t="shared" si="15"/>
        <v>-1748</v>
      </c>
      <c r="D504" s="2">
        <v>0</v>
      </c>
      <c r="E504" s="2">
        <v>0</v>
      </c>
      <c r="F504" s="2">
        <v>0</v>
      </c>
      <c r="G504" s="2">
        <v>0.3629</v>
      </c>
      <c r="H504" s="2">
        <v>66.185000000000002</v>
      </c>
      <c r="I504" s="2">
        <v>4.3067000000000002</v>
      </c>
      <c r="J504" s="2">
        <v>62.241199999999999</v>
      </c>
      <c r="K504" s="2">
        <v>0</v>
      </c>
      <c r="L504" s="2">
        <v>0</v>
      </c>
    </row>
    <row r="505" spans="1:12" x14ac:dyDescent="0.35">
      <c r="A505" s="3" t="s">
        <v>1180</v>
      </c>
      <c r="B505" s="1" t="str">
        <f t="shared" si="14"/>
        <v>Lago Paranoa</v>
      </c>
      <c r="C505" s="1">
        <f t="shared" si="15"/>
        <v>-1748</v>
      </c>
      <c r="D505" s="2">
        <v>0</v>
      </c>
      <c r="E505" s="2">
        <v>2302.4499999999998</v>
      </c>
      <c r="F505" s="2">
        <v>0.4234</v>
      </c>
      <c r="G505" s="2">
        <v>3.2940999999999998</v>
      </c>
      <c r="H505" s="2">
        <v>5.3464999999999998</v>
      </c>
      <c r="I505" s="2">
        <v>1.024</v>
      </c>
      <c r="J505" s="2">
        <v>7.1932</v>
      </c>
      <c r="K505" s="2">
        <v>2302.4499999999998</v>
      </c>
      <c r="L505" s="2">
        <v>0</v>
      </c>
    </row>
    <row r="506" spans="1:12" x14ac:dyDescent="0.35">
      <c r="A506" s="3" t="s">
        <v>1181</v>
      </c>
      <c r="B506" s="1" t="str">
        <f t="shared" si="14"/>
        <v>Corumba IV</v>
      </c>
      <c r="C506" s="1">
        <f t="shared" si="15"/>
        <v>-1747</v>
      </c>
      <c r="D506" s="2">
        <v>0</v>
      </c>
      <c r="E506" s="2">
        <v>0</v>
      </c>
      <c r="F506" s="2">
        <v>0</v>
      </c>
      <c r="G506" s="2">
        <v>0.3629</v>
      </c>
      <c r="H506" s="2">
        <v>55.937100000000001</v>
      </c>
      <c r="I506" s="2">
        <v>4.3986999999999998</v>
      </c>
      <c r="J506" s="2">
        <v>51.901299999999999</v>
      </c>
      <c r="K506" s="2">
        <v>0</v>
      </c>
      <c r="L506" s="2">
        <v>0</v>
      </c>
    </row>
    <row r="507" spans="1:12" x14ac:dyDescent="0.35">
      <c r="A507" s="3" t="s">
        <v>1182</v>
      </c>
      <c r="B507" s="1" t="str">
        <f t="shared" si="14"/>
        <v>Lago Paranoa</v>
      </c>
      <c r="C507" s="1">
        <f t="shared" si="15"/>
        <v>-1747</v>
      </c>
      <c r="D507" s="2">
        <v>0</v>
      </c>
      <c r="E507" s="2">
        <v>2302.4499999999998</v>
      </c>
      <c r="F507" s="2">
        <v>0.4234</v>
      </c>
      <c r="G507" s="2">
        <v>3.3795999999999999</v>
      </c>
      <c r="H507" s="2">
        <v>4.9371</v>
      </c>
      <c r="I507" s="2">
        <v>1.0367</v>
      </c>
      <c r="J507" s="2">
        <v>6.8566000000000003</v>
      </c>
      <c r="K507" s="2">
        <v>2302.4499999999998</v>
      </c>
      <c r="L507" s="2">
        <v>0</v>
      </c>
    </row>
    <row r="508" spans="1:12" x14ac:dyDescent="0.35">
      <c r="A508" s="3" t="s">
        <v>1183</v>
      </c>
      <c r="B508" s="1" t="str">
        <f t="shared" si="14"/>
        <v>Corumba IV</v>
      </c>
      <c r="C508" s="1">
        <f t="shared" si="15"/>
        <v>-1746</v>
      </c>
      <c r="D508" s="2">
        <v>0</v>
      </c>
      <c r="E508" s="2">
        <v>0</v>
      </c>
      <c r="F508" s="2">
        <v>0</v>
      </c>
      <c r="G508" s="2">
        <v>0.3629</v>
      </c>
      <c r="H508" s="2">
        <v>49.899500000000003</v>
      </c>
      <c r="I508" s="2">
        <v>4.3986999999999998</v>
      </c>
      <c r="J508" s="2">
        <v>45.863700000000001</v>
      </c>
      <c r="K508" s="2">
        <v>0</v>
      </c>
      <c r="L508" s="2">
        <v>0</v>
      </c>
    </row>
  </sheetData>
  <autoFilter ref="A1:L508" xr:uid="{565F2AA3-8D5D-418B-BA3D-2166E5AAC0F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90B65-98A8-4512-BDC4-64AC5EA973D2}">
  <dimension ref="A1:Y255"/>
  <sheetViews>
    <sheetView topLeftCell="J1" workbookViewId="0">
      <selection activeCell="W7" sqref="W7"/>
    </sheetView>
  </sheetViews>
  <sheetFormatPr defaultRowHeight="14.5" x14ac:dyDescent="0.35"/>
  <sheetData>
    <row r="1" spans="1:25" x14ac:dyDescent="0.35">
      <c r="A1" t="s">
        <v>1347</v>
      </c>
      <c r="B1" t="s">
        <v>1348</v>
      </c>
      <c r="C1" t="s">
        <v>1349</v>
      </c>
      <c r="W1" t="s">
        <v>1347</v>
      </c>
      <c r="X1" t="s">
        <v>1348</v>
      </c>
      <c r="Y1" t="s">
        <v>1349</v>
      </c>
    </row>
    <row r="2" spans="1:25" x14ac:dyDescent="0.35">
      <c r="A2" s="1">
        <v>-2336</v>
      </c>
      <c r="B2" s="1">
        <v>-2117</v>
      </c>
      <c r="C2">
        <f>A2-B2</f>
        <v>-219</v>
      </c>
      <c r="W2" s="1">
        <v>-2336</v>
      </c>
    </row>
    <row r="3" spans="1:25" x14ac:dyDescent="0.35">
      <c r="A3" s="1">
        <v>-2335</v>
      </c>
      <c r="B3" s="1">
        <v>-2116</v>
      </c>
      <c r="C3">
        <f t="shared" ref="C3:C66" si="0">A3-B3</f>
        <v>-219</v>
      </c>
      <c r="W3" s="1">
        <v>-2335</v>
      </c>
    </row>
    <row r="4" spans="1:25" x14ac:dyDescent="0.35">
      <c r="A4" s="1">
        <v>-2334</v>
      </c>
      <c r="B4" s="1">
        <v>-2115</v>
      </c>
      <c r="C4">
        <f t="shared" si="0"/>
        <v>-219</v>
      </c>
      <c r="W4" s="1">
        <v>-2334</v>
      </c>
      <c r="X4" s="1">
        <v>-2334</v>
      </c>
      <c r="Y4">
        <f>W4-X4</f>
        <v>0</v>
      </c>
    </row>
    <row r="5" spans="1:25" x14ac:dyDescent="0.35">
      <c r="A5" s="1">
        <v>-2333</v>
      </c>
      <c r="B5" s="1">
        <v>-2114</v>
      </c>
      <c r="C5">
        <f t="shared" si="0"/>
        <v>-219</v>
      </c>
      <c r="W5" s="1">
        <v>-2333</v>
      </c>
      <c r="X5" s="1">
        <v>-2333</v>
      </c>
      <c r="Y5">
        <f t="shared" ref="Y5:Y68" si="1">W5-X5</f>
        <v>0</v>
      </c>
    </row>
    <row r="6" spans="1:25" x14ac:dyDescent="0.35">
      <c r="A6" s="1">
        <v>-2332</v>
      </c>
      <c r="B6" s="1">
        <v>-2113</v>
      </c>
      <c r="C6">
        <f t="shared" si="0"/>
        <v>-219</v>
      </c>
      <c r="W6" s="1">
        <v>-2332</v>
      </c>
      <c r="X6" s="1">
        <v>-2332</v>
      </c>
      <c r="Y6">
        <f t="shared" si="1"/>
        <v>0</v>
      </c>
    </row>
    <row r="7" spans="1:25" x14ac:dyDescent="0.35">
      <c r="A7" s="1">
        <v>-2331</v>
      </c>
      <c r="B7" s="1">
        <v>-2112</v>
      </c>
      <c r="C7">
        <f t="shared" si="0"/>
        <v>-219</v>
      </c>
      <c r="W7" s="1">
        <v>-2331</v>
      </c>
      <c r="X7" s="1">
        <v>-2331</v>
      </c>
      <c r="Y7">
        <f t="shared" si="1"/>
        <v>0</v>
      </c>
    </row>
    <row r="8" spans="1:25" x14ac:dyDescent="0.35">
      <c r="A8" s="1">
        <v>-2330</v>
      </c>
      <c r="B8" s="1">
        <v>-2111</v>
      </c>
      <c r="C8">
        <f t="shared" si="0"/>
        <v>-219</v>
      </c>
      <c r="W8" s="1">
        <v>-2330</v>
      </c>
      <c r="X8" s="1">
        <v>-2330</v>
      </c>
      <c r="Y8">
        <f t="shared" si="1"/>
        <v>0</v>
      </c>
    </row>
    <row r="9" spans="1:25" x14ac:dyDescent="0.35">
      <c r="A9" s="1">
        <v>-2329</v>
      </c>
      <c r="B9" s="1">
        <v>-2110</v>
      </c>
      <c r="C9">
        <f t="shared" si="0"/>
        <v>-219</v>
      </c>
      <c r="W9" s="1">
        <v>-2329</v>
      </c>
      <c r="X9" s="1">
        <v>-2329</v>
      </c>
      <c r="Y9">
        <f t="shared" si="1"/>
        <v>0</v>
      </c>
    </row>
    <row r="10" spans="1:25" x14ac:dyDescent="0.35">
      <c r="A10" s="1">
        <v>-2328</v>
      </c>
      <c r="B10" s="1">
        <v>-2109</v>
      </c>
      <c r="C10">
        <f t="shared" si="0"/>
        <v>-219</v>
      </c>
      <c r="W10" s="1">
        <v>-2328</v>
      </c>
      <c r="X10" s="1">
        <v>-2328</v>
      </c>
      <c r="Y10">
        <f t="shared" si="1"/>
        <v>0</v>
      </c>
    </row>
    <row r="11" spans="1:25" x14ac:dyDescent="0.35">
      <c r="A11" s="1">
        <v>-2327</v>
      </c>
      <c r="B11" s="1">
        <v>-2108</v>
      </c>
      <c r="C11">
        <f t="shared" si="0"/>
        <v>-219</v>
      </c>
      <c r="W11" s="1">
        <v>-2327</v>
      </c>
      <c r="X11" s="1">
        <v>-2327</v>
      </c>
      <c r="Y11">
        <f t="shared" si="1"/>
        <v>0</v>
      </c>
    </row>
    <row r="12" spans="1:25" x14ac:dyDescent="0.35">
      <c r="A12" s="1">
        <v>-2326</v>
      </c>
      <c r="B12" s="1">
        <v>-2107</v>
      </c>
      <c r="C12">
        <f t="shared" si="0"/>
        <v>-219</v>
      </c>
      <c r="W12" s="1">
        <v>-2326</v>
      </c>
      <c r="X12" s="1">
        <v>-2326</v>
      </c>
      <c r="Y12">
        <f t="shared" si="1"/>
        <v>0</v>
      </c>
    </row>
    <row r="13" spans="1:25" x14ac:dyDescent="0.35">
      <c r="A13" s="1">
        <v>-2325</v>
      </c>
      <c r="B13" s="1">
        <v>-2106</v>
      </c>
      <c r="C13">
        <f t="shared" si="0"/>
        <v>-219</v>
      </c>
      <c r="W13" s="1">
        <v>-2325</v>
      </c>
      <c r="X13" s="1">
        <v>-2325</v>
      </c>
      <c r="Y13">
        <f t="shared" si="1"/>
        <v>0</v>
      </c>
    </row>
    <row r="14" spans="1:25" x14ac:dyDescent="0.35">
      <c r="A14" s="1">
        <v>-2324</v>
      </c>
      <c r="B14" s="1">
        <v>-2105</v>
      </c>
      <c r="C14">
        <f t="shared" si="0"/>
        <v>-219</v>
      </c>
      <c r="W14" s="1">
        <v>-2324</v>
      </c>
      <c r="X14" s="1">
        <v>-2324</v>
      </c>
      <c r="Y14">
        <f t="shared" si="1"/>
        <v>0</v>
      </c>
    </row>
    <row r="15" spans="1:25" x14ac:dyDescent="0.35">
      <c r="A15" s="1">
        <v>-2323</v>
      </c>
      <c r="B15" s="1">
        <v>-2104</v>
      </c>
      <c r="C15">
        <f t="shared" si="0"/>
        <v>-219</v>
      </c>
      <c r="W15" s="1">
        <v>-2323</v>
      </c>
      <c r="X15" s="1">
        <v>-2323</v>
      </c>
      <c r="Y15">
        <f t="shared" si="1"/>
        <v>0</v>
      </c>
    </row>
    <row r="16" spans="1:25" x14ac:dyDescent="0.35">
      <c r="A16" s="1">
        <v>-2322</v>
      </c>
      <c r="B16" s="1">
        <v>-2103</v>
      </c>
      <c r="C16">
        <f t="shared" si="0"/>
        <v>-219</v>
      </c>
      <c r="W16" s="1">
        <v>-2322</v>
      </c>
      <c r="X16" s="1">
        <v>-2322</v>
      </c>
      <c r="Y16">
        <f t="shared" si="1"/>
        <v>0</v>
      </c>
    </row>
    <row r="17" spans="1:25" x14ac:dyDescent="0.35">
      <c r="A17" s="1">
        <v>-2321</v>
      </c>
      <c r="B17" s="1">
        <v>-2102</v>
      </c>
      <c r="C17">
        <f t="shared" si="0"/>
        <v>-219</v>
      </c>
      <c r="W17" s="1">
        <v>-2321</v>
      </c>
      <c r="X17" s="1">
        <v>-2321</v>
      </c>
      <c r="Y17">
        <f t="shared" si="1"/>
        <v>0</v>
      </c>
    </row>
    <row r="18" spans="1:25" x14ac:dyDescent="0.35">
      <c r="A18" s="1">
        <v>-2320</v>
      </c>
      <c r="B18" s="1">
        <v>-2101</v>
      </c>
      <c r="C18">
        <f t="shared" si="0"/>
        <v>-219</v>
      </c>
      <c r="W18" s="1">
        <v>-2320</v>
      </c>
      <c r="X18" s="1">
        <v>-2320</v>
      </c>
      <c r="Y18">
        <f t="shared" si="1"/>
        <v>0</v>
      </c>
    </row>
    <row r="19" spans="1:25" x14ac:dyDescent="0.35">
      <c r="A19" s="1">
        <v>-2319</v>
      </c>
      <c r="B19" s="1">
        <v>-2100</v>
      </c>
      <c r="C19">
        <f t="shared" si="0"/>
        <v>-219</v>
      </c>
      <c r="W19" s="1">
        <v>-2319</v>
      </c>
      <c r="X19" s="1">
        <v>-2319</v>
      </c>
      <c r="Y19">
        <f t="shared" si="1"/>
        <v>0</v>
      </c>
    </row>
    <row r="20" spans="1:25" x14ac:dyDescent="0.35">
      <c r="A20" s="1">
        <v>-2318</v>
      </c>
      <c r="B20" s="1">
        <v>-2099</v>
      </c>
      <c r="C20">
        <f t="shared" si="0"/>
        <v>-219</v>
      </c>
      <c r="W20" s="1">
        <v>-2318</v>
      </c>
      <c r="X20" s="1">
        <v>-2318</v>
      </c>
      <c r="Y20">
        <f t="shared" si="1"/>
        <v>0</v>
      </c>
    </row>
    <row r="21" spans="1:25" x14ac:dyDescent="0.35">
      <c r="A21" s="1">
        <v>-2317</v>
      </c>
      <c r="B21" s="1">
        <v>-2098</v>
      </c>
      <c r="C21">
        <f t="shared" si="0"/>
        <v>-219</v>
      </c>
      <c r="W21" s="1">
        <v>-2317</v>
      </c>
      <c r="X21" s="1">
        <v>-2317</v>
      </c>
      <c r="Y21">
        <f t="shared" si="1"/>
        <v>0</v>
      </c>
    </row>
    <row r="22" spans="1:25" x14ac:dyDescent="0.35">
      <c r="A22" s="1">
        <v>-2316</v>
      </c>
      <c r="B22" s="1">
        <v>-2097</v>
      </c>
      <c r="C22">
        <f t="shared" si="0"/>
        <v>-219</v>
      </c>
      <c r="W22" s="1">
        <v>-2316</v>
      </c>
      <c r="X22" s="1">
        <v>-2316</v>
      </c>
      <c r="Y22">
        <f t="shared" si="1"/>
        <v>0</v>
      </c>
    </row>
    <row r="23" spans="1:25" x14ac:dyDescent="0.35">
      <c r="A23" s="1">
        <v>-2315</v>
      </c>
      <c r="B23" s="1">
        <v>-2096</v>
      </c>
      <c r="C23">
        <f t="shared" si="0"/>
        <v>-219</v>
      </c>
      <c r="W23" s="1">
        <v>-2315</v>
      </c>
      <c r="X23" s="1">
        <v>-2315</v>
      </c>
      <c r="Y23">
        <f t="shared" si="1"/>
        <v>0</v>
      </c>
    </row>
    <row r="24" spans="1:25" x14ac:dyDescent="0.35">
      <c r="A24" s="1">
        <v>-2314</v>
      </c>
      <c r="B24" s="1">
        <v>-2095</v>
      </c>
      <c r="C24">
        <f t="shared" si="0"/>
        <v>-219</v>
      </c>
      <c r="W24" s="1">
        <v>-2314</v>
      </c>
      <c r="X24" s="1">
        <v>-2314</v>
      </c>
      <c r="Y24">
        <f t="shared" si="1"/>
        <v>0</v>
      </c>
    </row>
    <row r="25" spans="1:25" x14ac:dyDescent="0.35">
      <c r="A25" s="1">
        <v>-2313</v>
      </c>
      <c r="B25" s="1">
        <v>-2094</v>
      </c>
      <c r="C25">
        <f t="shared" si="0"/>
        <v>-219</v>
      </c>
      <c r="W25" s="1">
        <v>-2313</v>
      </c>
      <c r="X25" s="1">
        <v>-2313</v>
      </c>
      <c r="Y25">
        <f t="shared" si="1"/>
        <v>0</v>
      </c>
    </row>
    <row r="26" spans="1:25" x14ac:dyDescent="0.35">
      <c r="A26" s="1">
        <v>-2312</v>
      </c>
      <c r="B26" s="1">
        <v>-2093</v>
      </c>
      <c r="C26">
        <f t="shared" si="0"/>
        <v>-219</v>
      </c>
      <c r="W26" s="1">
        <v>-2312</v>
      </c>
      <c r="X26" s="1">
        <v>-2312</v>
      </c>
      <c r="Y26">
        <f t="shared" si="1"/>
        <v>0</v>
      </c>
    </row>
    <row r="27" spans="1:25" x14ac:dyDescent="0.35">
      <c r="A27" s="1">
        <v>-2311</v>
      </c>
      <c r="B27" s="1">
        <v>-2092</v>
      </c>
      <c r="C27">
        <f t="shared" si="0"/>
        <v>-219</v>
      </c>
      <c r="W27" s="1">
        <v>-2311</v>
      </c>
      <c r="X27" s="1">
        <v>-2311</v>
      </c>
      <c r="Y27">
        <f t="shared" si="1"/>
        <v>0</v>
      </c>
    </row>
    <row r="28" spans="1:25" x14ac:dyDescent="0.35">
      <c r="A28" s="1">
        <v>-2310</v>
      </c>
      <c r="B28" s="1">
        <v>-2091</v>
      </c>
      <c r="C28">
        <f t="shared" si="0"/>
        <v>-219</v>
      </c>
      <c r="W28" s="1">
        <v>-2310</v>
      </c>
      <c r="X28" s="1">
        <v>-2310</v>
      </c>
      <c r="Y28">
        <f t="shared" si="1"/>
        <v>0</v>
      </c>
    </row>
    <row r="29" spans="1:25" x14ac:dyDescent="0.35">
      <c r="A29" s="1">
        <v>-2309</v>
      </c>
      <c r="B29" s="1">
        <v>-2090</v>
      </c>
      <c r="C29">
        <f t="shared" si="0"/>
        <v>-219</v>
      </c>
      <c r="W29" s="1">
        <v>-2309</v>
      </c>
      <c r="X29" s="1">
        <v>-2309</v>
      </c>
      <c r="Y29">
        <f t="shared" si="1"/>
        <v>0</v>
      </c>
    </row>
    <row r="30" spans="1:25" x14ac:dyDescent="0.35">
      <c r="A30" s="1">
        <v>-2308</v>
      </c>
      <c r="B30" s="1">
        <v>-2089</v>
      </c>
      <c r="C30">
        <f t="shared" si="0"/>
        <v>-219</v>
      </c>
      <c r="W30" s="1">
        <v>-2308</v>
      </c>
      <c r="X30" s="1">
        <v>-2308</v>
      </c>
      <c r="Y30">
        <f t="shared" si="1"/>
        <v>0</v>
      </c>
    </row>
    <row r="31" spans="1:25" x14ac:dyDescent="0.35">
      <c r="A31" s="1">
        <v>-2307</v>
      </c>
      <c r="B31" s="1">
        <v>-2088</v>
      </c>
      <c r="C31">
        <f t="shared" si="0"/>
        <v>-219</v>
      </c>
      <c r="W31" s="1">
        <v>-2307</v>
      </c>
      <c r="X31" s="1">
        <v>-2307</v>
      </c>
      <c r="Y31">
        <f t="shared" si="1"/>
        <v>0</v>
      </c>
    </row>
    <row r="32" spans="1:25" x14ac:dyDescent="0.35">
      <c r="A32" s="1">
        <v>-2306</v>
      </c>
      <c r="B32" s="1">
        <v>-2087</v>
      </c>
      <c r="C32">
        <f t="shared" si="0"/>
        <v>-219</v>
      </c>
      <c r="W32" s="1">
        <v>-2306</v>
      </c>
      <c r="X32" s="1">
        <v>-2306</v>
      </c>
      <c r="Y32">
        <f t="shared" si="1"/>
        <v>0</v>
      </c>
    </row>
    <row r="33" spans="1:25" x14ac:dyDescent="0.35">
      <c r="A33" s="1">
        <v>-2305</v>
      </c>
      <c r="B33" s="1">
        <v>-2086</v>
      </c>
      <c r="C33">
        <f t="shared" si="0"/>
        <v>-219</v>
      </c>
      <c r="W33" s="1">
        <v>-2305</v>
      </c>
      <c r="X33" s="1">
        <v>-2305</v>
      </c>
      <c r="Y33">
        <f t="shared" si="1"/>
        <v>0</v>
      </c>
    </row>
    <row r="34" spans="1:25" x14ac:dyDescent="0.35">
      <c r="A34" s="1">
        <v>-2304</v>
      </c>
      <c r="B34" s="1">
        <v>-2085</v>
      </c>
      <c r="C34">
        <f t="shared" si="0"/>
        <v>-219</v>
      </c>
      <c r="W34" s="1">
        <v>-2304</v>
      </c>
      <c r="X34" s="1">
        <v>-2304</v>
      </c>
      <c r="Y34">
        <f t="shared" si="1"/>
        <v>0</v>
      </c>
    </row>
    <row r="35" spans="1:25" x14ac:dyDescent="0.35">
      <c r="A35" s="1">
        <v>-2303</v>
      </c>
      <c r="B35" s="1">
        <v>-2084</v>
      </c>
      <c r="C35">
        <f t="shared" si="0"/>
        <v>-219</v>
      </c>
      <c r="W35" s="1">
        <v>-2303</v>
      </c>
      <c r="X35" s="1">
        <v>-2303</v>
      </c>
      <c r="Y35">
        <f t="shared" si="1"/>
        <v>0</v>
      </c>
    </row>
    <row r="36" spans="1:25" x14ac:dyDescent="0.35">
      <c r="A36" s="1">
        <v>-2302</v>
      </c>
      <c r="B36" s="1">
        <v>-2083</v>
      </c>
      <c r="C36">
        <f t="shared" si="0"/>
        <v>-219</v>
      </c>
      <c r="W36" s="1">
        <v>-2302</v>
      </c>
      <c r="X36" s="1">
        <v>-2302</v>
      </c>
      <c r="Y36">
        <f t="shared" si="1"/>
        <v>0</v>
      </c>
    </row>
    <row r="37" spans="1:25" x14ac:dyDescent="0.35">
      <c r="A37" s="1">
        <v>-2301</v>
      </c>
      <c r="B37" s="1">
        <v>-2082</v>
      </c>
      <c r="C37">
        <f t="shared" si="0"/>
        <v>-219</v>
      </c>
      <c r="W37" s="1">
        <v>-2301</v>
      </c>
      <c r="X37" s="1">
        <v>-2301</v>
      </c>
      <c r="Y37">
        <f t="shared" si="1"/>
        <v>0</v>
      </c>
    </row>
    <row r="38" spans="1:25" x14ac:dyDescent="0.35">
      <c r="A38" s="1">
        <v>-2300</v>
      </c>
      <c r="B38" s="1">
        <v>-2081</v>
      </c>
      <c r="C38">
        <f t="shared" si="0"/>
        <v>-219</v>
      </c>
      <c r="W38" s="1">
        <v>-2300</v>
      </c>
      <c r="X38" s="1">
        <v>-2300</v>
      </c>
      <c r="Y38">
        <f t="shared" si="1"/>
        <v>0</v>
      </c>
    </row>
    <row r="39" spans="1:25" x14ac:dyDescent="0.35">
      <c r="A39" s="1">
        <v>-2299</v>
      </c>
      <c r="B39" s="1">
        <v>-2080</v>
      </c>
      <c r="C39">
        <f t="shared" si="0"/>
        <v>-219</v>
      </c>
      <c r="W39" s="1">
        <v>-2299</v>
      </c>
      <c r="X39" s="1">
        <v>-2299</v>
      </c>
      <c r="Y39">
        <f t="shared" si="1"/>
        <v>0</v>
      </c>
    </row>
    <row r="40" spans="1:25" x14ac:dyDescent="0.35">
      <c r="A40" s="1">
        <v>-2298</v>
      </c>
      <c r="B40" s="1">
        <v>-2079</v>
      </c>
      <c r="C40">
        <f t="shared" si="0"/>
        <v>-219</v>
      </c>
      <c r="W40" s="1">
        <v>-2298</v>
      </c>
      <c r="X40" s="1">
        <v>-2298</v>
      </c>
      <c r="Y40">
        <f t="shared" si="1"/>
        <v>0</v>
      </c>
    </row>
    <row r="41" spans="1:25" x14ac:dyDescent="0.35">
      <c r="A41" s="1">
        <v>-2297</v>
      </c>
      <c r="B41" s="1">
        <v>-2078</v>
      </c>
      <c r="C41">
        <f t="shared" si="0"/>
        <v>-219</v>
      </c>
      <c r="W41" s="1">
        <v>-2297</v>
      </c>
      <c r="X41" s="1">
        <v>-2297</v>
      </c>
      <c r="Y41">
        <f t="shared" si="1"/>
        <v>0</v>
      </c>
    </row>
    <row r="42" spans="1:25" x14ac:dyDescent="0.35">
      <c r="A42" s="1">
        <v>-2296</v>
      </c>
      <c r="B42" s="1">
        <v>-2181</v>
      </c>
      <c r="C42">
        <f t="shared" si="0"/>
        <v>-115</v>
      </c>
      <c r="W42" s="1">
        <v>-2296</v>
      </c>
      <c r="X42" s="1">
        <v>-2296</v>
      </c>
      <c r="Y42">
        <f t="shared" si="1"/>
        <v>0</v>
      </c>
    </row>
    <row r="43" spans="1:25" x14ac:dyDescent="0.35">
      <c r="A43" s="1">
        <v>-2295</v>
      </c>
      <c r="B43" s="1">
        <v>-2180</v>
      </c>
      <c r="C43">
        <f t="shared" si="0"/>
        <v>-115</v>
      </c>
      <c r="W43" s="1">
        <v>-2295</v>
      </c>
      <c r="X43" s="1">
        <v>-2295</v>
      </c>
      <c r="Y43">
        <f t="shared" si="1"/>
        <v>0</v>
      </c>
    </row>
    <row r="44" spans="1:25" x14ac:dyDescent="0.35">
      <c r="A44" s="1">
        <v>-2294</v>
      </c>
      <c r="B44" s="1">
        <v>-2179</v>
      </c>
      <c r="C44">
        <f t="shared" si="0"/>
        <v>-115</v>
      </c>
      <c r="W44" s="1">
        <v>-2294</v>
      </c>
      <c r="X44" s="1">
        <v>-2294</v>
      </c>
      <c r="Y44">
        <f t="shared" si="1"/>
        <v>0</v>
      </c>
    </row>
    <row r="45" spans="1:25" x14ac:dyDescent="0.35">
      <c r="A45" s="1">
        <v>-2293</v>
      </c>
      <c r="B45" s="1">
        <v>-2178</v>
      </c>
      <c r="C45">
        <f t="shared" si="0"/>
        <v>-115</v>
      </c>
      <c r="W45" s="1">
        <v>-2293</v>
      </c>
      <c r="X45" s="1">
        <v>-2293</v>
      </c>
      <c r="Y45">
        <f t="shared" si="1"/>
        <v>0</v>
      </c>
    </row>
    <row r="46" spans="1:25" x14ac:dyDescent="0.35">
      <c r="A46" s="1">
        <v>-2292</v>
      </c>
      <c r="B46" s="1">
        <v>-2177</v>
      </c>
      <c r="C46">
        <f t="shared" si="0"/>
        <v>-115</v>
      </c>
      <c r="W46" s="1">
        <v>-2292</v>
      </c>
      <c r="X46" s="1">
        <v>-2292</v>
      </c>
      <c r="Y46">
        <f t="shared" si="1"/>
        <v>0</v>
      </c>
    </row>
    <row r="47" spans="1:25" x14ac:dyDescent="0.35">
      <c r="A47" s="1">
        <v>-2395</v>
      </c>
      <c r="B47" s="1">
        <v>-2176</v>
      </c>
      <c r="C47">
        <f t="shared" si="0"/>
        <v>-219</v>
      </c>
      <c r="W47" s="1">
        <v>-2395</v>
      </c>
      <c r="X47" s="1">
        <v>-2395</v>
      </c>
      <c r="Y47">
        <f t="shared" si="1"/>
        <v>0</v>
      </c>
    </row>
    <row r="48" spans="1:25" x14ac:dyDescent="0.35">
      <c r="A48" s="1">
        <v>-2394</v>
      </c>
      <c r="B48" s="1">
        <v>-2175</v>
      </c>
      <c r="C48">
        <f t="shared" si="0"/>
        <v>-219</v>
      </c>
      <c r="W48" s="1">
        <v>-2394</v>
      </c>
      <c r="X48" s="1">
        <v>-2394</v>
      </c>
      <c r="Y48">
        <f t="shared" si="1"/>
        <v>0</v>
      </c>
    </row>
    <row r="49" spans="1:25" x14ac:dyDescent="0.35">
      <c r="A49" s="1">
        <v>-2393</v>
      </c>
      <c r="B49" s="1">
        <v>-2174</v>
      </c>
      <c r="C49">
        <f t="shared" si="0"/>
        <v>-219</v>
      </c>
      <c r="W49" s="1">
        <v>-2393</v>
      </c>
      <c r="X49" s="1">
        <v>-2393</v>
      </c>
      <c r="Y49">
        <f t="shared" si="1"/>
        <v>0</v>
      </c>
    </row>
    <row r="50" spans="1:25" x14ac:dyDescent="0.35">
      <c r="A50" s="1">
        <v>-2392</v>
      </c>
      <c r="B50" s="1">
        <v>-2173</v>
      </c>
      <c r="C50">
        <f t="shared" si="0"/>
        <v>-219</v>
      </c>
      <c r="W50" s="1">
        <v>-2392</v>
      </c>
      <c r="X50" s="1">
        <v>-2392</v>
      </c>
      <c r="Y50">
        <f t="shared" si="1"/>
        <v>0</v>
      </c>
    </row>
    <row r="51" spans="1:25" x14ac:dyDescent="0.35">
      <c r="A51" s="1">
        <v>-2391</v>
      </c>
      <c r="B51" s="1">
        <v>-2172</v>
      </c>
      <c r="C51">
        <f t="shared" si="0"/>
        <v>-219</v>
      </c>
      <c r="W51" s="1">
        <v>-2391</v>
      </c>
      <c r="X51" s="1">
        <v>-2391</v>
      </c>
      <c r="Y51">
        <f t="shared" si="1"/>
        <v>0</v>
      </c>
    </row>
    <row r="52" spans="1:25" x14ac:dyDescent="0.35">
      <c r="A52" s="1">
        <v>-2390</v>
      </c>
      <c r="B52" s="1">
        <v>-2171</v>
      </c>
      <c r="C52">
        <f t="shared" si="0"/>
        <v>-219</v>
      </c>
      <c r="W52" s="1">
        <v>-2390</v>
      </c>
      <c r="X52" s="1">
        <v>-2390</v>
      </c>
      <c r="Y52">
        <f t="shared" si="1"/>
        <v>0</v>
      </c>
    </row>
    <row r="53" spans="1:25" x14ac:dyDescent="0.35">
      <c r="A53" s="1">
        <v>-2389</v>
      </c>
      <c r="B53" s="1">
        <v>-2170</v>
      </c>
      <c r="C53">
        <f t="shared" si="0"/>
        <v>-219</v>
      </c>
      <c r="W53" s="1">
        <v>-2389</v>
      </c>
      <c r="X53" s="1">
        <v>-2389</v>
      </c>
      <c r="Y53">
        <f t="shared" si="1"/>
        <v>0</v>
      </c>
    </row>
    <row r="54" spans="1:25" x14ac:dyDescent="0.35">
      <c r="A54" s="1">
        <v>-2388</v>
      </c>
      <c r="B54" s="1">
        <v>-2169</v>
      </c>
      <c r="C54">
        <f t="shared" si="0"/>
        <v>-219</v>
      </c>
      <c r="W54" s="1">
        <v>-2388</v>
      </c>
      <c r="X54" s="1">
        <v>-2388</v>
      </c>
      <c r="Y54">
        <f t="shared" si="1"/>
        <v>0</v>
      </c>
    </row>
    <row r="55" spans="1:25" x14ac:dyDescent="0.35">
      <c r="A55" s="1">
        <v>-2387</v>
      </c>
      <c r="B55" s="1">
        <v>-2168</v>
      </c>
      <c r="C55">
        <f t="shared" si="0"/>
        <v>-219</v>
      </c>
      <c r="W55" s="1">
        <v>-2387</v>
      </c>
      <c r="X55" s="1">
        <v>-2387</v>
      </c>
      <c r="Y55">
        <f t="shared" si="1"/>
        <v>0</v>
      </c>
    </row>
    <row r="56" spans="1:25" x14ac:dyDescent="0.35">
      <c r="A56" s="1">
        <v>-2386</v>
      </c>
      <c r="B56" s="1">
        <v>-2167</v>
      </c>
      <c r="C56">
        <f t="shared" si="0"/>
        <v>-219</v>
      </c>
      <c r="W56" s="1">
        <v>-2386</v>
      </c>
      <c r="X56" s="1">
        <v>-2386</v>
      </c>
      <c r="Y56">
        <f t="shared" si="1"/>
        <v>0</v>
      </c>
    </row>
    <row r="57" spans="1:25" x14ac:dyDescent="0.35">
      <c r="A57" s="1">
        <v>-2385</v>
      </c>
      <c r="B57" s="1">
        <v>-2166</v>
      </c>
      <c r="C57">
        <f t="shared" si="0"/>
        <v>-219</v>
      </c>
      <c r="W57" s="1">
        <v>-2385</v>
      </c>
      <c r="X57" s="1">
        <v>-2385</v>
      </c>
      <c r="Y57">
        <f t="shared" si="1"/>
        <v>0</v>
      </c>
    </row>
    <row r="58" spans="1:25" x14ac:dyDescent="0.35">
      <c r="A58" s="1">
        <v>-2384</v>
      </c>
      <c r="B58" s="1">
        <v>-2165</v>
      </c>
      <c r="C58">
        <f t="shared" si="0"/>
        <v>-219</v>
      </c>
      <c r="W58" s="1">
        <v>-2384</v>
      </c>
      <c r="X58" s="1">
        <v>-2384</v>
      </c>
      <c r="Y58">
        <f t="shared" si="1"/>
        <v>0</v>
      </c>
    </row>
    <row r="59" spans="1:25" x14ac:dyDescent="0.35">
      <c r="A59" s="1">
        <v>-2383</v>
      </c>
      <c r="B59" s="1">
        <v>-2164</v>
      </c>
      <c r="C59">
        <f t="shared" si="0"/>
        <v>-219</v>
      </c>
      <c r="W59" s="1">
        <v>-2383</v>
      </c>
      <c r="X59" s="1">
        <v>-2383</v>
      </c>
      <c r="Y59">
        <f t="shared" si="1"/>
        <v>0</v>
      </c>
    </row>
    <row r="60" spans="1:25" x14ac:dyDescent="0.35">
      <c r="A60" s="1">
        <v>-2382</v>
      </c>
      <c r="B60" s="1">
        <v>-2163</v>
      </c>
      <c r="C60">
        <f t="shared" si="0"/>
        <v>-219</v>
      </c>
      <c r="W60" s="1">
        <v>-2382</v>
      </c>
      <c r="X60" s="1">
        <v>-2382</v>
      </c>
      <c r="Y60">
        <f t="shared" si="1"/>
        <v>0</v>
      </c>
    </row>
    <row r="61" spans="1:25" x14ac:dyDescent="0.35">
      <c r="A61" s="1">
        <v>-2381</v>
      </c>
      <c r="B61" s="1">
        <v>-2162</v>
      </c>
      <c r="C61">
        <f t="shared" si="0"/>
        <v>-219</v>
      </c>
      <c r="W61" s="1">
        <v>-2381</v>
      </c>
      <c r="X61" s="1">
        <v>-2381</v>
      </c>
      <c r="Y61">
        <f t="shared" si="1"/>
        <v>0</v>
      </c>
    </row>
    <row r="62" spans="1:25" x14ac:dyDescent="0.35">
      <c r="A62" s="1">
        <v>-2380</v>
      </c>
      <c r="B62" s="1">
        <v>-2161</v>
      </c>
      <c r="C62">
        <f t="shared" si="0"/>
        <v>-219</v>
      </c>
      <c r="W62" s="1">
        <v>-2380</v>
      </c>
      <c r="X62" s="1">
        <v>-2380</v>
      </c>
      <c r="Y62">
        <f t="shared" si="1"/>
        <v>0</v>
      </c>
    </row>
    <row r="63" spans="1:25" x14ac:dyDescent="0.35">
      <c r="A63" s="1">
        <v>-2379</v>
      </c>
      <c r="B63" s="1">
        <v>-2160</v>
      </c>
      <c r="C63">
        <f t="shared" si="0"/>
        <v>-219</v>
      </c>
      <c r="W63" s="1">
        <v>-2379</v>
      </c>
      <c r="X63" s="1">
        <v>-2379</v>
      </c>
      <c r="Y63">
        <f t="shared" si="1"/>
        <v>0</v>
      </c>
    </row>
    <row r="64" spans="1:25" x14ac:dyDescent="0.35">
      <c r="A64" s="1">
        <v>-2378</v>
      </c>
      <c r="B64" s="1">
        <v>-2159</v>
      </c>
      <c r="C64">
        <f t="shared" si="0"/>
        <v>-219</v>
      </c>
      <c r="W64" s="1">
        <v>-2378</v>
      </c>
      <c r="X64" s="1">
        <v>-2378</v>
      </c>
      <c r="Y64">
        <f t="shared" si="1"/>
        <v>0</v>
      </c>
    </row>
    <row r="65" spans="1:25" x14ac:dyDescent="0.35">
      <c r="A65" s="1">
        <v>-2377</v>
      </c>
      <c r="B65" s="1">
        <v>-2158</v>
      </c>
      <c r="C65">
        <f t="shared" si="0"/>
        <v>-219</v>
      </c>
      <c r="W65" s="1">
        <v>-2377</v>
      </c>
      <c r="X65" s="1">
        <v>-2377</v>
      </c>
      <c r="Y65">
        <f t="shared" si="1"/>
        <v>0</v>
      </c>
    </row>
    <row r="66" spans="1:25" x14ac:dyDescent="0.35">
      <c r="A66" s="1">
        <v>-2376</v>
      </c>
      <c r="B66" s="1">
        <v>-2157</v>
      </c>
      <c r="C66">
        <f t="shared" si="0"/>
        <v>-219</v>
      </c>
      <c r="W66" s="1">
        <v>-2376</v>
      </c>
      <c r="X66" s="1">
        <v>-2376</v>
      </c>
      <c r="Y66">
        <f t="shared" si="1"/>
        <v>0</v>
      </c>
    </row>
    <row r="67" spans="1:25" x14ac:dyDescent="0.35">
      <c r="A67" s="1">
        <v>-2375</v>
      </c>
      <c r="B67" s="1">
        <v>-2156</v>
      </c>
      <c r="C67">
        <f t="shared" ref="C67:C130" si="2">A67-B67</f>
        <v>-219</v>
      </c>
      <c r="W67" s="1">
        <v>-2375</v>
      </c>
      <c r="X67" s="1">
        <v>-2375</v>
      </c>
      <c r="Y67">
        <f t="shared" si="1"/>
        <v>0</v>
      </c>
    </row>
    <row r="68" spans="1:25" x14ac:dyDescent="0.35">
      <c r="A68" s="1">
        <v>-2374</v>
      </c>
      <c r="B68" s="1">
        <v>-2155</v>
      </c>
      <c r="C68">
        <f t="shared" si="2"/>
        <v>-219</v>
      </c>
      <c r="W68" s="1">
        <v>-2374</v>
      </c>
      <c r="X68" s="1">
        <v>-2374</v>
      </c>
      <c r="Y68">
        <f t="shared" si="1"/>
        <v>0</v>
      </c>
    </row>
    <row r="69" spans="1:25" x14ac:dyDescent="0.35">
      <c r="A69" s="1">
        <v>-2373</v>
      </c>
      <c r="B69" s="1">
        <v>-2154</v>
      </c>
      <c r="C69">
        <f t="shared" si="2"/>
        <v>-219</v>
      </c>
      <c r="W69" s="1">
        <v>-2373</v>
      </c>
      <c r="X69" s="1">
        <v>-2373</v>
      </c>
      <c r="Y69">
        <f t="shared" ref="Y69:Y132" si="3">W69-X69</f>
        <v>0</v>
      </c>
    </row>
    <row r="70" spans="1:25" x14ac:dyDescent="0.35">
      <c r="A70" s="1">
        <v>-2372</v>
      </c>
      <c r="B70" s="1">
        <v>-2153</v>
      </c>
      <c r="C70">
        <f t="shared" si="2"/>
        <v>-219</v>
      </c>
      <c r="W70" s="1">
        <v>-2372</v>
      </c>
      <c r="X70" s="1">
        <v>-2372</v>
      </c>
      <c r="Y70">
        <f t="shared" si="3"/>
        <v>0</v>
      </c>
    </row>
    <row r="71" spans="1:25" x14ac:dyDescent="0.35">
      <c r="A71" s="1">
        <v>-2371</v>
      </c>
      <c r="B71" s="1">
        <v>-2152</v>
      </c>
      <c r="C71">
        <f t="shared" si="2"/>
        <v>-219</v>
      </c>
      <c r="W71" s="1">
        <v>-2371</v>
      </c>
      <c r="X71" s="1">
        <v>-2371</v>
      </c>
      <c r="Y71">
        <f t="shared" si="3"/>
        <v>0</v>
      </c>
    </row>
    <row r="72" spans="1:25" x14ac:dyDescent="0.35">
      <c r="A72" s="1">
        <v>-2370</v>
      </c>
      <c r="B72" s="1">
        <v>-2151</v>
      </c>
      <c r="C72">
        <f t="shared" si="2"/>
        <v>-219</v>
      </c>
      <c r="W72" s="1">
        <v>-2370</v>
      </c>
      <c r="X72" s="1">
        <v>-2370</v>
      </c>
      <c r="Y72">
        <f t="shared" si="3"/>
        <v>0</v>
      </c>
    </row>
    <row r="73" spans="1:25" x14ac:dyDescent="0.35">
      <c r="A73" s="1">
        <v>-2369</v>
      </c>
      <c r="B73" s="1">
        <v>-2150</v>
      </c>
      <c r="C73">
        <f t="shared" si="2"/>
        <v>-219</v>
      </c>
      <c r="W73" s="1">
        <v>-2369</v>
      </c>
      <c r="X73" s="1">
        <v>-2369</v>
      </c>
      <c r="Y73">
        <f t="shared" si="3"/>
        <v>0</v>
      </c>
    </row>
    <row r="74" spans="1:25" x14ac:dyDescent="0.35">
      <c r="A74" s="1">
        <v>-2368</v>
      </c>
      <c r="B74" s="1">
        <v>-2149</v>
      </c>
      <c r="C74">
        <f t="shared" si="2"/>
        <v>-219</v>
      </c>
      <c r="W74" s="1">
        <v>-2368</v>
      </c>
      <c r="X74" s="1">
        <v>-2368</v>
      </c>
      <c r="Y74">
        <f t="shared" si="3"/>
        <v>0</v>
      </c>
    </row>
    <row r="75" spans="1:25" x14ac:dyDescent="0.35">
      <c r="A75" s="1">
        <v>-2367</v>
      </c>
      <c r="B75" s="1">
        <v>-2148</v>
      </c>
      <c r="C75">
        <f t="shared" si="2"/>
        <v>-219</v>
      </c>
      <c r="W75" s="1">
        <v>-2367</v>
      </c>
      <c r="X75" s="1">
        <v>-2367</v>
      </c>
      <c r="Y75">
        <f t="shared" si="3"/>
        <v>0</v>
      </c>
    </row>
    <row r="76" spans="1:25" x14ac:dyDescent="0.35">
      <c r="A76" s="1">
        <v>-2366</v>
      </c>
      <c r="B76" s="1">
        <v>-2147</v>
      </c>
      <c r="C76">
        <f t="shared" si="2"/>
        <v>-219</v>
      </c>
      <c r="W76" s="1">
        <v>-2366</v>
      </c>
      <c r="X76" s="1">
        <v>-2366</v>
      </c>
      <c r="Y76">
        <f t="shared" si="3"/>
        <v>0</v>
      </c>
    </row>
    <row r="77" spans="1:25" x14ac:dyDescent="0.35">
      <c r="A77" s="1">
        <v>-2365</v>
      </c>
      <c r="B77" s="1">
        <v>-2146</v>
      </c>
      <c r="C77">
        <f t="shared" si="2"/>
        <v>-219</v>
      </c>
      <c r="W77" s="1">
        <v>-2365</v>
      </c>
      <c r="X77" s="1">
        <v>-2365</v>
      </c>
      <c r="Y77">
        <f t="shared" si="3"/>
        <v>0</v>
      </c>
    </row>
    <row r="78" spans="1:25" x14ac:dyDescent="0.35">
      <c r="A78" s="1">
        <v>-2364</v>
      </c>
      <c r="B78" s="1">
        <v>-2145</v>
      </c>
      <c r="C78">
        <f t="shared" si="2"/>
        <v>-219</v>
      </c>
      <c r="W78" s="1">
        <v>-2364</v>
      </c>
      <c r="X78" s="1">
        <v>-2364</v>
      </c>
      <c r="Y78">
        <f t="shared" si="3"/>
        <v>0</v>
      </c>
    </row>
    <row r="79" spans="1:25" x14ac:dyDescent="0.35">
      <c r="A79" s="1">
        <v>-2363</v>
      </c>
      <c r="B79" s="1">
        <v>-2144</v>
      </c>
      <c r="C79">
        <f t="shared" si="2"/>
        <v>-219</v>
      </c>
      <c r="W79" s="1">
        <v>-2363</v>
      </c>
      <c r="X79" s="1">
        <v>-2363</v>
      </c>
      <c r="Y79">
        <f t="shared" si="3"/>
        <v>0</v>
      </c>
    </row>
    <row r="80" spans="1:25" x14ac:dyDescent="0.35">
      <c r="A80" s="1">
        <v>-2362</v>
      </c>
      <c r="B80" s="1">
        <v>-2143</v>
      </c>
      <c r="C80">
        <f t="shared" si="2"/>
        <v>-219</v>
      </c>
      <c r="W80" s="1">
        <v>-2362</v>
      </c>
      <c r="X80" s="1">
        <v>-2362</v>
      </c>
      <c r="Y80">
        <f t="shared" si="3"/>
        <v>0</v>
      </c>
    </row>
    <row r="81" spans="1:25" x14ac:dyDescent="0.35">
      <c r="A81" s="1">
        <v>-2361</v>
      </c>
      <c r="B81" s="1">
        <v>-2142</v>
      </c>
      <c r="C81">
        <f t="shared" si="2"/>
        <v>-219</v>
      </c>
      <c r="W81" s="1">
        <v>-2361</v>
      </c>
      <c r="X81" s="1">
        <v>-2361</v>
      </c>
      <c r="Y81">
        <f t="shared" si="3"/>
        <v>0</v>
      </c>
    </row>
    <row r="82" spans="1:25" x14ac:dyDescent="0.35">
      <c r="A82" s="1">
        <v>-2360</v>
      </c>
      <c r="B82" s="1">
        <v>-2141</v>
      </c>
      <c r="C82">
        <f t="shared" si="2"/>
        <v>-219</v>
      </c>
      <c r="W82" s="1">
        <v>-2360</v>
      </c>
      <c r="X82" s="1">
        <v>-2360</v>
      </c>
      <c r="Y82">
        <f t="shared" si="3"/>
        <v>0</v>
      </c>
    </row>
    <row r="83" spans="1:25" x14ac:dyDescent="0.35">
      <c r="A83" s="1">
        <v>-2359</v>
      </c>
      <c r="B83" s="1">
        <v>-2140</v>
      </c>
      <c r="C83">
        <f t="shared" si="2"/>
        <v>-219</v>
      </c>
      <c r="W83" s="1">
        <v>-2359</v>
      </c>
      <c r="X83" s="1">
        <v>-2359</v>
      </c>
      <c r="Y83">
        <f t="shared" si="3"/>
        <v>0</v>
      </c>
    </row>
    <row r="84" spans="1:25" x14ac:dyDescent="0.35">
      <c r="A84" s="1">
        <v>-2358</v>
      </c>
      <c r="B84" s="1">
        <v>-2139</v>
      </c>
      <c r="C84">
        <f t="shared" si="2"/>
        <v>-219</v>
      </c>
      <c r="W84" s="1">
        <v>-2358</v>
      </c>
      <c r="X84" s="1">
        <v>-2358</v>
      </c>
      <c r="Y84">
        <f t="shared" si="3"/>
        <v>0</v>
      </c>
    </row>
    <row r="85" spans="1:25" x14ac:dyDescent="0.35">
      <c r="A85" s="1">
        <v>-2357</v>
      </c>
      <c r="B85" s="1">
        <v>-2138</v>
      </c>
      <c r="C85">
        <f t="shared" si="2"/>
        <v>-219</v>
      </c>
      <c r="W85" s="1">
        <v>-2357</v>
      </c>
      <c r="X85" s="1">
        <v>-2357</v>
      </c>
      <c r="Y85">
        <f t="shared" si="3"/>
        <v>0</v>
      </c>
    </row>
    <row r="86" spans="1:25" x14ac:dyDescent="0.35">
      <c r="A86" s="1">
        <v>-2356</v>
      </c>
      <c r="B86" s="1">
        <v>-2137</v>
      </c>
      <c r="C86">
        <f t="shared" si="2"/>
        <v>-219</v>
      </c>
      <c r="W86" s="1">
        <v>-2356</v>
      </c>
      <c r="X86" s="1">
        <v>-2356</v>
      </c>
      <c r="Y86">
        <f t="shared" si="3"/>
        <v>0</v>
      </c>
    </row>
    <row r="87" spans="1:25" x14ac:dyDescent="0.35">
      <c r="A87" s="1">
        <v>-2355</v>
      </c>
      <c r="B87" s="1">
        <v>-2136</v>
      </c>
      <c r="C87">
        <f t="shared" si="2"/>
        <v>-219</v>
      </c>
      <c r="W87" s="1">
        <v>-2355</v>
      </c>
      <c r="X87" s="1">
        <v>-2355</v>
      </c>
      <c r="Y87">
        <f t="shared" si="3"/>
        <v>0</v>
      </c>
    </row>
    <row r="88" spans="1:25" x14ac:dyDescent="0.35">
      <c r="A88" s="1">
        <v>-2354</v>
      </c>
      <c r="B88" s="1">
        <v>-2135</v>
      </c>
      <c r="C88">
        <f t="shared" si="2"/>
        <v>-219</v>
      </c>
      <c r="W88" s="1">
        <v>-2354</v>
      </c>
      <c r="X88" s="1">
        <v>-2354</v>
      </c>
      <c r="Y88">
        <f t="shared" si="3"/>
        <v>0</v>
      </c>
    </row>
    <row r="89" spans="1:25" x14ac:dyDescent="0.35">
      <c r="A89" s="1">
        <v>-2353</v>
      </c>
      <c r="B89" s="1">
        <v>-2134</v>
      </c>
      <c r="C89">
        <f t="shared" si="2"/>
        <v>-219</v>
      </c>
      <c r="W89" s="1">
        <v>-2353</v>
      </c>
      <c r="X89" s="1">
        <v>-2353</v>
      </c>
      <c r="Y89">
        <f t="shared" si="3"/>
        <v>0</v>
      </c>
    </row>
    <row r="90" spans="1:25" x14ac:dyDescent="0.35">
      <c r="A90" s="1">
        <v>-2352</v>
      </c>
      <c r="B90" s="1">
        <v>-2133</v>
      </c>
      <c r="C90">
        <f t="shared" si="2"/>
        <v>-219</v>
      </c>
      <c r="W90" s="1">
        <v>-2352</v>
      </c>
      <c r="X90" s="1">
        <v>-2352</v>
      </c>
      <c r="Y90">
        <f t="shared" si="3"/>
        <v>0</v>
      </c>
    </row>
    <row r="91" spans="1:25" x14ac:dyDescent="0.35">
      <c r="A91" s="1">
        <v>-2351</v>
      </c>
      <c r="B91" s="1">
        <v>-2132</v>
      </c>
      <c r="C91">
        <f t="shared" si="2"/>
        <v>-219</v>
      </c>
      <c r="W91" s="1">
        <v>-2351</v>
      </c>
      <c r="X91" s="1">
        <v>-2351</v>
      </c>
      <c r="Y91">
        <f t="shared" si="3"/>
        <v>0</v>
      </c>
    </row>
    <row r="92" spans="1:25" x14ac:dyDescent="0.35">
      <c r="A92" s="1">
        <v>-2350</v>
      </c>
      <c r="B92" s="1">
        <v>-2131</v>
      </c>
      <c r="C92">
        <f t="shared" si="2"/>
        <v>-219</v>
      </c>
      <c r="W92" s="1">
        <v>-2350</v>
      </c>
      <c r="X92" s="1">
        <v>-2350</v>
      </c>
      <c r="Y92">
        <f t="shared" si="3"/>
        <v>0</v>
      </c>
    </row>
    <row r="93" spans="1:25" x14ac:dyDescent="0.35">
      <c r="A93" s="1">
        <v>-2349</v>
      </c>
      <c r="B93" s="1">
        <v>-2130</v>
      </c>
      <c r="C93">
        <f t="shared" si="2"/>
        <v>-219</v>
      </c>
      <c r="W93" s="1">
        <v>-2349</v>
      </c>
      <c r="X93" s="1">
        <v>-2349</v>
      </c>
      <c r="Y93">
        <f t="shared" si="3"/>
        <v>0</v>
      </c>
    </row>
    <row r="94" spans="1:25" x14ac:dyDescent="0.35">
      <c r="A94" s="1">
        <v>-2348</v>
      </c>
      <c r="B94" s="1">
        <v>-2233</v>
      </c>
      <c r="C94">
        <f t="shared" si="2"/>
        <v>-115</v>
      </c>
      <c r="W94" s="1">
        <v>-2348</v>
      </c>
      <c r="X94" s="1">
        <v>-2348</v>
      </c>
      <c r="Y94">
        <f t="shared" si="3"/>
        <v>0</v>
      </c>
    </row>
    <row r="95" spans="1:25" x14ac:dyDescent="0.35">
      <c r="A95" s="1">
        <v>-2347</v>
      </c>
      <c r="B95" s="1">
        <v>-2232</v>
      </c>
      <c r="C95">
        <f t="shared" si="2"/>
        <v>-115</v>
      </c>
      <c r="W95" s="1">
        <v>-2347</v>
      </c>
      <c r="X95" s="1">
        <v>-2347</v>
      </c>
      <c r="Y95">
        <f t="shared" si="3"/>
        <v>0</v>
      </c>
    </row>
    <row r="96" spans="1:25" x14ac:dyDescent="0.35">
      <c r="A96" s="1">
        <v>-2346</v>
      </c>
      <c r="B96" s="1">
        <v>-2231</v>
      </c>
      <c r="C96">
        <f t="shared" si="2"/>
        <v>-115</v>
      </c>
      <c r="W96" s="1">
        <v>-2346</v>
      </c>
      <c r="X96" s="1">
        <v>-2346</v>
      </c>
      <c r="Y96">
        <f t="shared" si="3"/>
        <v>0</v>
      </c>
    </row>
    <row r="97" spans="1:25" x14ac:dyDescent="0.35">
      <c r="A97" s="1">
        <v>-2345</v>
      </c>
      <c r="B97" s="1">
        <v>-2230</v>
      </c>
      <c r="C97">
        <f t="shared" si="2"/>
        <v>-115</v>
      </c>
      <c r="W97" s="1">
        <v>-2345</v>
      </c>
      <c r="X97" s="1">
        <v>-2345</v>
      </c>
      <c r="Y97">
        <f t="shared" si="3"/>
        <v>0</v>
      </c>
    </row>
    <row r="98" spans="1:25" x14ac:dyDescent="0.35">
      <c r="A98" s="1">
        <v>-2344</v>
      </c>
      <c r="B98" s="1">
        <v>-2229</v>
      </c>
      <c r="C98">
        <f t="shared" si="2"/>
        <v>-115</v>
      </c>
      <c r="W98" s="1">
        <v>-2344</v>
      </c>
      <c r="X98" s="1">
        <v>-2344</v>
      </c>
      <c r="Y98">
        <f t="shared" si="3"/>
        <v>0</v>
      </c>
    </row>
    <row r="99" spans="1:25" x14ac:dyDescent="0.35">
      <c r="A99" s="1">
        <v>-2447</v>
      </c>
      <c r="B99" s="1">
        <v>-2228</v>
      </c>
      <c r="C99">
        <f t="shared" si="2"/>
        <v>-219</v>
      </c>
      <c r="W99" s="1">
        <v>-2447</v>
      </c>
      <c r="X99" s="1">
        <v>-2447</v>
      </c>
      <c r="Y99">
        <f t="shared" si="3"/>
        <v>0</v>
      </c>
    </row>
    <row r="100" spans="1:25" x14ac:dyDescent="0.35">
      <c r="A100" s="1">
        <v>-2446</v>
      </c>
      <c r="B100" s="1">
        <v>-2227</v>
      </c>
      <c r="C100">
        <f t="shared" si="2"/>
        <v>-219</v>
      </c>
      <c r="W100" s="1">
        <v>-2446</v>
      </c>
      <c r="X100" s="1">
        <v>-2446</v>
      </c>
      <c r="Y100">
        <f t="shared" si="3"/>
        <v>0</v>
      </c>
    </row>
    <row r="101" spans="1:25" x14ac:dyDescent="0.35">
      <c r="A101" s="1">
        <v>-2445</v>
      </c>
      <c r="B101" s="1">
        <v>-2226</v>
      </c>
      <c r="C101">
        <f t="shared" si="2"/>
        <v>-219</v>
      </c>
      <c r="W101" s="1">
        <v>-2445</v>
      </c>
      <c r="X101" s="1">
        <v>-2445</v>
      </c>
      <c r="Y101">
        <f t="shared" si="3"/>
        <v>0</v>
      </c>
    </row>
    <row r="102" spans="1:25" x14ac:dyDescent="0.35">
      <c r="A102" s="1">
        <v>-2444</v>
      </c>
      <c r="B102" s="1">
        <v>-2225</v>
      </c>
      <c r="C102">
        <f t="shared" si="2"/>
        <v>-219</v>
      </c>
      <c r="W102" s="1">
        <v>-2444</v>
      </c>
      <c r="X102" s="1">
        <v>-2444</v>
      </c>
      <c r="Y102">
        <f t="shared" si="3"/>
        <v>0</v>
      </c>
    </row>
    <row r="103" spans="1:25" x14ac:dyDescent="0.35">
      <c r="A103" s="1">
        <v>-2443</v>
      </c>
      <c r="B103" s="1">
        <v>-2224</v>
      </c>
      <c r="C103">
        <f t="shared" si="2"/>
        <v>-219</v>
      </c>
      <c r="W103" s="1">
        <v>-2443</v>
      </c>
      <c r="X103" s="1">
        <v>-2443</v>
      </c>
      <c r="Y103">
        <f t="shared" si="3"/>
        <v>0</v>
      </c>
    </row>
    <row r="104" spans="1:25" x14ac:dyDescent="0.35">
      <c r="A104" s="1">
        <v>-2442</v>
      </c>
      <c r="B104" s="1">
        <v>-2223</v>
      </c>
      <c r="C104">
        <f t="shared" si="2"/>
        <v>-219</v>
      </c>
      <c r="W104" s="1">
        <v>-2442</v>
      </c>
      <c r="X104" s="1">
        <v>-2442</v>
      </c>
      <c r="Y104">
        <f t="shared" si="3"/>
        <v>0</v>
      </c>
    </row>
    <row r="105" spans="1:25" x14ac:dyDescent="0.35">
      <c r="A105" s="1">
        <v>-2441</v>
      </c>
      <c r="B105" s="1">
        <v>-2222</v>
      </c>
      <c r="C105">
        <f t="shared" si="2"/>
        <v>-219</v>
      </c>
      <c r="W105" s="1">
        <v>-2441</v>
      </c>
      <c r="X105" s="1">
        <v>-2441</v>
      </c>
      <c r="Y105">
        <f t="shared" si="3"/>
        <v>0</v>
      </c>
    </row>
    <row r="106" spans="1:25" x14ac:dyDescent="0.35">
      <c r="A106" s="1">
        <v>-2440</v>
      </c>
      <c r="B106" s="1">
        <v>-2221</v>
      </c>
      <c r="C106">
        <f t="shared" si="2"/>
        <v>-219</v>
      </c>
      <c r="W106" s="1">
        <v>-2440</v>
      </c>
      <c r="X106" s="1">
        <v>-2440</v>
      </c>
      <c r="Y106">
        <f t="shared" si="3"/>
        <v>0</v>
      </c>
    </row>
    <row r="107" spans="1:25" x14ac:dyDescent="0.35">
      <c r="A107" s="1">
        <v>-2439</v>
      </c>
      <c r="B107" s="1">
        <v>-2220</v>
      </c>
      <c r="C107">
        <f t="shared" si="2"/>
        <v>-219</v>
      </c>
      <c r="W107" s="1">
        <v>-2439</v>
      </c>
      <c r="X107" s="1">
        <v>-2439</v>
      </c>
      <c r="Y107">
        <f t="shared" si="3"/>
        <v>0</v>
      </c>
    </row>
    <row r="108" spans="1:25" x14ac:dyDescent="0.35">
      <c r="A108" s="1">
        <v>-2438</v>
      </c>
      <c r="B108" s="1">
        <v>-2219</v>
      </c>
      <c r="C108">
        <f t="shared" si="2"/>
        <v>-219</v>
      </c>
      <c r="W108" s="1">
        <v>-2438</v>
      </c>
      <c r="X108" s="1">
        <v>-2438</v>
      </c>
      <c r="Y108">
        <f t="shared" si="3"/>
        <v>0</v>
      </c>
    </row>
    <row r="109" spans="1:25" x14ac:dyDescent="0.35">
      <c r="A109" s="1">
        <v>-2437</v>
      </c>
      <c r="B109" s="1">
        <v>-2218</v>
      </c>
      <c r="C109">
        <f t="shared" si="2"/>
        <v>-219</v>
      </c>
      <c r="W109" s="1">
        <v>-2437</v>
      </c>
      <c r="X109" s="1">
        <v>-2437</v>
      </c>
      <c r="Y109">
        <f t="shared" si="3"/>
        <v>0</v>
      </c>
    </row>
    <row r="110" spans="1:25" x14ac:dyDescent="0.35">
      <c r="A110" s="1">
        <v>-2436</v>
      </c>
      <c r="B110" s="1">
        <v>-2217</v>
      </c>
      <c r="C110">
        <f t="shared" si="2"/>
        <v>-219</v>
      </c>
      <c r="W110" s="1">
        <v>-2436</v>
      </c>
      <c r="X110" s="1">
        <v>-2436</v>
      </c>
      <c r="Y110">
        <f t="shared" si="3"/>
        <v>0</v>
      </c>
    </row>
    <row r="111" spans="1:25" x14ac:dyDescent="0.35">
      <c r="A111" s="1">
        <v>-2435</v>
      </c>
      <c r="B111" s="1">
        <v>-2216</v>
      </c>
      <c r="C111">
        <f t="shared" si="2"/>
        <v>-219</v>
      </c>
      <c r="W111" s="1">
        <v>-2435</v>
      </c>
      <c r="X111" s="1">
        <v>-2435</v>
      </c>
      <c r="Y111">
        <f t="shared" si="3"/>
        <v>0</v>
      </c>
    </row>
    <row r="112" spans="1:25" x14ac:dyDescent="0.35">
      <c r="A112" s="1">
        <v>-2434</v>
      </c>
      <c r="B112" s="1">
        <v>-2215</v>
      </c>
      <c r="C112">
        <f t="shared" si="2"/>
        <v>-219</v>
      </c>
      <c r="W112" s="1">
        <v>-2434</v>
      </c>
      <c r="X112" s="1">
        <v>-2434</v>
      </c>
      <c r="Y112">
        <f t="shared" si="3"/>
        <v>0</v>
      </c>
    </row>
    <row r="113" spans="1:25" x14ac:dyDescent="0.35">
      <c r="A113" s="1">
        <v>-2433</v>
      </c>
      <c r="B113" s="1">
        <v>-2214</v>
      </c>
      <c r="C113">
        <f t="shared" si="2"/>
        <v>-219</v>
      </c>
      <c r="W113" s="1">
        <v>-2433</v>
      </c>
      <c r="X113" s="1">
        <v>-2433</v>
      </c>
      <c r="Y113">
        <f t="shared" si="3"/>
        <v>0</v>
      </c>
    </row>
    <row r="114" spans="1:25" x14ac:dyDescent="0.35">
      <c r="A114" s="1">
        <v>-2432</v>
      </c>
      <c r="B114" s="1">
        <v>-2213</v>
      </c>
      <c r="C114">
        <f t="shared" si="2"/>
        <v>-219</v>
      </c>
      <c r="W114" s="1">
        <v>-2432</v>
      </c>
      <c r="X114" s="1">
        <v>-2432</v>
      </c>
      <c r="Y114">
        <f t="shared" si="3"/>
        <v>0</v>
      </c>
    </row>
    <row r="115" spans="1:25" x14ac:dyDescent="0.35">
      <c r="A115" s="1">
        <v>-2431</v>
      </c>
      <c r="B115" s="1">
        <v>-2212</v>
      </c>
      <c r="C115">
        <f t="shared" si="2"/>
        <v>-219</v>
      </c>
      <c r="W115" s="1">
        <v>-2431</v>
      </c>
      <c r="X115" s="1">
        <v>-2431</v>
      </c>
      <c r="Y115">
        <f t="shared" si="3"/>
        <v>0</v>
      </c>
    </row>
    <row r="116" spans="1:25" x14ac:dyDescent="0.35">
      <c r="A116" s="1">
        <v>-2430</v>
      </c>
      <c r="B116" s="1">
        <v>-2211</v>
      </c>
      <c r="C116">
        <f t="shared" si="2"/>
        <v>-219</v>
      </c>
      <c r="W116" s="1">
        <v>-2430</v>
      </c>
      <c r="X116" s="1">
        <v>-2430</v>
      </c>
      <c r="Y116">
        <f t="shared" si="3"/>
        <v>0</v>
      </c>
    </row>
    <row r="117" spans="1:25" x14ac:dyDescent="0.35">
      <c r="A117" s="1">
        <v>-2429</v>
      </c>
      <c r="B117" s="1">
        <v>-2210</v>
      </c>
      <c r="C117">
        <f t="shared" si="2"/>
        <v>-219</v>
      </c>
      <c r="W117" s="1">
        <v>-2429</v>
      </c>
      <c r="X117" s="1">
        <v>-2429</v>
      </c>
      <c r="Y117">
        <f t="shared" si="3"/>
        <v>0</v>
      </c>
    </row>
    <row r="118" spans="1:25" x14ac:dyDescent="0.35">
      <c r="A118" s="1">
        <v>-2428</v>
      </c>
      <c r="B118" s="1">
        <v>-2209</v>
      </c>
      <c r="C118">
        <f t="shared" si="2"/>
        <v>-219</v>
      </c>
      <c r="W118" s="1">
        <v>-2428</v>
      </c>
      <c r="X118" s="1">
        <v>-2428</v>
      </c>
      <c r="Y118">
        <f t="shared" si="3"/>
        <v>0</v>
      </c>
    </row>
    <row r="119" spans="1:25" x14ac:dyDescent="0.35">
      <c r="A119" s="1">
        <v>-2427</v>
      </c>
      <c r="B119" s="1">
        <v>-2208</v>
      </c>
      <c r="C119">
        <f t="shared" si="2"/>
        <v>-219</v>
      </c>
      <c r="W119" s="1">
        <v>-2427</v>
      </c>
      <c r="X119" s="1">
        <v>-2427</v>
      </c>
      <c r="Y119">
        <f t="shared" si="3"/>
        <v>0</v>
      </c>
    </row>
    <row r="120" spans="1:25" x14ac:dyDescent="0.35">
      <c r="A120" s="1">
        <v>-2426</v>
      </c>
      <c r="B120" s="1">
        <v>-2207</v>
      </c>
      <c r="C120">
        <f t="shared" si="2"/>
        <v>-219</v>
      </c>
      <c r="W120" s="1">
        <v>-2426</v>
      </c>
      <c r="X120" s="1">
        <v>-2426</v>
      </c>
      <c r="Y120">
        <f t="shared" si="3"/>
        <v>0</v>
      </c>
    </row>
    <row r="121" spans="1:25" x14ac:dyDescent="0.35">
      <c r="A121" s="1">
        <v>-2425</v>
      </c>
      <c r="B121" s="1">
        <v>-2206</v>
      </c>
      <c r="C121">
        <f t="shared" si="2"/>
        <v>-219</v>
      </c>
      <c r="W121" s="1">
        <v>-2425</v>
      </c>
      <c r="X121" s="1">
        <v>-2425</v>
      </c>
      <c r="Y121">
        <f t="shared" si="3"/>
        <v>0</v>
      </c>
    </row>
    <row r="122" spans="1:25" x14ac:dyDescent="0.35">
      <c r="A122" s="1">
        <v>-2424</v>
      </c>
      <c r="B122" s="1">
        <v>-2205</v>
      </c>
      <c r="C122">
        <f t="shared" si="2"/>
        <v>-219</v>
      </c>
      <c r="W122" s="1">
        <v>-2424</v>
      </c>
      <c r="X122" s="1">
        <v>-2424</v>
      </c>
      <c r="Y122">
        <f t="shared" si="3"/>
        <v>0</v>
      </c>
    </row>
    <row r="123" spans="1:25" x14ac:dyDescent="0.35">
      <c r="A123" s="1">
        <v>-2423</v>
      </c>
      <c r="B123" s="1">
        <v>-2204</v>
      </c>
      <c r="C123">
        <f t="shared" si="2"/>
        <v>-219</v>
      </c>
      <c r="W123" s="1">
        <v>-2423</v>
      </c>
      <c r="X123" s="1">
        <v>-2423</v>
      </c>
      <c r="Y123">
        <f t="shared" si="3"/>
        <v>0</v>
      </c>
    </row>
    <row r="124" spans="1:25" x14ac:dyDescent="0.35">
      <c r="A124" s="1">
        <v>-2422</v>
      </c>
      <c r="B124" s="1">
        <v>-2203</v>
      </c>
      <c r="C124">
        <f t="shared" si="2"/>
        <v>-219</v>
      </c>
      <c r="W124" s="1">
        <v>-2422</v>
      </c>
      <c r="X124" s="1">
        <v>-2422</v>
      </c>
      <c r="Y124">
        <f t="shared" si="3"/>
        <v>0</v>
      </c>
    </row>
    <row r="125" spans="1:25" x14ac:dyDescent="0.35">
      <c r="A125" s="1">
        <v>-2421</v>
      </c>
      <c r="B125" s="1">
        <v>-2202</v>
      </c>
      <c r="C125">
        <f t="shared" si="2"/>
        <v>-219</v>
      </c>
      <c r="W125" s="1">
        <v>-2421</v>
      </c>
      <c r="X125" s="1">
        <v>-2421</v>
      </c>
      <c r="Y125">
        <f t="shared" si="3"/>
        <v>0</v>
      </c>
    </row>
    <row r="126" spans="1:25" x14ac:dyDescent="0.35">
      <c r="A126" s="1">
        <v>-2420</v>
      </c>
      <c r="B126" s="1">
        <v>-2201</v>
      </c>
      <c r="C126">
        <f t="shared" si="2"/>
        <v>-219</v>
      </c>
      <c r="W126" s="1">
        <v>-2420</v>
      </c>
      <c r="X126" s="1">
        <v>-2420</v>
      </c>
      <c r="Y126">
        <f t="shared" si="3"/>
        <v>0</v>
      </c>
    </row>
    <row r="127" spans="1:25" x14ac:dyDescent="0.35">
      <c r="A127" s="1">
        <v>-2419</v>
      </c>
      <c r="B127" s="1">
        <v>-2200</v>
      </c>
      <c r="C127">
        <f t="shared" si="2"/>
        <v>-219</v>
      </c>
      <c r="W127" s="1">
        <v>-2419</v>
      </c>
      <c r="X127" s="1">
        <v>-2419</v>
      </c>
      <c r="Y127">
        <f t="shared" si="3"/>
        <v>0</v>
      </c>
    </row>
    <row r="128" spans="1:25" x14ac:dyDescent="0.35">
      <c r="A128" s="1">
        <v>-2418</v>
      </c>
      <c r="B128" s="1">
        <v>-2199</v>
      </c>
      <c r="C128">
        <f t="shared" si="2"/>
        <v>-219</v>
      </c>
      <c r="W128" s="1">
        <v>-2418</v>
      </c>
      <c r="X128" s="1">
        <v>-2418</v>
      </c>
      <c r="Y128">
        <f t="shared" si="3"/>
        <v>0</v>
      </c>
    </row>
    <row r="129" spans="1:25" x14ac:dyDescent="0.35">
      <c r="A129" s="1">
        <v>-2417</v>
      </c>
      <c r="B129" s="1">
        <v>-2198</v>
      </c>
      <c r="C129">
        <f t="shared" si="2"/>
        <v>-219</v>
      </c>
      <c r="W129" s="1">
        <v>-2417</v>
      </c>
      <c r="X129" s="1">
        <v>-2417</v>
      </c>
      <c r="Y129">
        <f t="shared" si="3"/>
        <v>0</v>
      </c>
    </row>
    <row r="130" spans="1:25" x14ac:dyDescent="0.35">
      <c r="A130" s="1">
        <v>-2416</v>
      </c>
      <c r="B130" s="1">
        <v>-2197</v>
      </c>
      <c r="C130">
        <f t="shared" si="2"/>
        <v>-219</v>
      </c>
      <c r="W130" s="1">
        <v>-2416</v>
      </c>
      <c r="X130" s="1">
        <v>-2416</v>
      </c>
      <c r="Y130">
        <f t="shared" si="3"/>
        <v>0</v>
      </c>
    </row>
    <row r="131" spans="1:25" x14ac:dyDescent="0.35">
      <c r="A131" s="1">
        <v>-2415</v>
      </c>
      <c r="B131" s="1">
        <v>-2196</v>
      </c>
      <c r="C131">
        <f t="shared" ref="C131:C194" si="4">A131-B131</f>
        <v>-219</v>
      </c>
      <c r="W131" s="1">
        <v>-2415</v>
      </c>
      <c r="X131" s="1">
        <v>-2415</v>
      </c>
      <c r="Y131">
        <f t="shared" si="3"/>
        <v>0</v>
      </c>
    </row>
    <row r="132" spans="1:25" x14ac:dyDescent="0.35">
      <c r="A132" s="1">
        <v>-2414</v>
      </c>
      <c r="B132" s="1">
        <v>-2195</v>
      </c>
      <c r="C132">
        <f t="shared" si="4"/>
        <v>-219</v>
      </c>
      <c r="W132" s="1">
        <v>-2414</v>
      </c>
      <c r="X132" s="1">
        <v>-2414</v>
      </c>
      <c r="Y132">
        <f t="shared" si="3"/>
        <v>0</v>
      </c>
    </row>
    <row r="133" spans="1:25" x14ac:dyDescent="0.35">
      <c r="A133" s="1">
        <v>-2413</v>
      </c>
      <c r="B133" s="1">
        <v>-2194</v>
      </c>
      <c r="C133">
        <f t="shared" si="4"/>
        <v>-219</v>
      </c>
      <c r="W133" s="1">
        <v>-2413</v>
      </c>
      <c r="X133" s="1">
        <v>-2413</v>
      </c>
      <c r="Y133">
        <f t="shared" ref="Y133:Y196" si="5">W133-X133</f>
        <v>0</v>
      </c>
    </row>
    <row r="134" spans="1:25" x14ac:dyDescent="0.35">
      <c r="A134" s="1">
        <v>-2412</v>
      </c>
      <c r="B134" s="1">
        <v>-2193</v>
      </c>
      <c r="C134">
        <f t="shared" si="4"/>
        <v>-219</v>
      </c>
      <c r="W134" s="1">
        <v>-2412</v>
      </c>
      <c r="X134" s="1">
        <v>-2412</v>
      </c>
      <c r="Y134">
        <f t="shared" si="5"/>
        <v>0</v>
      </c>
    </row>
    <row r="135" spans="1:25" x14ac:dyDescent="0.35">
      <c r="A135" s="1">
        <v>-2411</v>
      </c>
      <c r="B135" s="1">
        <v>-2192</v>
      </c>
      <c r="C135">
        <f t="shared" si="4"/>
        <v>-219</v>
      </c>
      <c r="W135" s="1">
        <v>-2411</v>
      </c>
      <c r="X135" s="1">
        <v>-2411</v>
      </c>
      <c r="Y135">
        <f t="shared" si="5"/>
        <v>0</v>
      </c>
    </row>
    <row r="136" spans="1:25" x14ac:dyDescent="0.35">
      <c r="A136" s="1">
        <v>-2410</v>
      </c>
      <c r="B136" s="1">
        <v>-2191</v>
      </c>
      <c r="C136">
        <f t="shared" si="4"/>
        <v>-219</v>
      </c>
      <c r="W136" s="1">
        <v>-2410</v>
      </c>
      <c r="X136" s="1">
        <v>-2410</v>
      </c>
      <c r="Y136">
        <f t="shared" si="5"/>
        <v>0</v>
      </c>
    </row>
    <row r="137" spans="1:25" x14ac:dyDescent="0.35">
      <c r="A137" s="1">
        <v>-2409</v>
      </c>
      <c r="B137" s="1">
        <v>-2190</v>
      </c>
      <c r="C137">
        <f t="shared" si="4"/>
        <v>-219</v>
      </c>
      <c r="W137" s="1">
        <v>-2409</v>
      </c>
      <c r="X137" s="1">
        <v>-2409</v>
      </c>
      <c r="Y137">
        <f t="shared" si="5"/>
        <v>0</v>
      </c>
    </row>
    <row r="138" spans="1:25" x14ac:dyDescent="0.35">
      <c r="A138" s="1">
        <v>-2408</v>
      </c>
      <c r="B138" s="1">
        <v>-2189</v>
      </c>
      <c r="C138">
        <f t="shared" si="4"/>
        <v>-219</v>
      </c>
      <c r="W138" s="1">
        <v>-2408</v>
      </c>
      <c r="X138" s="1">
        <v>-2408</v>
      </c>
      <c r="Y138">
        <f t="shared" si="5"/>
        <v>0</v>
      </c>
    </row>
    <row r="139" spans="1:25" x14ac:dyDescent="0.35">
      <c r="A139" s="1">
        <v>-2407</v>
      </c>
      <c r="B139" s="1">
        <v>-2188</v>
      </c>
      <c r="C139">
        <f t="shared" si="4"/>
        <v>-219</v>
      </c>
      <c r="W139" s="1">
        <v>-2407</v>
      </c>
      <c r="X139" s="1">
        <v>-2407</v>
      </c>
      <c r="Y139">
        <f t="shared" si="5"/>
        <v>0</v>
      </c>
    </row>
    <row r="140" spans="1:25" x14ac:dyDescent="0.35">
      <c r="A140" s="1">
        <v>-2406</v>
      </c>
      <c r="B140" s="1">
        <v>-2187</v>
      </c>
      <c r="C140">
        <f t="shared" si="4"/>
        <v>-219</v>
      </c>
      <c r="W140" s="1">
        <v>-2406</v>
      </c>
      <c r="X140" s="1">
        <v>-2406</v>
      </c>
      <c r="Y140">
        <f t="shared" si="5"/>
        <v>0</v>
      </c>
    </row>
    <row r="141" spans="1:25" x14ac:dyDescent="0.35">
      <c r="A141" s="1">
        <v>-2405</v>
      </c>
      <c r="B141" s="1">
        <v>-2186</v>
      </c>
      <c r="C141">
        <f t="shared" si="4"/>
        <v>-219</v>
      </c>
      <c r="W141" s="1">
        <v>-2405</v>
      </c>
      <c r="X141" s="1">
        <v>-2405</v>
      </c>
      <c r="Y141">
        <f t="shared" si="5"/>
        <v>0</v>
      </c>
    </row>
    <row r="142" spans="1:25" x14ac:dyDescent="0.35">
      <c r="A142" s="1">
        <v>-2404</v>
      </c>
      <c r="B142" s="1">
        <v>-2185</v>
      </c>
      <c r="C142">
        <f t="shared" si="4"/>
        <v>-219</v>
      </c>
      <c r="W142" s="1">
        <v>-2404</v>
      </c>
      <c r="X142" s="1">
        <v>-2404</v>
      </c>
      <c r="Y142">
        <f t="shared" si="5"/>
        <v>0</v>
      </c>
    </row>
    <row r="143" spans="1:25" x14ac:dyDescent="0.35">
      <c r="A143" s="1">
        <v>-2403</v>
      </c>
      <c r="B143" s="1">
        <v>-2184</v>
      </c>
      <c r="C143">
        <f t="shared" si="4"/>
        <v>-219</v>
      </c>
      <c r="W143" s="1">
        <v>-2403</v>
      </c>
      <c r="X143" s="1">
        <v>-2403</v>
      </c>
      <c r="Y143">
        <f t="shared" si="5"/>
        <v>0</v>
      </c>
    </row>
    <row r="144" spans="1:25" x14ac:dyDescent="0.35">
      <c r="A144" s="1">
        <v>-2402</v>
      </c>
      <c r="B144" s="1">
        <v>-2183</v>
      </c>
      <c r="C144">
        <f t="shared" si="4"/>
        <v>-219</v>
      </c>
      <c r="W144" s="1">
        <v>-2402</v>
      </c>
      <c r="X144" s="1">
        <v>-2402</v>
      </c>
      <c r="Y144">
        <f t="shared" si="5"/>
        <v>0</v>
      </c>
    </row>
    <row r="145" spans="1:25" x14ac:dyDescent="0.35">
      <c r="A145" s="1">
        <v>-2401</v>
      </c>
      <c r="B145" s="1">
        <v>-2182</v>
      </c>
      <c r="C145">
        <f t="shared" si="4"/>
        <v>-219</v>
      </c>
      <c r="W145" s="1">
        <v>-2401</v>
      </c>
      <c r="X145" s="1">
        <v>-2401</v>
      </c>
      <c r="Y145">
        <f t="shared" si="5"/>
        <v>0</v>
      </c>
    </row>
    <row r="146" spans="1:25" x14ac:dyDescent="0.35">
      <c r="A146" s="1">
        <v>-2400</v>
      </c>
      <c r="B146" s="1">
        <v>-2285</v>
      </c>
      <c r="C146">
        <f t="shared" si="4"/>
        <v>-115</v>
      </c>
      <c r="W146" s="1">
        <v>-2400</v>
      </c>
      <c r="X146" s="1">
        <v>-2400</v>
      </c>
      <c r="Y146">
        <f t="shared" si="5"/>
        <v>0</v>
      </c>
    </row>
    <row r="147" spans="1:25" x14ac:dyDescent="0.35">
      <c r="A147" s="1">
        <v>-2399</v>
      </c>
      <c r="B147" s="1">
        <v>-2284</v>
      </c>
      <c r="C147">
        <f t="shared" si="4"/>
        <v>-115</v>
      </c>
      <c r="W147" s="1">
        <v>-2399</v>
      </c>
      <c r="X147" s="1">
        <v>-2399</v>
      </c>
      <c r="Y147">
        <f t="shared" si="5"/>
        <v>0</v>
      </c>
    </row>
    <row r="148" spans="1:25" x14ac:dyDescent="0.35">
      <c r="A148" s="1">
        <v>-2398</v>
      </c>
      <c r="B148" s="1">
        <v>-2283</v>
      </c>
      <c r="C148">
        <f t="shared" si="4"/>
        <v>-115</v>
      </c>
      <c r="W148" s="1">
        <v>-2398</v>
      </c>
      <c r="X148" s="1">
        <v>-2398</v>
      </c>
      <c r="Y148">
        <f t="shared" si="5"/>
        <v>0</v>
      </c>
    </row>
    <row r="149" spans="1:25" x14ac:dyDescent="0.35">
      <c r="A149" s="1">
        <v>-2397</v>
      </c>
      <c r="B149" s="1">
        <v>-2282</v>
      </c>
      <c r="C149">
        <f t="shared" si="4"/>
        <v>-115</v>
      </c>
      <c r="W149" s="1">
        <v>-2397</v>
      </c>
      <c r="X149" s="1">
        <v>-2397</v>
      </c>
      <c r="Y149">
        <f t="shared" si="5"/>
        <v>0</v>
      </c>
    </row>
    <row r="150" spans="1:25" x14ac:dyDescent="0.35">
      <c r="A150" s="1">
        <v>-2396</v>
      </c>
      <c r="B150" s="1">
        <v>-2281</v>
      </c>
      <c r="C150">
        <f t="shared" si="4"/>
        <v>-115</v>
      </c>
      <c r="W150" s="1">
        <v>-2396</v>
      </c>
      <c r="X150" s="1">
        <v>-2396</v>
      </c>
      <c r="Y150">
        <f t="shared" si="5"/>
        <v>0</v>
      </c>
    </row>
    <row r="151" spans="1:25" x14ac:dyDescent="0.35">
      <c r="A151" s="1">
        <v>-2499</v>
      </c>
      <c r="B151" s="1">
        <v>-2280</v>
      </c>
      <c r="C151">
        <f t="shared" si="4"/>
        <v>-219</v>
      </c>
      <c r="W151" s="1">
        <v>-2499</v>
      </c>
      <c r="X151" s="1">
        <v>-2499</v>
      </c>
      <c r="Y151">
        <f t="shared" si="5"/>
        <v>0</v>
      </c>
    </row>
    <row r="152" spans="1:25" x14ac:dyDescent="0.35">
      <c r="A152" s="1">
        <v>-2498</v>
      </c>
      <c r="B152" s="1">
        <v>-2279</v>
      </c>
      <c r="C152">
        <f t="shared" si="4"/>
        <v>-219</v>
      </c>
      <c r="W152" s="1">
        <v>-2498</v>
      </c>
      <c r="X152" s="1">
        <v>-2498</v>
      </c>
      <c r="Y152">
        <f t="shared" si="5"/>
        <v>0</v>
      </c>
    </row>
    <row r="153" spans="1:25" x14ac:dyDescent="0.35">
      <c r="A153" s="1">
        <v>-2497</v>
      </c>
      <c r="B153" s="1">
        <v>-2278</v>
      </c>
      <c r="C153">
        <f t="shared" si="4"/>
        <v>-219</v>
      </c>
      <c r="W153" s="1">
        <v>-2497</v>
      </c>
      <c r="X153" s="1">
        <v>-2497</v>
      </c>
      <c r="Y153">
        <f t="shared" si="5"/>
        <v>0</v>
      </c>
    </row>
    <row r="154" spans="1:25" x14ac:dyDescent="0.35">
      <c r="A154" s="1">
        <v>-2496</v>
      </c>
      <c r="B154" s="1">
        <v>-2277</v>
      </c>
      <c r="C154">
        <f t="shared" si="4"/>
        <v>-219</v>
      </c>
      <c r="W154" s="1">
        <v>-2496</v>
      </c>
      <c r="X154" s="1">
        <v>-2496</v>
      </c>
      <c r="Y154">
        <f t="shared" si="5"/>
        <v>0</v>
      </c>
    </row>
    <row r="155" spans="1:25" x14ac:dyDescent="0.35">
      <c r="A155" s="1">
        <v>-2495</v>
      </c>
      <c r="B155" s="1">
        <v>-2276</v>
      </c>
      <c r="C155">
        <f t="shared" si="4"/>
        <v>-219</v>
      </c>
      <c r="W155" s="1">
        <v>-2495</v>
      </c>
      <c r="X155" s="1">
        <v>-2495</v>
      </c>
      <c r="Y155">
        <f t="shared" si="5"/>
        <v>0</v>
      </c>
    </row>
    <row r="156" spans="1:25" x14ac:dyDescent="0.35">
      <c r="A156" s="1">
        <v>-2494</v>
      </c>
      <c r="B156" s="1">
        <v>-2275</v>
      </c>
      <c r="C156">
        <f t="shared" si="4"/>
        <v>-219</v>
      </c>
      <c r="W156" s="1">
        <v>-2494</v>
      </c>
      <c r="X156" s="1">
        <v>-2494</v>
      </c>
      <c r="Y156">
        <f t="shared" si="5"/>
        <v>0</v>
      </c>
    </row>
    <row r="157" spans="1:25" x14ac:dyDescent="0.35">
      <c r="A157" s="1">
        <v>-2493</v>
      </c>
      <c r="B157" s="1">
        <v>-2274</v>
      </c>
      <c r="C157">
        <f t="shared" si="4"/>
        <v>-219</v>
      </c>
      <c r="W157" s="1">
        <v>-2493</v>
      </c>
      <c r="X157" s="1">
        <v>-2493</v>
      </c>
      <c r="Y157">
        <f t="shared" si="5"/>
        <v>0</v>
      </c>
    </row>
    <row r="158" spans="1:25" x14ac:dyDescent="0.35">
      <c r="A158" s="1">
        <v>-2492</v>
      </c>
      <c r="B158" s="1">
        <v>-2273</v>
      </c>
      <c r="C158">
        <f t="shared" si="4"/>
        <v>-219</v>
      </c>
      <c r="W158" s="1">
        <v>-2492</v>
      </c>
      <c r="X158" s="1">
        <v>-2492</v>
      </c>
      <c r="Y158">
        <f t="shared" si="5"/>
        <v>0</v>
      </c>
    </row>
    <row r="159" spans="1:25" x14ac:dyDescent="0.35">
      <c r="A159" s="1">
        <v>-2491</v>
      </c>
      <c r="B159" s="1">
        <v>-2272</v>
      </c>
      <c r="C159">
        <f t="shared" si="4"/>
        <v>-219</v>
      </c>
      <c r="W159" s="1">
        <v>-2491</v>
      </c>
      <c r="X159" s="1">
        <v>-2491</v>
      </c>
      <c r="Y159">
        <f t="shared" si="5"/>
        <v>0</v>
      </c>
    </row>
    <row r="160" spans="1:25" x14ac:dyDescent="0.35">
      <c r="A160" s="1">
        <v>-2490</v>
      </c>
      <c r="B160" s="1">
        <v>-2271</v>
      </c>
      <c r="C160">
        <f t="shared" si="4"/>
        <v>-219</v>
      </c>
      <c r="W160" s="1">
        <v>-2490</v>
      </c>
      <c r="X160" s="1">
        <v>-2490</v>
      </c>
      <c r="Y160">
        <f t="shared" si="5"/>
        <v>0</v>
      </c>
    </row>
    <row r="161" spans="1:25" x14ac:dyDescent="0.35">
      <c r="A161" s="1">
        <v>-2489</v>
      </c>
      <c r="B161" s="1">
        <v>-2270</v>
      </c>
      <c r="C161">
        <f t="shared" si="4"/>
        <v>-219</v>
      </c>
      <c r="W161" s="1">
        <v>-2489</v>
      </c>
      <c r="X161" s="1">
        <v>-2489</v>
      </c>
      <c r="Y161">
        <f t="shared" si="5"/>
        <v>0</v>
      </c>
    </row>
    <row r="162" spans="1:25" x14ac:dyDescent="0.35">
      <c r="A162" s="1">
        <v>-2488</v>
      </c>
      <c r="B162" s="1">
        <v>-2269</v>
      </c>
      <c r="C162">
        <f t="shared" si="4"/>
        <v>-219</v>
      </c>
      <c r="W162" s="1">
        <v>-2488</v>
      </c>
      <c r="X162" s="1">
        <v>-2488</v>
      </c>
      <c r="Y162">
        <f t="shared" si="5"/>
        <v>0</v>
      </c>
    </row>
    <row r="163" spans="1:25" x14ac:dyDescent="0.35">
      <c r="A163" s="1">
        <v>-2487</v>
      </c>
      <c r="B163" s="1">
        <v>-2268</v>
      </c>
      <c r="C163">
        <f t="shared" si="4"/>
        <v>-219</v>
      </c>
      <c r="W163" s="1">
        <v>-2487</v>
      </c>
      <c r="X163" s="1">
        <v>-2487</v>
      </c>
      <c r="Y163">
        <f t="shared" si="5"/>
        <v>0</v>
      </c>
    </row>
    <row r="164" spans="1:25" x14ac:dyDescent="0.35">
      <c r="A164" s="1">
        <v>-2486</v>
      </c>
      <c r="B164" s="1">
        <v>-2267</v>
      </c>
      <c r="C164">
        <f t="shared" si="4"/>
        <v>-219</v>
      </c>
      <c r="W164" s="1">
        <v>-2486</v>
      </c>
      <c r="X164" s="1">
        <v>-2486</v>
      </c>
      <c r="Y164">
        <f t="shared" si="5"/>
        <v>0</v>
      </c>
    </row>
    <row r="165" spans="1:25" x14ac:dyDescent="0.35">
      <c r="A165" s="1">
        <v>-2485</v>
      </c>
      <c r="B165" s="1">
        <v>-2266</v>
      </c>
      <c r="C165">
        <f t="shared" si="4"/>
        <v>-219</v>
      </c>
      <c r="W165" s="1">
        <v>-2485</v>
      </c>
      <c r="X165" s="1">
        <v>-2485</v>
      </c>
      <c r="Y165">
        <f t="shared" si="5"/>
        <v>0</v>
      </c>
    </row>
    <row r="166" spans="1:25" x14ac:dyDescent="0.35">
      <c r="A166" s="1">
        <v>-2484</v>
      </c>
      <c r="B166" s="1">
        <v>-2265</v>
      </c>
      <c r="C166">
        <f t="shared" si="4"/>
        <v>-219</v>
      </c>
      <c r="W166" s="1">
        <v>-2484</v>
      </c>
      <c r="X166" s="1">
        <v>-2484</v>
      </c>
      <c r="Y166">
        <f t="shared" si="5"/>
        <v>0</v>
      </c>
    </row>
    <row r="167" spans="1:25" x14ac:dyDescent="0.35">
      <c r="A167" s="1">
        <v>-2483</v>
      </c>
      <c r="B167" s="1">
        <v>-2264</v>
      </c>
      <c r="C167">
        <f t="shared" si="4"/>
        <v>-219</v>
      </c>
      <c r="W167" s="1">
        <v>-2483</v>
      </c>
      <c r="X167" s="1">
        <v>-2483</v>
      </c>
      <c r="Y167">
        <f t="shared" si="5"/>
        <v>0</v>
      </c>
    </row>
    <row r="168" spans="1:25" x14ac:dyDescent="0.35">
      <c r="A168" s="1">
        <v>-2482</v>
      </c>
      <c r="B168" s="1">
        <v>-2263</v>
      </c>
      <c r="C168">
        <f t="shared" si="4"/>
        <v>-219</v>
      </c>
      <c r="W168" s="1">
        <v>-2482</v>
      </c>
      <c r="X168" s="1">
        <v>-2482</v>
      </c>
      <c r="Y168">
        <f t="shared" si="5"/>
        <v>0</v>
      </c>
    </row>
    <row r="169" spans="1:25" x14ac:dyDescent="0.35">
      <c r="A169" s="1">
        <v>-2481</v>
      </c>
      <c r="B169" s="1">
        <v>-2262</v>
      </c>
      <c r="C169">
        <f t="shared" si="4"/>
        <v>-219</v>
      </c>
      <c r="W169" s="1">
        <v>-2481</v>
      </c>
      <c r="X169" s="1">
        <v>-2481</v>
      </c>
      <c r="Y169">
        <f t="shared" si="5"/>
        <v>0</v>
      </c>
    </row>
    <row r="170" spans="1:25" x14ac:dyDescent="0.35">
      <c r="A170" s="1">
        <v>-2480</v>
      </c>
      <c r="B170" s="1">
        <v>-2261</v>
      </c>
      <c r="C170">
        <f t="shared" si="4"/>
        <v>-219</v>
      </c>
      <c r="W170" s="1">
        <v>-2480</v>
      </c>
      <c r="X170" s="1">
        <v>-2480</v>
      </c>
      <c r="Y170">
        <f t="shared" si="5"/>
        <v>0</v>
      </c>
    </row>
    <row r="171" spans="1:25" x14ac:dyDescent="0.35">
      <c r="A171" s="1">
        <v>-2479</v>
      </c>
      <c r="B171" s="1">
        <v>-2260</v>
      </c>
      <c r="C171">
        <f t="shared" si="4"/>
        <v>-219</v>
      </c>
      <c r="W171" s="1">
        <v>-2479</v>
      </c>
      <c r="X171" s="1">
        <v>-2479</v>
      </c>
      <c r="Y171">
        <f t="shared" si="5"/>
        <v>0</v>
      </c>
    </row>
    <row r="172" spans="1:25" x14ac:dyDescent="0.35">
      <c r="A172" s="1">
        <v>-2478</v>
      </c>
      <c r="B172" s="1">
        <v>-2259</v>
      </c>
      <c r="C172">
        <f t="shared" si="4"/>
        <v>-219</v>
      </c>
      <c r="W172" s="1">
        <v>-2478</v>
      </c>
      <c r="X172" s="1">
        <v>-2478</v>
      </c>
      <c r="Y172">
        <f t="shared" si="5"/>
        <v>0</v>
      </c>
    </row>
    <row r="173" spans="1:25" x14ac:dyDescent="0.35">
      <c r="A173" s="1">
        <v>-2477</v>
      </c>
      <c r="B173" s="1">
        <v>-2258</v>
      </c>
      <c r="C173">
        <f t="shared" si="4"/>
        <v>-219</v>
      </c>
      <c r="W173" s="1">
        <v>-2477</v>
      </c>
      <c r="X173" s="1">
        <v>-2477</v>
      </c>
      <c r="Y173">
        <f t="shared" si="5"/>
        <v>0</v>
      </c>
    </row>
    <row r="174" spans="1:25" x14ac:dyDescent="0.35">
      <c r="A174" s="1">
        <v>-2476</v>
      </c>
      <c r="B174" s="1">
        <v>-2257</v>
      </c>
      <c r="C174">
        <f t="shared" si="4"/>
        <v>-219</v>
      </c>
      <c r="W174" s="1">
        <v>-2476</v>
      </c>
      <c r="X174" s="1">
        <v>-2476</v>
      </c>
      <c r="Y174">
        <f t="shared" si="5"/>
        <v>0</v>
      </c>
    </row>
    <row r="175" spans="1:25" x14ac:dyDescent="0.35">
      <c r="A175" s="1">
        <v>-2475</v>
      </c>
      <c r="B175" s="1">
        <v>-2256</v>
      </c>
      <c r="C175">
        <f t="shared" si="4"/>
        <v>-219</v>
      </c>
      <c r="W175" s="1">
        <v>-2475</v>
      </c>
      <c r="X175" s="1">
        <v>-2475</v>
      </c>
      <c r="Y175">
        <f t="shared" si="5"/>
        <v>0</v>
      </c>
    </row>
    <row r="176" spans="1:25" x14ac:dyDescent="0.35">
      <c r="A176" s="1">
        <v>-2474</v>
      </c>
      <c r="B176" s="1">
        <v>-2255</v>
      </c>
      <c r="C176">
        <f t="shared" si="4"/>
        <v>-219</v>
      </c>
      <c r="W176" s="1">
        <v>-2474</v>
      </c>
      <c r="X176" s="1">
        <v>-2474</v>
      </c>
      <c r="Y176">
        <f t="shared" si="5"/>
        <v>0</v>
      </c>
    </row>
    <row r="177" spans="1:25" x14ac:dyDescent="0.35">
      <c r="A177" s="1">
        <v>-2473</v>
      </c>
      <c r="B177" s="1">
        <v>-2254</v>
      </c>
      <c r="C177">
        <f t="shared" si="4"/>
        <v>-219</v>
      </c>
      <c r="W177" s="1">
        <v>-2473</v>
      </c>
      <c r="X177" s="1">
        <v>-2473</v>
      </c>
      <c r="Y177">
        <f t="shared" si="5"/>
        <v>0</v>
      </c>
    </row>
    <row r="178" spans="1:25" x14ac:dyDescent="0.35">
      <c r="A178" s="1">
        <v>-2472</v>
      </c>
      <c r="B178" s="1">
        <v>-2253</v>
      </c>
      <c r="C178">
        <f t="shared" si="4"/>
        <v>-219</v>
      </c>
      <c r="W178" s="1">
        <v>-2472</v>
      </c>
      <c r="X178" s="1">
        <v>-2472</v>
      </c>
      <c r="Y178">
        <f t="shared" si="5"/>
        <v>0</v>
      </c>
    </row>
    <row r="179" spans="1:25" x14ac:dyDescent="0.35">
      <c r="A179" s="1">
        <v>-2471</v>
      </c>
      <c r="B179" s="1">
        <v>-2252</v>
      </c>
      <c r="C179">
        <f t="shared" si="4"/>
        <v>-219</v>
      </c>
      <c r="W179" s="1">
        <v>-2471</v>
      </c>
      <c r="X179" s="1">
        <v>-2471</v>
      </c>
      <c r="Y179">
        <f t="shared" si="5"/>
        <v>0</v>
      </c>
    </row>
    <row r="180" spans="1:25" x14ac:dyDescent="0.35">
      <c r="A180" s="1">
        <v>-2470</v>
      </c>
      <c r="B180" s="1">
        <v>-2251</v>
      </c>
      <c r="C180">
        <f t="shared" si="4"/>
        <v>-219</v>
      </c>
      <c r="W180" s="1">
        <v>-2470</v>
      </c>
      <c r="X180" s="1">
        <v>-2470</v>
      </c>
      <c r="Y180">
        <f t="shared" si="5"/>
        <v>0</v>
      </c>
    </row>
    <row r="181" spans="1:25" x14ac:dyDescent="0.35">
      <c r="A181" s="1">
        <v>-2469</v>
      </c>
      <c r="B181" s="1">
        <v>-2250</v>
      </c>
      <c r="C181">
        <f t="shared" si="4"/>
        <v>-219</v>
      </c>
      <c r="W181" s="1">
        <v>-2469</v>
      </c>
      <c r="X181" s="1">
        <v>-2469</v>
      </c>
      <c r="Y181">
        <f t="shared" si="5"/>
        <v>0</v>
      </c>
    </row>
    <row r="182" spans="1:25" x14ac:dyDescent="0.35">
      <c r="A182" s="1">
        <v>-2468</v>
      </c>
      <c r="B182" s="1">
        <v>-2249</v>
      </c>
      <c r="C182">
        <f t="shared" si="4"/>
        <v>-219</v>
      </c>
      <c r="W182" s="1">
        <v>-2468</v>
      </c>
      <c r="X182" s="1">
        <v>-2468</v>
      </c>
      <c r="Y182">
        <f t="shared" si="5"/>
        <v>0</v>
      </c>
    </row>
    <row r="183" spans="1:25" x14ac:dyDescent="0.35">
      <c r="A183" s="1">
        <v>-2467</v>
      </c>
      <c r="B183" s="1">
        <v>-2248</v>
      </c>
      <c r="C183">
        <f t="shared" si="4"/>
        <v>-219</v>
      </c>
      <c r="W183" s="1">
        <v>-2467</v>
      </c>
      <c r="X183" s="1">
        <v>-2467</v>
      </c>
      <c r="Y183">
        <f t="shared" si="5"/>
        <v>0</v>
      </c>
    </row>
    <row r="184" spans="1:25" x14ac:dyDescent="0.35">
      <c r="A184" s="1">
        <v>-2466</v>
      </c>
      <c r="B184" s="1">
        <v>-2247</v>
      </c>
      <c r="C184">
        <f t="shared" si="4"/>
        <v>-219</v>
      </c>
      <c r="W184" s="1">
        <v>-2466</v>
      </c>
      <c r="X184" s="1">
        <v>-2466</v>
      </c>
      <c r="Y184">
        <f t="shared" si="5"/>
        <v>0</v>
      </c>
    </row>
    <row r="185" spans="1:25" x14ac:dyDescent="0.35">
      <c r="A185" s="1">
        <v>-2465</v>
      </c>
      <c r="B185" s="1">
        <v>-2246</v>
      </c>
      <c r="C185">
        <f t="shared" si="4"/>
        <v>-219</v>
      </c>
      <c r="W185" s="1">
        <v>-2465</v>
      </c>
      <c r="X185" s="1">
        <v>-2465</v>
      </c>
      <c r="Y185">
        <f t="shared" si="5"/>
        <v>0</v>
      </c>
    </row>
    <row r="186" spans="1:25" x14ac:dyDescent="0.35">
      <c r="A186" s="1">
        <v>-2464</v>
      </c>
      <c r="B186" s="1">
        <v>-2245</v>
      </c>
      <c r="C186">
        <f t="shared" si="4"/>
        <v>-219</v>
      </c>
      <c r="W186" s="1">
        <v>-2464</v>
      </c>
      <c r="X186" s="1">
        <v>-2464</v>
      </c>
      <c r="Y186">
        <f t="shared" si="5"/>
        <v>0</v>
      </c>
    </row>
    <row r="187" spans="1:25" x14ac:dyDescent="0.35">
      <c r="A187" s="1">
        <v>-2463</v>
      </c>
      <c r="B187" s="1">
        <v>-2244</v>
      </c>
      <c r="C187">
        <f t="shared" si="4"/>
        <v>-219</v>
      </c>
      <c r="W187" s="1">
        <v>-2463</v>
      </c>
      <c r="X187" s="1">
        <v>-2463</v>
      </c>
      <c r="Y187">
        <f t="shared" si="5"/>
        <v>0</v>
      </c>
    </row>
    <row r="188" spans="1:25" x14ac:dyDescent="0.35">
      <c r="A188" s="1">
        <v>-2462</v>
      </c>
      <c r="B188" s="1">
        <v>-2243</v>
      </c>
      <c r="C188">
        <f t="shared" si="4"/>
        <v>-219</v>
      </c>
      <c r="W188" s="1">
        <v>-2462</v>
      </c>
      <c r="X188" s="1">
        <v>-2462</v>
      </c>
      <c r="Y188">
        <f t="shared" si="5"/>
        <v>0</v>
      </c>
    </row>
    <row r="189" spans="1:25" x14ac:dyDescent="0.35">
      <c r="A189" s="1">
        <v>-2461</v>
      </c>
      <c r="B189" s="1">
        <v>-2242</v>
      </c>
      <c r="C189">
        <f t="shared" si="4"/>
        <v>-219</v>
      </c>
      <c r="W189" s="1">
        <v>-2461</v>
      </c>
      <c r="X189" s="1">
        <v>-2461</v>
      </c>
      <c r="Y189">
        <f t="shared" si="5"/>
        <v>0</v>
      </c>
    </row>
    <row r="190" spans="1:25" x14ac:dyDescent="0.35">
      <c r="A190" s="1">
        <v>-2460</v>
      </c>
      <c r="B190" s="1">
        <v>-2241</v>
      </c>
      <c r="C190">
        <f t="shared" si="4"/>
        <v>-219</v>
      </c>
      <c r="W190" s="1">
        <v>-2460</v>
      </c>
      <c r="X190" s="1">
        <v>-2460</v>
      </c>
      <c r="Y190">
        <f t="shared" si="5"/>
        <v>0</v>
      </c>
    </row>
    <row r="191" spans="1:25" x14ac:dyDescent="0.35">
      <c r="A191" s="1">
        <v>-2459</v>
      </c>
      <c r="B191" s="1">
        <v>-2240</v>
      </c>
      <c r="C191">
        <f t="shared" si="4"/>
        <v>-219</v>
      </c>
      <c r="W191" s="1">
        <v>-2459</v>
      </c>
      <c r="X191" s="1">
        <v>-2459</v>
      </c>
      <c r="Y191">
        <f t="shared" si="5"/>
        <v>0</v>
      </c>
    </row>
    <row r="192" spans="1:25" x14ac:dyDescent="0.35">
      <c r="A192" s="1">
        <v>-2458</v>
      </c>
      <c r="B192" s="1">
        <v>-2239</v>
      </c>
      <c r="C192">
        <f t="shared" si="4"/>
        <v>-219</v>
      </c>
      <c r="W192" s="1">
        <v>-2458</v>
      </c>
      <c r="X192" s="1">
        <v>-2458</v>
      </c>
      <c r="Y192">
        <f t="shared" si="5"/>
        <v>0</v>
      </c>
    </row>
    <row r="193" spans="1:25" x14ac:dyDescent="0.35">
      <c r="A193" s="1">
        <v>-2457</v>
      </c>
      <c r="B193" s="1">
        <v>-2238</v>
      </c>
      <c r="C193">
        <f t="shared" si="4"/>
        <v>-219</v>
      </c>
      <c r="W193" s="1">
        <v>-2457</v>
      </c>
      <c r="X193" s="1">
        <v>-2457</v>
      </c>
      <c r="Y193">
        <f t="shared" si="5"/>
        <v>0</v>
      </c>
    </row>
    <row r="194" spans="1:25" x14ac:dyDescent="0.35">
      <c r="A194" s="1">
        <v>-2456</v>
      </c>
      <c r="B194" s="1">
        <v>-2237</v>
      </c>
      <c r="C194">
        <f t="shared" si="4"/>
        <v>-219</v>
      </c>
      <c r="W194" s="1">
        <v>-2456</v>
      </c>
      <c r="X194" s="1">
        <v>-2456</v>
      </c>
      <c r="Y194">
        <f t="shared" si="5"/>
        <v>0</v>
      </c>
    </row>
    <row r="195" spans="1:25" x14ac:dyDescent="0.35">
      <c r="A195" s="1">
        <v>-2455</v>
      </c>
      <c r="B195" s="1">
        <v>-2236</v>
      </c>
      <c r="C195">
        <f t="shared" ref="C195:C255" si="6">A195-B195</f>
        <v>-219</v>
      </c>
      <c r="W195" s="1">
        <v>-2455</v>
      </c>
      <c r="X195" s="1">
        <v>-2455</v>
      </c>
      <c r="Y195">
        <f t="shared" si="5"/>
        <v>0</v>
      </c>
    </row>
    <row r="196" spans="1:25" x14ac:dyDescent="0.35">
      <c r="A196" s="1">
        <v>-2454</v>
      </c>
      <c r="B196" s="1">
        <v>-2235</v>
      </c>
      <c r="C196">
        <f t="shared" si="6"/>
        <v>-219</v>
      </c>
      <c r="W196" s="1">
        <v>-2454</v>
      </c>
      <c r="X196" s="1">
        <v>-2454</v>
      </c>
      <c r="Y196">
        <f t="shared" si="5"/>
        <v>0</v>
      </c>
    </row>
    <row r="197" spans="1:25" x14ac:dyDescent="0.35">
      <c r="A197" s="1">
        <v>-2453</v>
      </c>
      <c r="B197" s="1">
        <v>-2234</v>
      </c>
      <c r="C197">
        <f t="shared" si="6"/>
        <v>-219</v>
      </c>
      <c r="W197" s="1">
        <v>-2453</v>
      </c>
      <c r="X197" s="1">
        <v>-2453</v>
      </c>
      <c r="Y197">
        <f t="shared" ref="Y197:Y249" si="7">W197-X197</f>
        <v>0</v>
      </c>
    </row>
    <row r="198" spans="1:25" x14ac:dyDescent="0.35">
      <c r="A198" s="1">
        <v>-2452</v>
      </c>
      <c r="B198" s="1">
        <v>-2337</v>
      </c>
      <c r="C198">
        <f t="shared" si="6"/>
        <v>-115</v>
      </c>
      <c r="W198" s="1">
        <v>-2452</v>
      </c>
      <c r="X198" s="1">
        <v>-2452</v>
      </c>
      <c r="Y198">
        <f t="shared" si="7"/>
        <v>0</v>
      </c>
    </row>
    <row r="199" spans="1:25" x14ac:dyDescent="0.35">
      <c r="A199" s="1">
        <v>-2451</v>
      </c>
      <c r="B199" s="1">
        <v>-2336</v>
      </c>
      <c r="C199">
        <f t="shared" si="6"/>
        <v>-115</v>
      </c>
      <c r="W199" s="1">
        <v>-2451</v>
      </c>
      <c r="X199" s="1">
        <v>-2451</v>
      </c>
      <c r="Y199">
        <f t="shared" si="7"/>
        <v>0</v>
      </c>
    </row>
    <row r="200" spans="1:25" x14ac:dyDescent="0.35">
      <c r="A200" s="1">
        <v>-2450</v>
      </c>
      <c r="B200" s="1">
        <v>-2335</v>
      </c>
      <c r="C200">
        <f t="shared" si="6"/>
        <v>-115</v>
      </c>
      <c r="W200" s="1">
        <v>-2450</v>
      </c>
      <c r="X200" s="1">
        <v>-2450</v>
      </c>
      <c r="Y200">
        <f t="shared" si="7"/>
        <v>0</v>
      </c>
    </row>
    <row r="201" spans="1:25" x14ac:dyDescent="0.35">
      <c r="A201" s="1">
        <v>-2449</v>
      </c>
      <c r="B201" s="1">
        <v>-2334</v>
      </c>
      <c r="C201">
        <f t="shared" si="6"/>
        <v>-115</v>
      </c>
      <c r="W201" s="1">
        <v>-2449</v>
      </c>
      <c r="X201" s="1">
        <v>-2449</v>
      </c>
      <c r="Y201">
        <f t="shared" si="7"/>
        <v>0</v>
      </c>
    </row>
    <row r="202" spans="1:25" x14ac:dyDescent="0.35">
      <c r="A202" s="1">
        <v>-2448</v>
      </c>
      <c r="B202" s="1">
        <v>-2333</v>
      </c>
      <c r="C202">
        <f t="shared" si="6"/>
        <v>-115</v>
      </c>
      <c r="W202" s="1">
        <v>-2448</v>
      </c>
      <c r="X202" s="1">
        <v>-2448</v>
      </c>
      <c r="Y202">
        <f t="shared" si="7"/>
        <v>0</v>
      </c>
    </row>
    <row r="203" spans="1:25" x14ac:dyDescent="0.35">
      <c r="A203" s="1">
        <v>-2551</v>
      </c>
      <c r="B203" s="1">
        <v>-2332</v>
      </c>
      <c r="C203">
        <f t="shared" si="6"/>
        <v>-219</v>
      </c>
      <c r="W203" s="1">
        <v>-2551</v>
      </c>
      <c r="X203" s="1">
        <v>-2551</v>
      </c>
      <c r="Y203">
        <f t="shared" si="7"/>
        <v>0</v>
      </c>
    </row>
    <row r="204" spans="1:25" x14ac:dyDescent="0.35">
      <c r="A204" s="1">
        <v>-2550</v>
      </c>
      <c r="B204" s="1">
        <v>-2331</v>
      </c>
      <c r="C204">
        <f t="shared" si="6"/>
        <v>-219</v>
      </c>
      <c r="W204" s="1">
        <v>-2550</v>
      </c>
      <c r="X204" s="1">
        <v>-2550</v>
      </c>
      <c r="Y204">
        <f t="shared" si="7"/>
        <v>0</v>
      </c>
    </row>
    <row r="205" spans="1:25" x14ac:dyDescent="0.35">
      <c r="A205" s="1">
        <v>-2549</v>
      </c>
      <c r="B205" s="1">
        <v>-2330</v>
      </c>
      <c r="C205">
        <f t="shared" si="6"/>
        <v>-219</v>
      </c>
      <c r="W205" s="1">
        <v>-2549</v>
      </c>
      <c r="X205" s="1">
        <v>-2549</v>
      </c>
      <c r="Y205">
        <f t="shared" si="7"/>
        <v>0</v>
      </c>
    </row>
    <row r="206" spans="1:25" x14ac:dyDescent="0.35">
      <c r="A206" s="1">
        <v>-2548</v>
      </c>
      <c r="B206" s="1">
        <v>-2329</v>
      </c>
      <c r="C206">
        <f t="shared" si="6"/>
        <v>-219</v>
      </c>
      <c r="W206" s="1">
        <v>-2548</v>
      </c>
      <c r="X206" s="1">
        <v>-2548</v>
      </c>
      <c r="Y206">
        <f t="shared" si="7"/>
        <v>0</v>
      </c>
    </row>
    <row r="207" spans="1:25" x14ac:dyDescent="0.35">
      <c r="A207" s="1">
        <v>-2547</v>
      </c>
      <c r="B207" s="1">
        <v>-2328</v>
      </c>
      <c r="C207">
        <f t="shared" si="6"/>
        <v>-219</v>
      </c>
      <c r="W207" s="1">
        <v>-2547</v>
      </c>
      <c r="X207" s="1">
        <v>-2547</v>
      </c>
      <c r="Y207">
        <f t="shared" si="7"/>
        <v>0</v>
      </c>
    </row>
    <row r="208" spans="1:25" x14ac:dyDescent="0.35">
      <c r="A208" s="1">
        <v>-2546</v>
      </c>
      <c r="B208" s="1">
        <v>-2327</v>
      </c>
      <c r="C208">
        <f t="shared" si="6"/>
        <v>-219</v>
      </c>
      <c r="W208" s="1">
        <v>-2546</v>
      </c>
      <c r="X208" s="1">
        <v>-2546</v>
      </c>
      <c r="Y208">
        <f t="shared" si="7"/>
        <v>0</v>
      </c>
    </row>
    <row r="209" spans="1:25" x14ac:dyDescent="0.35">
      <c r="A209" s="1">
        <v>-2545</v>
      </c>
      <c r="B209" s="1">
        <v>-2326</v>
      </c>
      <c r="C209">
        <f t="shared" si="6"/>
        <v>-219</v>
      </c>
      <c r="W209" s="1">
        <v>-2545</v>
      </c>
      <c r="X209" s="1">
        <v>-2545</v>
      </c>
      <c r="Y209">
        <f t="shared" si="7"/>
        <v>0</v>
      </c>
    </row>
    <row r="210" spans="1:25" x14ac:dyDescent="0.35">
      <c r="A210" s="1">
        <v>-2544</v>
      </c>
      <c r="B210" s="1">
        <v>-2325</v>
      </c>
      <c r="C210">
        <f t="shared" si="6"/>
        <v>-219</v>
      </c>
      <c r="W210" s="1">
        <v>-2544</v>
      </c>
      <c r="X210" s="1">
        <v>-2544</v>
      </c>
      <c r="Y210">
        <f t="shared" si="7"/>
        <v>0</v>
      </c>
    </row>
    <row r="211" spans="1:25" x14ac:dyDescent="0.35">
      <c r="A211" s="1">
        <v>-2543</v>
      </c>
      <c r="B211" s="1">
        <v>-2324</v>
      </c>
      <c r="C211">
        <f t="shared" si="6"/>
        <v>-219</v>
      </c>
      <c r="W211" s="1">
        <v>-2543</v>
      </c>
      <c r="X211" s="1">
        <v>-2543</v>
      </c>
      <c r="Y211">
        <f t="shared" si="7"/>
        <v>0</v>
      </c>
    </row>
    <row r="212" spans="1:25" x14ac:dyDescent="0.35">
      <c r="A212" s="1">
        <v>-2542</v>
      </c>
      <c r="B212" s="1">
        <v>-2323</v>
      </c>
      <c r="C212">
        <f t="shared" si="6"/>
        <v>-219</v>
      </c>
      <c r="W212" s="1">
        <v>-2542</v>
      </c>
      <c r="X212" s="1">
        <v>-2542</v>
      </c>
      <c r="Y212">
        <f t="shared" si="7"/>
        <v>0</v>
      </c>
    </row>
    <row r="213" spans="1:25" x14ac:dyDescent="0.35">
      <c r="A213" s="1">
        <v>-2541</v>
      </c>
      <c r="B213" s="1">
        <v>-2322</v>
      </c>
      <c r="C213">
        <f t="shared" si="6"/>
        <v>-219</v>
      </c>
      <c r="W213" s="1">
        <v>-2541</v>
      </c>
      <c r="X213" s="1">
        <v>-2541</v>
      </c>
      <c r="Y213">
        <f t="shared" si="7"/>
        <v>0</v>
      </c>
    </row>
    <row r="214" spans="1:25" x14ac:dyDescent="0.35">
      <c r="A214" s="1">
        <v>-2540</v>
      </c>
      <c r="B214" s="1">
        <v>-2321</v>
      </c>
      <c r="C214">
        <f t="shared" si="6"/>
        <v>-219</v>
      </c>
      <c r="W214" s="1">
        <v>-2540</v>
      </c>
      <c r="X214" s="1">
        <v>-2540</v>
      </c>
      <c r="Y214">
        <f t="shared" si="7"/>
        <v>0</v>
      </c>
    </row>
    <row r="215" spans="1:25" x14ac:dyDescent="0.35">
      <c r="A215" s="1">
        <v>-2539</v>
      </c>
      <c r="B215" s="1">
        <v>-2320</v>
      </c>
      <c r="C215">
        <f t="shared" si="6"/>
        <v>-219</v>
      </c>
      <c r="W215" s="1">
        <v>-2539</v>
      </c>
      <c r="X215" s="1">
        <v>-2539</v>
      </c>
      <c r="Y215">
        <f t="shared" si="7"/>
        <v>0</v>
      </c>
    </row>
    <row r="216" spans="1:25" x14ac:dyDescent="0.35">
      <c r="A216" s="1">
        <v>-2538</v>
      </c>
      <c r="B216" s="1">
        <v>-2319</v>
      </c>
      <c r="C216">
        <f t="shared" si="6"/>
        <v>-219</v>
      </c>
      <c r="W216" s="1">
        <v>-2538</v>
      </c>
      <c r="X216" s="1">
        <v>-2538</v>
      </c>
      <c r="Y216">
        <f t="shared" si="7"/>
        <v>0</v>
      </c>
    </row>
    <row r="217" spans="1:25" x14ac:dyDescent="0.35">
      <c r="A217" s="1">
        <v>-2537</v>
      </c>
      <c r="B217" s="1">
        <v>-2318</v>
      </c>
      <c r="C217">
        <f t="shared" si="6"/>
        <v>-219</v>
      </c>
      <c r="W217" s="1">
        <v>-2537</v>
      </c>
      <c r="X217" s="1">
        <v>-2537</v>
      </c>
      <c r="Y217">
        <f t="shared" si="7"/>
        <v>0</v>
      </c>
    </row>
    <row r="218" spans="1:25" x14ac:dyDescent="0.35">
      <c r="A218" s="1">
        <v>-2536</v>
      </c>
      <c r="B218" s="1">
        <v>-2317</v>
      </c>
      <c r="C218">
        <f t="shared" si="6"/>
        <v>-219</v>
      </c>
      <c r="W218" s="1">
        <v>-2536</v>
      </c>
      <c r="X218" s="1">
        <v>-2536</v>
      </c>
      <c r="Y218">
        <f t="shared" si="7"/>
        <v>0</v>
      </c>
    </row>
    <row r="219" spans="1:25" x14ac:dyDescent="0.35">
      <c r="A219" s="1">
        <v>-2535</v>
      </c>
      <c r="B219" s="1">
        <v>-2316</v>
      </c>
      <c r="C219">
        <f t="shared" si="6"/>
        <v>-219</v>
      </c>
      <c r="W219" s="1">
        <v>-2535</v>
      </c>
      <c r="X219" s="1">
        <v>-2535</v>
      </c>
      <c r="Y219">
        <f t="shared" si="7"/>
        <v>0</v>
      </c>
    </row>
    <row r="220" spans="1:25" x14ac:dyDescent="0.35">
      <c r="A220" s="1">
        <v>-2534</v>
      </c>
      <c r="B220" s="1">
        <v>-2315</v>
      </c>
      <c r="C220">
        <f t="shared" si="6"/>
        <v>-219</v>
      </c>
      <c r="W220" s="1">
        <v>-2534</v>
      </c>
      <c r="X220" s="1">
        <v>-2534</v>
      </c>
      <c r="Y220">
        <f t="shared" si="7"/>
        <v>0</v>
      </c>
    </row>
    <row r="221" spans="1:25" x14ac:dyDescent="0.35">
      <c r="A221" s="1">
        <v>-2533</v>
      </c>
      <c r="B221" s="1">
        <v>-2314</v>
      </c>
      <c r="C221">
        <f t="shared" si="6"/>
        <v>-219</v>
      </c>
      <c r="W221" s="1">
        <v>-2533</v>
      </c>
      <c r="X221" s="1">
        <v>-2533</v>
      </c>
      <c r="Y221">
        <f t="shared" si="7"/>
        <v>0</v>
      </c>
    </row>
    <row r="222" spans="1:25" x14ac:dyDescent="0.35">
      <c r="A222" s="1">
        <v>-2532</v>
      </c>
      <c r="B222" s="1">
        <v>-2313</v>
      </c>
      <c r="C222">
        <f t="shared" si="6"/>
        <v>-219</v>
      </c>
      <c r="W222" s="1">
        <v>-2532</v>
      </c>
      <c r="X222" s="1">
        <v>-2532</v>
      </c>
      <c r="Y222">
        <f t="shared" si="7"/>
        <v>0</v>
      </c>
    </row>
    <row r="223" spans="1:25" x14ac:dyDescent="0.35">
      <c r="A223" s="1">
        <v>-2531</v>
      </c>
      <c r="B223" s="1">
        <v>-2312</v>
      </c>
      <c r="C223">
        <f t="shared" si="6"/>
        <v>-219</v>
      </c>
      <c r="W223" s="1">
        <v>-2531</v>
      </c>
      <c r="X223" s="1">
        <v>-2531</v>
      </c>
      <c r="Y223">
        <f t="shared" si="7"/>
        <v>0</v>
      </c>
    </row>
    <row r="224" spans="1:25" x14ac:dyDescent="0.35">
      <c r="A224" s="1">
        <v>-2530</v>
      </c>
      <c r="B224" s="1">
        <v>-2311</v>
      </c>
      <c r="C224">
        <f t="shared" si="6"/>
        <v>-219</v>
      </c>
      <c r="W224" s="1">
        <v>-2530</v>
      </c>
      <c r="X224" s="1">
        <v>-2530</v>
      </c>
      <c r="Y224">
        <f t="shared" si="7"/>
        <v>0</v>
      </c>
    </row>
    <row r="225" spans="1:25" x14ac:dyDescent="0.35">
      <c r="A225" s="1">
        <v>-2529</v>
      </c>
      <c r="B225" s="1">
        <v>-2310</v>
      </c>
      <c r="C225">
        <f t="shared" si="6"/>
        <v>-219</v>
      </c>
      <c r="W225" s="1">
        <v>-2529</v>
      </c>
      <c r="X225" s="1">
        <v>-2529</v>
      </c>
      <c r="Y225">
        <f t="shared" si="7"/>
        <v>0</v>
      </c>
    </row>
    <row r="226" spans="1:25" x14ac:dyDescent="0.35">
      <c r="A226" s="1">
        <v>-2528</v>
      </c>
      <c r="B226" s="1">
        <v>-2309</v>
      </c>
      <c r="C226">
        <f t="shared" si="6"/>
        <v>-219</v>
      </c>
      <c r="W226" s="1">
        <v>-2528</v>
      </c>
      <c r="X226" s="1">
        <v>-2528</v>
      </c>
      <c r="Y226">
        <f t="shared" si="7"/>
        <v>0</v>
      </c>
    </row>
    <row r="227" spans="1:25" x14ac:dyDescent="0.35">
      <c r="A227" s="1">
        <v>-2527</v>
      </c>
      <c r="B227" s="1">
        <v>-2308</v>
      </c>
      <c r="C227">
        <f t="shared" si="6"/>
        <v>-219</v>
      </c>
      <c r="W227" s="1">
        <v>-2527</v>
      </c>
      <c r="X227" s="1">
        <v>-2527</v>
      </c>
      <c r="Y227">
        <f t="shared" si="7"/>
        <v>0</v>
      </c>
    </row>
    <row r="228" spans="1:25" x14ac:dyDescent="0.35">
      <c r="A228" s="1">
        <v>-2526</v>
      </c>
      <c r="B228" s="1">
        <v>-2307</v>
      </c>
      <c r="C228">
        <f t="shared" si="6"/>
        <v>-219</v>
      </c>
      <c r="W228" s="1">
        <v>-2526</v>
      </c>
      <c r="X228" s="1">
        <v>-2526</v>
      </c>
      <c r="Y228">
        <f t="shared" si="7"/>
        <v>0</v>
      </c>
    </row>
    <row r="229" spans="1:25" x14ac:dyDescent="0.35">
      <c r="A229" s="1">
        <v>-2525</v>
      </c>
      <c r="B229" s="1">
        <v>-2306</v>
      </c>
      <c r="C229">
        <f t="shared" si="6"/>
        <v>-219</v>
      </c>
      <c r="W229" s="1">
        <v>-2525</v>
      </c>
      <c r="X229" s="1">
        <v>-2525</v>
      </c>
      <c r="Y229">
        <f t="shared" si="7"/>
        <v>0</v>
      </c>
    </row>
    <row r="230" spans="1:25" x14ac:dyDescent="0.35">
      <c r="A230" s="1">
        <v>-2524</v>
      </c>
      <c r="B230" s="1">
        <v>-2305</v>
      </c>
      <c r="C230">
        <f t="shared" si="6"/>
        <v>-219</v>
      </c>
      <c r="W230" s="1">
        <v>-2524</v>
      </c>
      <c r="X230" s="1">
        <v>-2524</v>
      </c>
      <c r="Y230">
        <f t="shared" si="7"/>
        <v>0</v>
      </c>
    </row>
    <row r="231" spans="1:25" x14ac:dyDescent="0.35">
      <c r="A231" s="1">
        <v>-2523</v>
      </c>
      <c r="B231" s="1">
        <v>-2304</v>
      </c>
      <c r="C231">
        <f t="shared" si="6"/>
        <v>-219</v>
      </c>
      <c r="W231" s="1">
        <v>-2523</v>
      </c>
      <c r="X231" s="1">
        <v>-2523</v>
      </c>
      <c r="Y231">
        <f t="shared" si="7"/>
        <v>0</v>
      </c>
    </row>
    <row r="232" spans="1:25" x14ac:dyDescent="0.35">
      <c r="A232" s="1">
        <v>-2522</v>
      </c>
      <c r="B232" s="1">
        <v>-2303</v>
      </c>
      <c r="C232">
        <f t="shared" si="6"/>
        <v>-219</v>
      </c>
      <c r="W232" s="1">
        <v>-2522</v>
      </c>
      <c r="X232" s="1">
        <v>-2522</v>
      </c>
      <c r="Y232">
        <f t="shared" si="7"/>
        <v>0</v>
      </c>
    </row>
    <row r="233" spans="1:25" x14ac:dyDescent="0.35">
      <c r="A233" s="1">
        <v>-2521</v>
      </c>
      <c r="B233" s="1">
        <v>-2302</v>
      </c>
      <c r="C233">
        <f t="shared" si="6"/>
        <v>-219</v>
      </c>
      <c r="W233" s="1">
        <v>-2521</v>
      </c>
      <c r="X233" s="1">
        <v>-2521</v>
      </c>
      <c r="Y233">
        <f t="shared" si="7"/>
        <v>0</v>
      </c>
    </row>
    <row r="234" spans="1:25" x14ac:dyDescent="0.35">
      <c r="A234" s="1">
        <v>-2520</v>
      </c>
      <c r="B234" s="1">
        <v>-2301</v>
      </c>
      <c r="C234">
        <f t="shared" si="6"/>
        <v>-219</v>
      </c>
      <c r="W234" s="1">
        <v>-2520</v>
      </c>
      <c r="X234" s="1">
        <v>-2520</v>
      </c>
      <c r="Y234">
        <f t="shared" si="7"/>
        <v>0</v>
      </c>
    </row>
    <row r="235" spans="1:25" x14ac:dyDescent="0.35">
      <c r="A235" s="1">
        <v>-2519</v>
      </c>
      <c r="B235" s="1">
        <v>-2300</v>
      </c>
      <c r="C235">
        <f t="shared" si="6"/>
        <v>-219</v>
      </c>
      <c r="W235" s="1">
        <v>-2519</v>
      </c>
      <c r="X235" s="1">
        <v>-2519</v>
      </c>
      <c r="Y235">
        <f t="shared" si="7"/>
        <v>0</v>
      </c>
    </row>
    <row r="236" spans="1:25" x14ac:dyDescent="0.35">
      <c r="A236" s="1">
        <v>-2518</v>
      </c>
      <c r="B236" s="1">
        <v>-2299</v>
      </c>
      <c r="C236">
        <f t="shared" si="6"/>
        <v>-219</v>
      </c>
      <c r="W236" s="1">
        <v>-2518</v>
      </c>
      <c r="X236" s="1">
        <v>-2518</v>
      </c>
      <c r="Y236">
        <f t="shared" si="7"/>
        <v>0</v>
      </c>
    </row>
    <row r="237" spans="1:25" x14ac:dyDescent="0.35">
      <c r="A237" s="1">
        <v>-2517</v>
      </c>
      <c r="B237" s="1">
        <v>-2298</v>
      </c>
      <c r="C237">
        <f t="shared" si="6"/>
        <v>-219</v>
      </c>
      <c r="W237" s="1">
        <v>-2517</v>
      </c>
      <c r="X237" s="1">
        <v>-2517</v>
      </c>
      <c r="Y237">
        <f t="shared" si="7"/>
        <v>0</v>
      </c>
    </row>
    <row r="238" spans="1:25" x14ac:dyDescent="0.35">
      <c r="A238" s="1">
        <v>-2516</v>
      </c>
      <c r="B238" s="1">
        <v>-2297</v>
      </c>
      <c r="C238">
        <f t="shared" si="6"/>
        <v>-219</v>
      </c>
      <c r="W238" s="1">
        <v>-2516</v>
      </c>
      <c r="X238" s="1">
        <v>-2516</v>
      </c>
      <c r="Y238">
        <f t="shared" si="7"/>
        <v>0</v>
      </c>
    </row>
    <row r="239" spans="1:25" x14ac:dyDescent="0.35">
      <c r="A239" s="1">
        <v>-2515</v>
      </c>
      <c r="B239" s="1">
        <v>-2296</v>
      </c>
      <c r="C239">
        <f t="shared" si="6"/>
        <v>-219</v>
      </c>
      <c r="W239" s="1">
        <v>-2515</v>
      </c>
      <c r="X239" s="1">
        <v>-2515</v>
      </c>
      <c r="Y239">
        <f t="shared" si="7"/>
        <v>0</v>
      </c>
    </row>
    <row r="240" spans="1:25" x14ac:dyDescent="0.35">
      <c r="A240" s="1">
        <v>-2514</v>
      </c>
      <c r="B240" s="1">
        <v>-2295</v>
      </c>
      <c r="C240">
        <f t="shared" si="6"/>
        <v>-219</v>
      </c>
      <c r="W240" s="1">
        <v>-2514</v>
      </c>
      <c r="X240" s="1">
        <v>-2514</v>
      </c>
      <c r="Y240">
        <f t="shared" si="7"/>
        <v>0</v>
      </c>
    </row>
    <row r="241" spans="1:25" x14ac:dyDescent="0.35">
      <c r="A241" s="1">
        <v>-2513</v>
      </c>
      <c r="B241" s="1">
        <v>-2294</v>
      </c>
      <c r="C241">
        <f t="shared" si="6"/>
        <v>-219</v>
      </c>
      <c r="W241" s="1">
        <v>-2513</v>
      </c>
      <c r="X241" s="1">
        <v>-2513</v>
      </c>
      <c r="Y241">
        <f t="shared" si="7"/>
        <v>0</v>
      </c>
    </row>
    <row r="242" spans="1:25" x14ac:dyDescent="0.35">
      <c r="A242" s="1">
        <v>-2512</v>
      </c>
      <c r="B242" s="1">
        <v>-2293</v>
      </c>
      <c r="C242">
        <f t="shared" si="6"/>
        <v>-219</v>
      </c>
      <c r="W242" s="1">
        <v>-2512</v>
      </c>
      <c r="X242" s="1">
        <v>-2512</v>
      </c>
      <c r="Y242">
        <f t="shared" si="7"/>
        <v>0</v>
      </c>
    </row>
    <row r="243" spans="1:25" x14ac:dyDescent="0.35">
      <c r="A243" s="1">
        <v>-2511</v>
      </c>
      <c r="B243" s="1">
        <v>-2292</v>
      </c>
      <c r="C243">
        <f t="shared" si="6"/>
        <v>-219</v>
      </c>
      <c r="W243" s="1">
        <v>-2511</v>
      </c>
      <c r="X243" s="1">
        <v>-2511</v>
      </c>
      <c r="Y243">
        <f t="shared" si="7"/>
        <v>0</v>
      </c>
    </row>
    <row r="244" spans="1:25" x14ac:dyDescent="0.35">
      <c r="A244" s="1">
        <v>-2510</v>
      </c>
      <c r="B244" s="1">
        <v>-2291</v>
      </c>
      <c r="C244">
        <f t="shared" si="6"/>
        <v>-219</v>
      </c>
      <c r="W244" s="1">
        <v>-2510</v>
      </c>
      <c r="X244" s="1">
        <v>-2510</v>
      </c>
      <c r="Y244">
        <f t="shared" si="7"/>
        <v>0</v>
      </c>
    </row>
    <row r="245" spans="1:25" x14ac:dyDescent="0.35">
      <c r="A245" s="1">
        <v>-2509</v>
      </c>
      <c r="B245" s="1">
        <v>-2290</v>
      </c>
      <c r="C245">
        <f t="shared" si="6"/>
        <v>-219</v>
      </c>
      <c r="W245" s="1">
        <v>-2509</v>
      </c>
      <c r="X245" s="1">
        <v>-2509</v>
      </c>
      <c r="Y245">
        <f t="shared" si="7"/>
        <v>0</v>
      </c>
    </row>
    <row r="246" spans="1:25" x14ac:dyDescent="0.35">
      <c r="A246" s="1">
        <v>-2508</v>
      </c>
      <c r="B246" s="1">
        <v>-2289</v>
      </c>
      <c r="C246">
        <f t="shared" si="6"/>
        <v>-219</v>
      </c>
      <c r="W246" s="1">
        <v>-2508</v>
      </c>
      <c r="X246" s="1">
        <v>-2508</v>
      </c>
      <c r="Y246">
        <f t="shared" si="7"/>
        <v>0</v>
      </c>
    </row>
    <row r="247" spans="1:25" x14ac:dyDescent="0.35">
      <c r="A247" s="1">
        <v>-2507</v>
      </c>
      <c r="B247" s="1">
        <v>-2288</v>
      </c>
      <c r="C247">
        <f t="shared" si="6"/>
        <v>-219</v>
      </c>
      <c r="W247" s="1">
        <v>-2507</v>
      </c>
      <c r="X247" s="1">
        <v>-2507</v>
      </c>
      <c r="Y247">
        <f t="shared" si="7"/>
        <v>0</v>
      </c>
    </row>
    <row r="248" spans="1:25" x14ac:dyDescent="0.35">
      <c r="A248" s="1">
        <v>-2506</v>
      </c>
      <c r="B248" s="1">
        <v>-2287</v>
      </c>
      <c r="C248">
        <f t="shared" si="6"/>
        <v>-219</v>
      </c>
      <c r="W248" s="1">
        <v>-2506</v>
      </c>
      <c r="X248" s="1">
        <v>-2506</v>
      </c>
      <c r="Y248">
        <f t="shared" si="7"/>
        <v>0</v>
      </c>
    </row>
    <row r="249" spans="1:25" x14ac:dyDescent="0.35">
      <c r="A249" s="1">
        <v>-2505</v>
      </c>
      <c r="B249" s="1">
        <v>-2286</v>
      </c>
      <c r="C249">
        <f t="shared" si="6"/>
        <v>-219</v>
      </c>
      <c r="W249" s="1">
        <v>-2505</v>
      </c>
      <c r="X249" s="1">
        <v>-2505</v>
      </c>
      <c r="Y249">
        <f t="shared" si="7"/>
        <v>0</v>
      </c>
    </row>
    <row r="250" spans="1:25" x14ac:dyDescent="0.35">
      <c r="A250" s="1">
        <v>-2504</v>
      </c>
      <c r="W250" s="1">
        <v>-2504</v>
      </c>
      <c r="X250" s="1">
        <v>-2504</v>
      </c>
      <c r="Y250">
        <f>W250-X250</f>
        <v>0</v>
      </c>
    </row>
    <row r="251" spans="1:25" x14ac:dyDescent="0.35">
      <c r="A251" s="1">
        <v>-2503</v>
      </c>
      <c r="W251" s="1">
        <v>-2503</v>
      </c>
      <c r="X251" s="1">
        <v>-2503</v>
      </c>
      <c r="Y251">
        <f t="shared" ref="Y251:Y255" si="8">W251-X251</f>
        <v>0</v>
      </c>
    </row>
    <row r="252" spans="1:25" x14ac:dyDescent="0.35">
      <c r="A252" s="1">
        <v>-2502</v>
      </c>
      <c r="W252" s="1">
        <v>-2502</v>
      </c>
      <c r="X252" s="1">
        <v>-2502</v>
      </c>
      <c r="Y252">
        <f t="shared" si="8"/>
        <v>0</v>
      </c>
    </row>
    <row r="253" spans="1:25" x14ac:dyDescent="0.35">
      <c r="A253" s="1">
        <v>-2501</v>
      </c>
      <c r="W253" s="1">
        <v>-2501</v>
      </c>
      <c r="X253" s="1">
        <v>-2501</v>
      </c>
      <c r="Y253">
        <f t="shared" si="8"/>
        <v>0</v>
      </c>
    </row>
    <row r="254" spans="1:25" x14ac:dyDescent="0.35">
      <c r="A254" s="1">
        <v>-2500</v>
      </c>
      <c r="W254" s="1">
        <v>-2500</v>
      </c>
      <c r="X254" s="1">
        <v>-2500</v>
      </c>
      <c r="Y254">
        <f t="shared" si="8"/>
        <v>0</v>
      </c>
    </row>
    <row r="255" spans="1:25" x14ac:dyDescent="0.35">
      <c r="A255" s="1">
        <v>49</v>
      </c>
      <c r="W255" s="1">
        <v>49</v>
      </c>
      <c r="X255" s="1">
        <v>49</v>
      </c>
      <c r="Y255">
        <f t="shared" si="8"/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74E1A-EE46-4571-BD57-E9F09C073EDB}">
  <dimension ref="A1:L505"/>
  <sheetViews>
    <sheetView workbookViewId="0">
      <selection activeCell="B1" sqref="B1:C5"/>
    </sheetView>
  </sheetViews>
  <sheetFormatPr defaultRowHeight="14.5" x14ac:dyDescent="0.35"/>
  <cols>
    <col min="1" max="1" width="4" style="3" customWidth="1"/>
    <col min="2" max="2" width="13.90625" bestFit="1" customWidth="1"/>
    <col min="3" max="3" width="5.6328125" bestFit="1" customWidth="1"/>
    <col min="4" max="4" width="10.90625" bestFit="1" customWidth="1"/>
    <col min="5" max="5" width="12.1796875" bestFit="1" customWidth="1"/>
    <col min="6" max="6" width="14.08984375" bestFit="1" customWidth="1"/>
    <col min="7" max="7" width="20.7265625" bestFit="1" customWidth="1"/>
    <col min="8" max="8" width="25.81640625" bestFit="1" customWidth="1"/>
    <col min="9" max="9" width="18.26953125" bestFit="1" customWidth="1"/>
    <col min="10" max="10" width="12.90625" bestFit="1" customWidth="1"/>
    <col min="11" max="11" width="15.90625" bestFit="1" customWidth="1"/>
    <col min="12" max="12" width="15.08984375" bestFit="1" customWidth="1"/>
  </cols>
  <sheetData>
    <row r="1" spans="1:12" x14ac:dyDescent="0.35">
      <c r="B1" s="8" t="s">
        <v>12</v>
      </c>
      <c r="C1" s="8" t="s">
        <v>11</v>
      </c>
      <c r="D1" s="8" t="s">
        <v>518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</v>
      </c>
      <c r="K1" s="8" t="s">
        <v>2</v>
      </c>
      <c r="L1" s="8" t="s">
        <v>3</v>
      </c>
    </row>
    <row r="2" spans="1:12" x14ac:dyDescent="0.35">
      <c r="A2" s="3" t="s">
        <v>17</v>
      </c>
      <c r="B2" s="1" t="str">
        <f>_xlfn.TEXTBEFORE(_xlfn.TEXTAFTER(A2,"["),"]")</f>
        <v>Lago Paranoa</v>
      </c>
      <c r="C2" s="1">
        <f>--_xlfn.TEXTBEFORE(_xlfn.TEXTAFTER(A2,"Week "),":")</f>
        <v>-2334</v>
      </c>
      <c r="D2">
        <v>0</v>
      </c>
      <c r="E2">
        <v>2302.4499999999998</v>
      </c>
      <c r="F2">
        <v>0.4234</v>
      </c>
      <c r="G2">
        <v>3.4596</v>
      </c>
      <c r="H2">
        <v>7.6553000000000004</v>
      </c>
      <c r="I2">
        <v>0.9748</v>
      </c>
      <c r="J2">
        <v>9.7166999999999994</v>
      </c>
      <c r="K2">
        <v>2302.4499999999998</v>
      </c>
      <c r="L2">
        <v>0</v>
      </c>
    </row>
    <row r="3" spans="1:12" x14ac:dyDescent="0.35">
      <c r="A3" s="3" t="s">
        <v>18</v>
      </c>
      <c r="B3" s="1" t="str">
        <f t="shared" ref="B3:B66" si="0">_xlfn.TEXTBEFORE(_xlfn.TEXTAFTER(A3,"["),"]")</f>
        <v>Corumba IV</v>
      </c>
      <c r="C3" s="1">
        <f>--_xlfn.TEXTBEFORE(_xlfn.TEXTAFTER(A3,"Week "),":")</f>
        <v>-2333</v>
      </c>
      <c r="D3">
        <v>0</v>
      </c>
      <c r="E3">
        <v>0</v>
      </c>
      <c r="F3">
        <v>0</v>
      </c>
      <c r="G3">
        <v>0.3629</v>
      </c>
      <c r="H3">
        <v>49.6126</v>
      </c>
      <c r="I3">
        <v>3.7622</v>
      </c>
      <c r="J3">
        <v>46.213299999999997</v>
      </c>
      <c r="K3">
        <v>0</v>
      </c>
      <c r="L3">
        <v>0</v>
      </c>
    </row>
    <row r="4" spans="1:12" x14ac:dyDescent="0.35">
      <c r="A4" s="3" t="s">
        <v>19</v>
      </c>
      <c r="B4" s="1" t="str">
        <f t="shared" si="0"/>
        <v>Lago Paranoa</v>
      </c>
      <c r="C4" s="1">
        <f t="shared" ref="C4:C67" si="1">--_xlfn.TEXTBEFORE(_xlfn.TEXTAFTER(A4,"Week "),":")</f>
        <v>-2333</v>
      </c>
      <c r="D4">
        <v>0</v>
      </c>
      <c r="E4">
        <v>2302.4499999999998</v>
      </c>
      <c r="F4">
        <v>0.4234</v>
      </c>
      <c r="G4">
        <v>3.0768</v>
      </c>
      <c r="H4">
        <v>8.0642999999999994</v>
      </c>
      <c r="I4">
        <v>1.0158</v>
      </c>
      <c r="J4">
        <v>9.702</v>
      </c>
      <c r="K4">
        <v>2302.4499999999998</v>
      </c>
      <c r="L4">
        <v>0</v>
      </c>
    </row>
    <row r="5" spans="1:12" x14ac:dyDescent="0.35">
      <c r="A5" s="3" t="s">
        <v>20</v>
      </c>
      <c r="B5" s="1" t="str">
        <f t="shared" si="0"/>
        <v>Corumba IV</v>
      </c>
      <c r="C5" s="1">
        <f t="shared" si="1"/>
        <v>-2332</v>
      </c>
      <c r="D5">
        <v>0</v>
      </c>
      <c r="E5">
        <v>0</v>
      </c>
      <c r="F5">
        <v>0</v>
      </c>
      <c r="G5">
        <v>0.3629</v>
      </c>
      <c r="H5">
        <v>109.8965</v>
      </c>
      <c r="I5">
        <v>4.7068000000000003</v>
      </c>
      <c r="J5">
        <v>105.5526</v>
      </c>
      <c r="K5">
        <v>0</v>
      </c>
      <c r="L5">
        <v>0</v>
      </c>
    </row>
    <row r="6" spans="1:12" x14ac:dyDescent="0.35">
      <c r="A6" s="3" t="s">
        <v>21</v>
      </c>
      <c r="B6" s="1" t="str">
        <f t="shared" si="0"/>
        <v>Lago Paranoa</v>
      </c>
      <c r="C6" s="1">
        <f t="shared" si="1"/>
        <v>-2332</v>
      </c>
      <c r="D6">
        <v>0</v>
      </c>
      <c r="E6">
        <v>2302.4499999999998</v>
      </c>
      <c r="F6">
        <v>0.3054</v>
      </c>
      <c r="G6">
        <v>3.9108000000000001</v>
      </c>
      <c r="H6">
        <v>16.0869</v>
      </c>
      <c r="I6">
        <v>1.1664000000000001</v>
      </c>
      <c r="J6">
        <v>18.5259</v>
      </c>
      <c r="K6">
        <v>2302.4499999999998</v>
      </c>
      <c r="L6">
        <v>0</v>
      </c>
    </row>
    <row r="7" spans="1:12" x14ac:dyDescent="0.35">
      <c r="A7" s="3" t="s">
        <v>22</v>
      </c>
      <c r="B7" s="1" t="str">
        <f t="shared" si="0"/>
        <v>Corumba IV</v>
      </c>
      <c r="C7" s="1">
        <f t="shared" si="1"/>
        <v>-2331</v>
      </c>
      <c r="D7">
        <v>0</v>
      </c>
      <c r="E7">
        <v>0</v>
      </c>
      <c r="F7">
        <v>0</v>
      </c>
      <c r="G7">
        <v>0.3629</v>
      </c>
      <c r="H7">
        <v>71.676599999999993</v>
      </c>
      <c r="I7">
        <v>4.7332000000000001</v>
      </c>
      <c r="J7">
        <v>67.306299999999993</v>
      </c>
      <c r="K7">
        <v>0</v>
      </c>
      <c r="L7">
        <v>0</v>
      </c>
    </row>
    <row r="8" spans="1:12" x14ac:dyDescent="0.35">
      <c r="A8" s="3" t="s">
        <v>23</v>
      </c>
      <c r="B8" s="1" t="str">
        <f t="shared" si="0"/>
        <v>Lago Paranoa</v>
      </c>
      <c r="C8" s="1">
        <f t="shared" si="1"/>
        <v>-2331</v>
      </c>
      <c r="D8">
        <v>0</v>
      </c>
      <c r="E8">
        <v>2302.4499999999998</v>
      </c>
      <c r="F8">
        <v>0.30570000000000003</v>
      </c>
      <c r="G8">
        <v>3.0739000000000001</v>
      </c>
      <c r="H8">
        <v>10.8422</v>
      </c>
      <c r="I8">
        <v>1.1505000000000001</v>
      </c>
      <c r="J8">
        <v>12.459899999999999</v>
      </c>
      <c r="K8">
        <v>2302.4499999999998</v>
      </c>
      <c r="L8">
        <v>0</v>
      </c>
    </row>
    <row r="9" spans="1:12" x14ac:dyDescent="0.35">
      <c r="A9" s="3" t="s">
        <v>24</v>
      </c>
      <c r="B9" s="1" t="str">
        <f t="shared" si="0"/>
        <v>Corumba IV</v>
      </c>
      <c r="C9" s="1">
        <f t="shared" si="1"/>
        <v>-2330</v>
      </c>
      <c r="D9">
        <v>0</v>
      </c>
      <c r="E9">
        <v>0</v>
      </c>
      <c r="F9">
        <v>0</v>
      </c>
      <c r="G9">
        <v>0.3629</v>
      </c>
      <c r="H9">
        <v>103.82510000000001</v>
      </c>
      <c r="I9">
        <v>4.7332000000000001</v>
      </c>
      <c r="J9">
        <v>99.454800000000006</v>
      </c>
      <c r="K9">
        <v>0</v>
      </c>
      <c r="L9">
        <v>0</v>
      </c>
    </row>
    <row r="10" spans="1:12" x14ac:dyDescent="0.35">
      <c r="A10" s="3" t="s">
        <v>25</v>
      </c>
      <c r="B10" s="1" t="str">
        <f t="shared" si="0"/>
        <v>Lago Paranoa</v>
      </c>
      <c r="C10" s="1">
        <f t="shared" si="1"/>
        <v>-2330</v>
      </c>
      <c r="D10">
        <v>0</v>
      </c>
      <c r="E10">
        <v>2302.4499999999998</v>
      </c>
      <c r="F10">
        <v>0.30599999999999999</v>
      </c>
      <c r="G10">
        <v>3.4861</v>
      </c>
      <c r="H10">
        <v>10.3956</v>
      </c>
      <c r="I10">
        <v>1.1505000000000001</v>
      </c>
      <c r="J10">
        <v>12.4252</v>
      </c>
      <c r="K10">
        <v>2302.4499999999998</v>
      </c>
      <c r="L10">
        <v>0</v>
      </c>
    </row>
    <row r="11" spans="1:12" x14ac:dyDescent="0.35">
      <c r="A11" s="3" t="s">
        <v>26</v>
      </c>
      <c r="B11" s="1" t="str">
        <f t="shared" si="0"/>
        <v>Corumba IV</v>
      </c>
      <c r="C11" s="1">
        <f t="shared" si="1"/>
        <v>-2329</v>
      </c>
      <c r="D11">
        <v>0</v>
      </c>
      <c r="E11">
        <v>0</v>
      </c>
      <c r="F11">
        <v>0</v>
      </c>
      <c r="G11">
        <v>0.3629</v>
      </c>
      <c r="H11">
        <v>90.574799999999996</v>
      </c>
      <c r="I11">
        <v>4.8521999999999998</v>
      </c>
      <c r="J11">
        <v>86.085499999999996</v>
      </c>
      <c r="K11">
        <v>0</v>
      </c>
      <c r="L11">
        <v>0</v>
      </c>
    </row>
    <row r="12" spans="1:12" x14ac:dyDescent="0.35">
      <c r="A12" s="3" t="s">
        <v>27</v>
      </c>
      <c r="B12" s="1" t="str">
        <f t="shared" si="0"/>
        <v>Lago Paranoa</v>
      </c>
      <c r="C12" s="1">
        <f t="shared" si="1"/>
        <v>-2329</v>
      </c>
      <c r="D12">
        <v>0</v>
      </c>
      <c r="E12">
        <v>2302.4499999999998</v>
      </c>
      <c r="F12">
        <v>0.30630000000000002</v>
      </c>
      <c r="G12">
        <v>3.5135999999999998</v>
      </c>
      <c r="H12">
        <v>11.281000000000001</v>
      </c>
      <c r="I12">
        <v>1.1736</v>
      </c>
      <c r="J12">
        <v>13.3146</v>
      </c>
      <c r="K12">
        <v>2302.4499999999998</v>
      </c>
      <c r="L12">
        <v>0</v>
      </c>
    </row>
    <row r="13" spans="1:12" x14ac:dyDescent="0.35">
      <c r="A13" s="3" t="s">
        <v>28</v>
      </c>
      <c r="B13" s="1" t="str">
        <f t="shared" si="0"/>
        <v>Corumba IV</v>
      </c>
      <c r="C13" s="1">
        <f t="shared" si="1"/>
        <v>-2328</v>
      </c>
      <c r="D13">
        <v>0</v>
      </c>
      <c r="E13">
        <v>0</v>
      </c>
      <c r="F13">
        <v>0</v>
      </c>
      <c r="G13">
        <v>0.3629</v>
      </c>
      <c r="H13">
        <v>110.38120000000001</v>
      </c>
      <c r="I13">
        <v>4.9405000000000001</v>
      </c>
      <c r="J13">
        <v>105.8036</v>
      </c>
      <c r="K13">
        <v>0</v>
      </c>
      <c r="L13">
        <v>0</v>
      </c>
    </row>
    <row r="14" spans="1:12" x14ac:dyDescent="0.35">
      <c r="A14" s="3" t="s">
        <v>29</v>
      </c>
      <c r="B14" s="1" t="str">
        <f t="shared" si="0"/>
        <v>Lago Paranoa</v>
      </c>
      <c r="C14" s="1">
        <f t="shared" si="1"/>
        <v>-2328</v>
      </c>
      <c r="D14">
        <v>0</v>
      </c>
      <c r="E14">
        <v>2302.4499999999998</v>
      </c>
      <c r="F14">
        <v>0.30669999999999997</v>
      </c>
      <c r="G14">
        <v>3.8862000000000001</v>
      </c>
      <c r="H14">
        <v>12.439299999999999</v>
      </c>
      <c r="I14">
        <v>1.202</v>
      </c>
      <c r="J14">
        <v>14.816800000000001</v>
      </c>
      <c r="K14">
        <v>2302.4499999999998</v>
      </c>
      <c r="L14">
        <v>0</v>
      </c>
    </row>
    <row r="15" spans="1:12" x14ac:dyDescent="0.35">
      <c r="A15" s="3" t="s">
        <v>30</v>
      </c>
      <c r="B15" s="1" t="str">
        <f t="shared" si="0"/>
        <v>Corumba IV</v>
      </c>
      <c r="C15" s="1">
        <f t="shared" si="1"/>
        <v>-2327</v>
      </c>
      <c r="D15">
        <v>0</v>
      </c>
      <c r="E15">
        <v>0</v>
      </c>
      <c r="F15">
        <v>0</v>
      </c>
      <c r="G15">
        <v>0.3629</v>
      </c>
      <c r="H15">
        <v>70.8048</v>
      </c>
      <c r="I15">
        <v>4.8002000000000002</v>
      </c>
      <c r="J15">
        <v>66.367500000000007</v>
      </c>
      <c r="K15">
        <v>0</v>
      </c>
      <c r="L15">
        <v>0</v>
      </c>
    </row>
    <row r="16" spans="1:12" x14ac:dyDescent="0.35">
      <c r="A16" s="3" t="s">
        <v>31</v>
      </c>
      <c r="B16" s="1" t="str">
        <f t="shared" si="0"/>
        <v>Lago Paranoa</v>
      </c>
      <c r="C16" s="1">
        <f t="shared" si="1"/>
        <v>-2327</v>
      </c>
      <c r="D16">
        <v>0</v>
      </c>
      <c r="E16">
        <v>2302.4499999999998</v>
      </c>
      <c r="F16">
        <v>0.35539999999999999</v>
      </c>
      <c r="G16">
        <v>3.1154000000000002</v>
      </c>
      <c r="H16">
        <v>11.3629</v>
      </c>
      <c r="I16">
        <v>1.1899</v>
      </c>
      <c r="J16">
        <v>12.933</v>
      </c>
      <c r="K16">
        <v>2302.4499999999998</v>
      </c>
      <c r="L16">
        <v>0</v>
      </c>
    </row>
    <row r="17" spans="1:12" x14ac:dyDescent="0.35">
      <c r="A17" s="3" t="s">
        <v>32</v>
      </c>
      <c r="B17" s="1" t="str">
        <f t="shared" si="0"/>
        <v>Corumba IV</v>
      </c>
      <c r="C17" s="1">
        <f t="shared" si="1"/>
        <v>-2326</v>
      </c>
      <c r="D17">
        <v>0</v>
      </c>
      <c r="E17">
        <v>0</v>
      </c>
      <c r="F17">
        <v>0</v>
      </c>
      <c r="G17">
        <v>0.3629</v>
      </c>
      <c r="H17">
        <v>84.803299999999993</v>
      </c>
      <c r="I17">
        <v>4.8002000000000002</v>
      </c>
      <c r="J17">
        <v>80.366</v>
      </c>
      <c r="K17">
        <v>0</v>
      </c>
      <c r="L17">
        <v>0</v>
      </c>
    </row>
    <row r="18" spans="1:12" x14ac:dyDescent="0.35">
      <c r="A18" s="3" t="s">
        <v>33</v>
      </c>
      <c r="B18" s="1" t="str">
        <f t="shared" si="0"/>
        <v>Lago Paranoa</v>
      </c>
      <c r="C18" s="1">
        <f t="shared" si="1"/>
        <v>-2326</v>
      </c>
      <c r="D18">
        <v>0</v>
      </c>
      <c r="E18">
        <v>2302.4499999999998</v>
      </c>
      <c r="F18">
        <v>0.35570000000000002</v>
      </c>
      <c r="G18">
        <v>3.2033999999999998</v>
      </c>
      <c r="H18">
        <v>11.0672</v>
      </c>
      <c r="I18">
        <v>1.1899</v>
      </c>
      <c r="J18">
        <v>12.725099999999999</v>
      </c>
      <c r="K18">
        <v>2302.4499999999998</v>
      </c>
      <c r="L18">
        <v>0</v>
      </c>
    </row>
    <row r="19" spans="1:12" x14ac:dyDescent="0.35">
      <c r="A19" s="3" t="s">
        <v>34</v>
      </c>
      <c r="B19" s="1" t="str">
        <f t="shared" si="0"/>
        <v>Corumba IV</v>
      </c>
      <c r="C19" s="1">
        <f t="shared" si="1"/>
        <v>-2325</v>
      </c>
      <c r="D19">
        <v>0</v>
      </c>
      <c r="E19">
        <v>0</v>
      </c>
      <c r="F19">
        <v>0</v>
      </c>
      <c r="G19">
        <v>0.3629</v>
      </c>
      <c r="H19">
        <v>64.585700000000003</v>
      </c>
      <c r="I19">
        <v>4.8002000000000002</v>
      </c>
      <c r="J19">
        <v>60.148400000000002</v>
      </c>
      <c r="K19">
        <v>0</v>
      </c>
      <c r="L19">
        <v>0</v>
      </c>
    </row>
    <row r="20" spans="1:12" x14ac:dyDescent="0.35">
      <c r="A20" s="3" t="s">
        <v>35</v>
      </c>
      <c r="B20" s="1" t="str">
        <f t="shared" si="0"/>
        <v>Lago Paranoa</v>
      </c>
      <c r="C20" s="1">
        <f t="shared" si="1"/>
        <v>-2325</v>
      </c>
      <c r="D20">
        <v>0</v>
      </c>
      <c r="E20">
        <v>2302.4499999999998</v>
      </c>
      <c r="F20">
        <v>0.35610000000000003</v>
      </c>
      <c r="G20">
        <v>3.0295000000000001</v>
      </c>
      <c r="H20">
        <v>9.0447000000000006</v>
      </c>
      <c r="I20">
        <v>1.1899</v>
      </c>
      <c r="J20">
        <v>10.5283</v>
      </c>
      <c r="K20">
        <v>2302.4499999999998</v>
      </c>
      <c r="L20">
        <v>0</v>
      </c>
    </row>
    <row r="21" spans="1:12" x14ac:dyDescent="0.35">
      <c r="A21" s="3" t="s">
        <v>36</v>
      </c>
      <c r="B21" s="1" t="str">
        <f t="shared" si="0"/>
        <v>Corumba IV</v>
      </c>
      <c r="C21" s="1">
        <f t="shared" si="1"/>
        <v>-2324</v>
      </c>
      <c r="D21">
        <v>0</v>
      </c>
      <c r="E21">
        <v>0</v>
      </c>
      <c r="F21">
        <v>0</v>
      </c>
      <c r="G21">
        <v>0.3629</v>
      </c>
      <c r="H21">
        <v>60.2986</v>
      </c>
      <c r="I21">
        <v>4.6247999999999996</v>
      </c>
      <c r="J21">
        <v>56.0366</v>
      </c>
      <c r="K21">
        <v>0</v>
      </c>
      <c r="L21">
        <v>0</v>
      </c>
    </row>
    <row r="22" spans="1:12" x14ac:dyDescent="0.35">
      <c r="A22" s="3" t="s">
        <v>37</v>
      </c>
      <c r="B22" s="1" t="str">
        <f t="shared" si="0"/>
        <v>Lago Paranoa</v>
      </c>
      <c r="C22" s="1">
        <f t="shared" si="1"/>
        <v>-2324</v>
      </c>
      <c r="D22">
        <v>0</v>
      </c>
      <c r="E22">
        <v>2302.4499999999998</v>
      </c>
      <c r="F22">
        <v>0.35639999999999999</v>
      </c>
      <c r="G22">
        <v>3.4906000000000001</v>
      </c>
      <c r="H22">
        <v>7.7000999999999999</v>
      </c>
      <c r="I22">
        <v>1.1653</v>
      </c>
      <c r="J22">
        <v>9.6691000000000003</v>
      </c>
      <c r="K22">
        <v>2302.4499999999998</v>
      </c>
      <c r="L22">
        <v>0</v>
      </c>
    </row>
    <row r="23" spans="1:12" x14ac:dyDescent="0.35">
      <c r="A23" s="3" t="s">
        <v>38</v>
      </c>
      <c r="B23" s="1" t="str">
        <f t="shared" si="0"/>
        <v>Corumba IV</v>
      </c>
      <c r="C23" s="1">
        <f t="shared" si="1"/>
        <v>-2323</v>
      </c>
      <c r="D23">
        <v>0</v>
      </c>
      <c r="E23">
        <v>0</v>
      </c>
      <c r="F23">
        <v>0</v>
      </c>
      <c r="G23">
        <v>0.3629</v>
      </c>
      <c r="H23">
        <v>60.122300000000003</v>
      </c>
      <c r="I23">
        <v>3.5726</v>
      </c>
      <c r="J23">
        <v>56.912599999999998</v>
      </c>
      <c r="K23">
        <v>0</v>
      </c>
      <c r="L23">
        <v>0</v>
      </c>
    </row>
    <row r="24" spans="1:12" x14ac:dyDescent="0.35">
      <c r="A24" s="3" t="s">
        <v>39</v>
      </c>
      <c r="B24" s="1" t="str">
        <f t="shared" si="0"/>
        <v>Lago Paranoa</v>
      </c>
      <c r="C24" s="1">
        <f t="shared" si="1"/>
        <v>-2323</v>
      </c>
      <c r="D24">
        <v>0</v>
      </c>
      <c r="E24">
        <v>2302.4499999999998</v>
      </c>
      <c r="F24">
        <v>0.33789999999999998</v>
      </c>
      <c r="G24">
        <v>3.3003999999999998</v>
      </c>
      <c r="H24">
        <v>5.9829999999999997</v>
      </c>
      <c r="I24">
        <v>1.0178</v>
      </c>
      <c r="J24">
        <v>7.9276999999999997</v>
      </c>
      <c r="K24">
        <v>2302.4499999999998</v>
      </c>
      <c r="L24">
        <v>0</v>
      </c>
    </row>
    <row r="25" spans="1:12" x14ac:dyDescent="0.35">
      <c r="A25" s="3" t="s">
        <v>40</v>
      </c>
      <c r="B25" s="1" t="str">
        <f t="shared" si="0"/>
        <v>Corumba IV</v>
      </c>
      <c r="C25" s="1">
        <f t="shared" si="1"/>
        <v>-2322</v>
      </c>
      <c r="D25">
        <v>0</v>
      </c>
      <c r="E25">
        <v>0</v>
      </c>
      <c r="F25">
        <v>0</v>
      </c>
      <c r="G25">
        <v>0.3629</v>
      </c>
      <c r="H25">
        <v>57.057699999999997</v>
      </c>
      <c r="I25">
        <v>4.4645000000000001</v>
      </c>
      <c r="J25">
        <v>52.956099999999999</v>
      </c>
      <c r="K25">
        <v>0</v>
      </c>
      <c r="L25">
        <v>0</v>
      </c>
    </row>
    <row r="26" spans="1:12" x14ac:dyDescent="0.35">
      <c r="A26" s="3" t="s">
        <v>41</v>
      </c>
      <c r="B26" s="1" t="str">
        <f t="shared" si="0"/>
        <v>Lago Paranoa</v>
      </c>
      <c r="C26" s="1">
        <f t="shared" si="1"/>
        <v>-2322</v>
      </c>
      <c r="D26">
        <v>0</v>
      </c>
      <c r="E26">
        <v>2302.4499999999998</v>
      </c>
      <c r="F26">
        <v>0.3382</v>
      </c>
      <c r="G26">
        <v>3.0021</v>
      </c>
      <c r="H26">
        <v>5.0841000000000003</v>
      </c>
      <c r="I26">
        <v>1.2674000000000001</v>
      </c>
      <c r="J26">
        <v>6.4806999999999997</v>
      </c>
      <c r="K26">
        <v>2302.4499999999998</v>
      </c>
      <c r="L26">
        <v>0</v>
      </c>
    </row>
    <row r="27" spans="1:12" x14ac:dyDescent="0.35">
      <c r="A27" s="3" t="s">
        <v>42</v>
      </c>
      <c r="B27" s="1" t="str">
        <f t="shared" si="0"/>
        <v>Corumba IV</v>
      </c>
      <c r="C27" s="1">
        <f t="shared" si="1"/>
        <v>-2321</v>
      </c>
      <c r="D27">
        <v>0</v>
      </c>
      <c r="E27">
        <v>0</v>
      </c>
      <c r="F27">
        <v>0</v>
      </c>
      <c r="G27">
        <v>0.3629</v>
      </c>
      <c r="H27">
        <v>51.529800000000002</v>
      </c>
      <c r="I27">
        <v>4.4645000000000001</v>
      </c>
      <c r="J27">
        <v>47.428199999999997</v>
      </c>
      <c r="K27">
        <v>0</v>
      </c>
      <c r="L27">
        <v>0</v>
      </c>
    </row>
    <row r="28" spans="1:12" x14ac:dyDescent="0.35">
      <c r="A28" s="3" t="s">
        <v>43</v>
      </c>
      <c r="B28" s="1" t="str">
        <f t="shared" si="0"/>
        <v>Lago Paranoa</v>
      </c>
      <c r="C28" s="1">
        <f t="shared" si="1"/>
        <v>-2321</v>
      </c>
      <c r="D28">
        <v>0</v>
      </c>
      <c r="E28">
        <v>2302.4499999999998</v>
      </c>
      <c r="F28">
        <v>0.33850000000000002</v>
      </c>
      <c r="G28">
        <v>3.2437999999999998</v>
      </c>
      <c r="H28">
        <v>4.9911000000000003</v>
      </c>
      <c r="I28">
        <v>1.2674000000000001</v>
      </c>
      <c r="J28">
        <v>6.6291000000000002</v>
      </c>
      <c r="K28">
        <v>2302.4499999999998</v>
      </c>
      <c r="L28">
        <v>0</v>
      </c>
    </row>
    <row r="29" spans="1:12" x14ac:dyDescent="0.35">
      <c r="A29" s="3" t="s">
        <v>44</v>
      </c>
      <c r="B29" s="1" t="str">
        <f t="shared" si="0"/>
        <v>Corumba IV</v>
      </c>
      <c r="C29" s="1">
        <f t="shared" si="1"/>
        <v>-2320</v>
      </c>
      <c r="D29">
        <v>0</v>
      </c>
      <c r="E29">
        <v>0</v>
      </c>
      <c r="F29">
        <v>0</v>
      </c>
      <c r="G29">
        <v>0.3629</v>
      </c>
      <c r="H29">
        <v>54.2316</v>
      </c>
      <c r="I29">
        <v>4.4645000000000001</v>
      </c>
      <c r="J29">
        <v>50.129899999999999</v>
      </c>
      <c r="K29">
        <v>0</v>
      </c>
      <c r="L29">
        <v>0</v>
      </c>
    </row>
    <row r="30" spans="1:12" x14ac:dyDescent="0.35">
      <c r="A30" s="3" t="s">
        <v>45</v>
      </c>
      <c r="B30" s="1" t="str">
        <f t="shared" si="0"/>
        <v>Lago Paranoa</v>
      </c>
      <c r="C30" s="1">
        <f t="shared" si="1"/>
        <v>-2320</v>
      </c>
      <c r="D30">
        <v>0</v>
      </c>
      <c r="E30">
        <v>2302.4499999999998</v>
      </c>
      <c r="F30">
        <v>0.33879999999999999</v>
      </c>
      <c r="G30">
        <v>3.077</v>
      </c>
      <c r="H30">
        <v>4.8777999999999997</v>
      </c>
      <c r="I30">
        <v>1.2674000000000001</v>
      </c>
      <c r="J30">
        <v>6.3486000000000002</v>
      </c>
      <c r="K30">
        <v>2302.4499999999998</v>
      </c>
      <c r="L30">
        <v>0</v>
      </c>
    </row>
    <row r="31" spans="1:12" x14ac:dyDescent="0.35">
      <c r="A31" s="3" t="s">
        <v>46</v>
      </c>
      <c r="B31" s="1" t="str">
        <f t="shared" si="0"/>
        <v>Corumba IV</v>
      </c>
      <c r="C31" s="1">
        <f t="shared" si="1"/>
        <v>-2319</v>
      </c>
      <c r="D31">
        <v>0</v>
      </c>
      <c r="E31">
        <v>0</v>
      </c>
      <c r="F31">
        <v>0</v>
      </c>
      <c r="G31">
        <v>0.3629</v>
      </c>
      <c r="H31">
        <v>44.186700000000002</v>
      </c>
      <c r="I31">
        <v>4.5902000000000003</v>
      </c>
      <c r="J31">
        <v>39.959400000000002</v>
      </c>
      <c r="K31">
        <v>0</v>
      </c>
      <c r="L31">
        <v>0</v>
      </c>
    </row>
    <row r="32" spans="1:12" x14ac:dyDescent="0.35">
      <c r="A32" s="3" t="s">
        <v>47</v>
      </c>
      <c r="B32" s="1" t="str">
        <f t="shared" si="0"/>
        <v>Lago Paranoa</v>
      </c>
      <c r="C32" s="1">
        <f t="shared" si="1"/>
        <v>-2319</v>
      </c>
      <c r="D32">
        <v>0</v>
      </c>
      <c r="E32">
        <v>2302.4499999999998</v>
      </c>
      <c r="F32">
        <v>0.40600000000000003</v>
      </c>
      <c r="G32">
        <v>2.8468</v>
      </c>
      <c r="H32">
        <v>4.2499000000000002</v>
      </c>
      <c r="I32">
        <v>1.1686000000000001</v>
      </c>
      <c r="J32">
        <v>5.5221999999999998</v>
      </c>
      <c r="K32">
        <v>2302.4499999999998</v>
      </c>
      <c r="L32">
        <v>0</v>
      </c>
    </row>
    <row r="33" spans="1:12" x14ac:dyDescent="0.35">
      <c r="A33" s="3" t="s">
        <v>48</v>
      </c>
      <c r="B33" s="1" t="str">
        <f t="shared" si="0"/>
        <v>Corumba IV</v>
      </c>
      <c r="C33" s="1">
        <f t="shared" si="1"/>
        <v>-2318</v>
      </c>
      <c r="D33">
        <v>0</v>
      </c>
      <c r="E33">
        <v>0</v>
      </c>
      <c r="F33">
        <v>0</v>
      </c>
      <c r="G33">
        <v>0.3629</v>
      </c>
      <c r="H33">
        <v>39.7881</v>
      </c>
      <c r="I33">
        <v>4.9745999999999997</v>
      </c>
      <c r="J33">
        <v>35.176400000000001</v>
      </c>
      <c r="K33">
        <v>0</v>
      </c>
      <c r="L33">
        <v>0</v>
      </c>
    </row>
    <row r="34" spans="1:12" x14ac:dyDescent="0.35">
      <c r="A34" s="3" t="s">
        <v>49</v>
      </c>
      <c r="B34" s="1" t="str">
        <f t="shared" si="0"/>
        <v>Lago Paranoa</v>
      </c>
      <c r="C34" s="1">
        <f t="shared" si="1"/>
        <v>-2318</v>
      </c>
      <c r="D34">
        <v>0</v>
      </c>
      <c r="E34">
        <v>2302.4499999999998</v>
      </c>
      <c r="F34">
        <v>0.40629999999999999</v>
      </c>
      <c r="G34">
        <v>2.8184</v>
      </c>
      <c r="H34">
        <v>3.8643000000000001</v>
      </c>
      <c r="I34">
        <v>1.2709999999999999</v>
      </c>
      <c r="J34">
        <v>5.0053999999999998</v>
      </c>
      <c r="K34">
        <v>2302.4499999999998</v>
      </c>
      <c r="L34">
        <v>0</v>
      </c>
    </row>
    <row r="35" spans="1:12" x14ac:dyDescent="0.35">
      <c r="A35" s="3" t="s">
        <v>50</v>
      </c>
      <c r="B35" s="1" t="str">
        <f t="shared" si="0"/>
        <v>Corumba IV</v>
      </c>
      <c r="C35" s="1">
        <f t="shared" si="1"/>
        <v>-2317</v>
      </c>
      <c r="D35">
        <v>0</v>
      </c>
      <c r="E35">
        <v>0</v>
      </c>
      <c r="F35">
        <v>0</v>
      </c>
      <c r="G35">
        <v>0.3629</v>
      </c>
      <c r="H35">
        <v>36.426200000000001</v>
      </c>
      <c r="I35">
        <v>4.9745999999999997</v>
      </c>
      <c r="J35">
        <v>31.814499999999999</v>
      </c>
      <c r="K35">
        <v>0</v>
      </c>
      <c r="L35">
        <v>0</v>
      </c>
    </row>
    <row r="36" spans="1:12" x14ac:dyDescent="0.35">
      <c r="A36" s="3" t="s">
        <v>51</v>
      </c>
      <c r="B36" s="1" t="str">
        <f t="shared" si="0"/>
        <v>Lago Paranoa</v>
      </c>
      <c r="C36" s="1">
        <f t="shared" si="1"/>
        <v>-2317</v>
      </c>
      <c r="D36">
        <v>0</v>
      </c>
      <c r="E36">
        <v>2302.4499999999998</v>
      </c>
      <c r="F36">
        <v>0.40670000000000001</v>
      </c>
      <c r="G36">
        <v>2.6019000000000001</v>
      </c>
      <c r="H36">
        <v>3.5918000000000001</v>
      </c>
      <c r="I36">
        <v>1.2709999999999999</v>
      </c>
      <c r="J36">
        <v>4.516</v>
      </c>
      <c r="K36">
        <v>2302.4499999999998</v>
      </c>
      <c r="L36">
        <v>0</v>
      </c>
    </row>
    <row r="37" spans="1:12" x14ac:dyDescent="0.35">
      <c r="A37" s="3" t="s">
        <v>52</v>
      </c>
      <c r="B37" s="1" t="str">
        <f t="shared" si="0"/>
        <v>Corumba IV</v>
      </c>
      <c r="C37" s="1">
        <f t="shared" si="1"/>
        <v>-2316</v>
      </c>
      <c r="D37">
        <v>0</v>
      </c>
      <c r="E37">
        <v>0</v>
      </c>
      <c r="F37">
        <v>0</v>
      </c>
      <c r="G37">
        <v>0.3629</v>
      </c>
      <c r="H37">
        <v>33.841200000000001</v>
      </c>
      <c r="I37">
        <v>4.9745999999999997</v>
      </c>
      <c r="J37">
        <v>29.229399999999998</v>
      </c>
      <c r="K37">
        <v>0</v>
      </c>
      <c r="L37">
        <v>0</v>
      </c>
    </row>
    <row r="38" spans="1:12" x14ac:dyDescent="0.35">
      <c r="A38" s="3" t="s">
        <v>53</v>
      </c>
      <c r="B38" s="1" t="str">
        <f t="shared" si="0"/>
        <v>Lago Paranoa</v>
      </c>
      <c r="C38" s="1">
        <f t="shared" si="1"/>
        <v>-2316</v>
      </c>
      <c r="D38">
        <v>0</v>
      </c>
      <c r="E38">
        <v>2302.4499999999998</v>
      </c>
      <c r="F38">
        <v>0.40699999999999997</v>
      </c>
      <c r="G38">
        <v>2.4851999999999999</v>
      </c>
      <c r="H38">
        <v>3.4035000000000002</v>
      </c>
      <c r="I38">
        <v>1.2709999999999999</v>
      </c>
      <c r="J38">
        <v>4.2107000000000001</v>
      </c>
      <c r="K38">
        <v>2302.4499999999998</v>
      </c>
      <c r="L38">
        <v>0</v>
      </c>
    </row>
    <row r="39" spans="1:12" x14ac:dyDescent="0.35">
      <c r="A39" s="3" t="s">
        <v>54</v>
      </c>
      <c r="B39" s="1" t="str">
        <f t="shared" si="0"/>
        <v>Corumba IV</v>
      </c>
      <c r="C39" s="1">
        <f t="shared" si="1"/>
        <v>-2315</v>
      </c>
      <c r="D39">
        <v>0</v>
      </c>
      <c r="E39">
        <v>0</v>
      </c>
      <c r="F39">
        <v>0</v>
      </c>
      <c r="G39">
        <v>0.3629</v>
      </c>
      <c r="H39">
        <v>31.983599999999999</v>
      </c>
      <c r="I39">
        <v>5.0803000000000003</v>
      </c>
      <c r="J39">
        <v>27.266100000000002</v>
      </c>
      <c r="K39">
        <v>0</v>
      </c>
      <c r="L39">
        <v>0</v>
      </c>
    </row>
    <row r="40" spans="1:12" x14ac:dyDescent="0.35">
      <c r="A40" s="3" t="s">
        <v>55</v>
      </c>
      <c r="B40" s="1" t="str">
        <f t="shared" si="0"/>
        <v>Lago Paranoa</v>
      </c>
      <c r="C40" s="1">
        <f t="shared" si="1"/>
        <v>-2315</v>
      </c>
      <c r="D40">
        <v>0</v>
      </c>
      <c r="E40">
        <v>2302.4499999999998</v>
      </c>
      <c r="F40">
        <v>0.4073</v>
      </c>
      <c r="G40">
        <v>2.7052999999999998</v>
      </c>
      <c r="H40">
        <v>3.2158000000000002</v>
      </c>
      <c r="I40">
        <v>1.2827</v>
      </c>
      <c r="J40">
        <v>4.2309999999999999</v>
      </c>
      <c r="K40">
        <v>2302.4499999999998</v>
      </c>
      <c r="L40">
        <v>0</v>
      </c>
    </row>
    <row r="41" spans="1:12" x14ac:dyDescent="0.35">
      <c r="A41" s="3" t="s">
        <v>56</v>
      </c>
      <c r="B41" s="1" t="str">
        <f t="shared" si="0"/>
        <v>Corumba IV</v>
      </c>
      <c r="C41" s="1">
        <f t="shared" si="1"/>
        <v>-2314</v>
      </c>
      <c r="D41">
        <v>0</v>
      </c>
      <c r="E41">
        <v>0</v>
      </c>
      <c r="F41">
        <v>0</v>
      </c>
      <c r="G41">
        <v>0.3629</v>
      </c>
      <c r="H41">
        <v>30.510400000000001</v>
      </c>
      <c r="I41">
        <v>5.2211999999999996</v>
      </c>
      <c r="J41">
        <v>25.652100000000001</v>
      </c>
      <c r="K41">
        <v>0</v>
      </c>
      <c r="L41">
        <v>0</v>
      </c>
    </row>
    <row r="42" spans="1:12" x14ac:dyDescent="0.35">
      <c r="A42" s="3" t="s">
        <v>57</v>
      </c>
      <c r="B42" s="1" t="str">
        <f t="shared" si="0"/>
        <v>Lago Paranoa</v>
      </c>
      <c r="C42" s="1">
        <f t="shared" si="1"/>
        <v>-2314</v>
      </c>
      <c r="D42">
        <v>0</v>
      </c>
      <c r="E42">
        <v>2302.4499999999998</v>
      </c>
      <c r="F42">
        <v>0.4234</v>
      </c>
      <c r="G42">
        <v>2.7073999999999998</v>
      </c>
      <c r="H42">
        <v>3.4232999999999998</v>
      </c>
      <c r="I42">
        <v>1.2983</v>
      </c>
      <c r="J42">
        <v>4.4090999999999996</v>
      </c>
      <c r="K42">
        <v>2302.4499999999998</v>
      </c>
      <c r="L42">
        <v>0</v>
      </c>
    </row>
    <row r="43" spans="1:12" x14ac:dyDescent="0.35">
      <c r="A43" s="3" t="s">
        <v>58</v>
      </c>
      <c r="B43" s="1" t="str">
        <f t="shared" si="0"/>
        <v>Corumba IV</v>
      </c>
      <c r="C43" s="1">
        <f t="shared" si="1"/>
        <v>-2313</v>
      </c>
      <c r="D43">
        <v>0</v>
      </c>
      <c r="E43">
        <v>0</v>
      </c>
      <c r="F43">
        <v>0</v>
      </c>
      <c r="G43">
        <v>0.3629</v>
      </c>
      <c r="H43">
        <v>29.597200000000001</v>
      </c>
      <c r="I43">
        <v>5.2211999999999996</v>
      </c>
      <c r="J43">
        <v>24.738800000000001</v>
      </c>
      <c r="K43">
        <v>0</v>
      </c>
      <c r="L43">
        <v>0</v>
      </c>
    </row>
    <row r="44" spans="1:12" x14ac:dyDescent="0.35">
      <c r="A44" s="3" t="s">
        <v>59</v>
      </c>
      <c r="B44" s="1" t="str">
        <f t="shared" si="0"/>
        <v>Lago Paranoa</v>
      </c>
      <c r="C44" s="1">
        <f t="shared" si="1"/>
        <v>-2313</v>
      </c>
      <c r="D44">
        <v>0</v>
      </c>
      <c r="E44">
        <v>2302.4499999999998</v>
      </c>
      <c r="F44">
        <v>0.4234</v>
      </c>
      <c r="G44">
        <v>2.5184000000000002</v>
      </c>
      <c r="H44">
        <v>3.3205</v>
      </c>
      <c r="I44">
        <v>1.2983</v>
      </c>
      <c r="J44">
        <v>4.1172000000000004</v>
      </c>
      <c r="K44">
        <v>2302.4499999999998</v>
      </c>
      <c r="L44">
        <v>0</v>
      </c>
    </row>
    <row r="45" spans="1:12" x14ac:dyDescent="0.35">
      <c r="A45" s="3" t="s">
        <v>60</v>
      </c>
      <c r="B45" s="1" t="str">
        <f t="shared" si="0"/>
        <v>Corumba IV</v>
      </c>
      <c r="C45" s="1">
        <f t="shared" si="1"/>
        <v>-2312</v>
      </c>
      <c r="D45">
        <v>0</v>
      </c>
      <c r="E45">
        <v>0</v>
      </c>
      <c r="F45">
        <v>0</v>
      </c>
      <c r="G45">
        <v>0.3629</v>
      </c>
      <c r="H45">
        <v>27.9876</v>
      </c>
      <c r="I45">
        <v>5.2211999999999996</v>
      </c>
      <c r="J45">
        <v>23.129200000000001</v>
      </c>
      <c r="K45">
        <v>0</v>
      </c>
      <c r="L45">
        <v>0</v>
      </c>
    </row>
    <row r="46" spans="1:12" x14ac:dyDescent="0.35">
      <c r="A46" s="3" t="s">
        <v>61</v>
      </c>
      <c r="B46" s="1" t="str">
        <f t="shared" si="0"/>
        <v>Lago Paranoa</v>
      </c>
      <c r="C46" s="1">
        <f t="shared" si="1"/>
        <v>-2312</v>
      </c>
      <c r="D46">
        <v>0</v>
      </c>
      <c r="E46">
        <v>2302.4499999999998</v>
      </c>
      <c r="F46">
        <v>0.4234</v>
      </c>
      <c r="G46">
        <v>2.3645999999999998</v>
      </c>
      <c r="H46">
        <v>3.1781000000000001</v>
      </c>
      <c r="I46">
        <v>1.2983</v>
      </c>
      <c r="J46">
        <v>3.8210000000000002</v>
      </c>
      <c r="K46">
        <v>2302.4499999999998</v>
      </c>
      <c r="L46">
        <v>0</v>
      </c>
    </row>
    <row r="47" spans="1:12" x14ac:dyDescent="0.35">
      <c r="A47" s="3" t="s">
        <v>62</v>
      </c>
      <c r="B47" s="1" t="str">
        <f t="shared" si="0"/>
        <v>Corumba IV</v>
      </c>
      <c r="C47" s="1">
        <f t="shared" si="1"/>
        <v>-2311</v>
      </c>
      <c r="D47">
        <v>0</v>
      </c>
      <c r="E47">
        <v>0</v>
      </c>
      <c r="F47">
        <v>0</v>
      </c>
      <c r="G47">
        <v>0.3629</v>
      </c>
      <c r="H47">
        <v>27.4087</v>
      </c>
      <c r="I47">
        <v>5.2211999999999996</v>
      </c>
      <c r="J47">
        <v>22.5503</v>
      </c>
      <c r="K47">
        <v>0</v>
      </c>
      <c r="L47">
        <v>0</v>
      </c>
    </row>
    <row r="48" spans="1:12" x14ac:dyDescent="0.35">
      <c r="A48" s="3" t="s">
        <v>63</v>
      </c>
      <c r="B48" s="1" t="str">
        <f t="shared" si="0"/>
        <v>Lago Paranoa</v>
      </c>
      <c r="C48" s="1">
        <f t="shared" si="1"/>
        <v>-2311</v>
      </c>
      <c r="D48">
        <v>0</v>
      </c>
      <c r="E48">
        <v>2302.4499999999998</v>
      </c>
      <c r="F48">
        <v>0.4234</v>
      </c>
      <c r="G48">
        <v>2.1739999999999999</v>
      </c>
      <c r="H48">
        <v>3.0531000000000001</v>
      </c>
      <c r="I48">
        <v>1.2983</v>
      </c>
      <c r="J48">
        <v>3.5053999999999998</v>
      </c>
      <c r="K48">
        <v>2302.4499999999998</v>
      </c>
      <c r="L48">
        <v>0</v>
      </c>
    </row>
    <row r="49" spans="1:12" x14ac:dyDescent="0.35">
      <c r="A49" s="3" t="s">
        <v>64</v>
      </c>
      <c r="B49" s="1" t="str">
        <f t="shared" si="0"/>
        <v>Corumba IV</v>
      </c>
      <c r="C49" s="1">
        <f t="shared" si="1"/>
        <v>-2310</v>
      </c>
      <c r="D49">
        <v>0</v>
      </c>
      <c r="E49">
        <v>0</v>
      </c>
      <c r="F49">
        <v>0</v>
      </c>
      <c r="G49">
        <v>0.3629</v>
      </c>
      <c r="H49">
        <v>25.965800000000002</v>
      </c>
      <c r="I49">
        <v>6.1776999999999997</v>
      </c>
      <c r="J49">
        <v>20.151</v>
      </c>
      <c r="K49">
        <v>0</v>
      </c>
      <c r="L49">
        <v>0</v>
      </c>
    </row>
    <row r="50" spans="1:12" x14ac:dyDescent="0.35">
      <c r="A50" s="3" t="s">
        <v>65</v>
      </c>
      <c r="B50" s="1" t="str">
        <f t="shared" si="0"/>
        <v>Lago Paranoa</v>
      </c>
      <c r="C50" s="1">
        <f t="shared" si="1"/>
        <v>-2310</v>
      </c>
      <c r="D50">
        <v>0</v>
      </c>
      <c r="E50">
        <v>2302.4499999999998</v>
      </c>
      <c r="F50">
        <v>0.4234</v>
      </c>
      <c r="G50">
        <v>2.1436000000000002</v>
      </c>
      <c r="H50">
        <v>2.9155000000000002</v>
      </c>
      <c r="I50">
        <v>1.4354</v>
      </c>
      <c r="J50">
        <v>3.2004000000000001</v>
      </c>
      <c r="K50">
        <v>2302.4499999999998</v>
      </c>
      <c r="L50">
        <v>0</v>
      </c>
    </row>
    <row r="51" spans="1:12" x14ac:dyDescent="0.35">
      <c r="A51" s="3" t="s">
        <v>66</v>
      </c>
      <c r="B51" s="1" t="str">
        <f t="shared" si="0"/>
        <v>Corumba IV</v>
      </c>
      <c r="C51" s="1">
        <f t="shared" si="1"/>
        <v>-2309</v>
      </c>
      <c r="D51">
        <v>0</v>
      </c>
      <c r="E51">
        <v>0</v>
      </c>
      <c r="F51">
        <v>0</v>
      </c>
      <c r="G51">
        <v>0.3629</v>
      </c>
      <c r="H51">
        <v>24.813199999999998</v>
      </c>
      <c r="I51">
        <v>6.1776999999999997</v>
      </c>
      <c r="J51">
        <v>18.9984</v>
      </c>
      <c r="K51">
        <v>0</v>
      </c>
      <c r="L51">
        <v>0</v>
      </c>
    </row>
    <row r="52" spans="1:12" x14ac:dyDescent="0.35">
      <c r="A52" s="3" t="s">
        <v>67</v>
      </c>
      <c r="B52" s="1" t="str">
        <f t="shared" si="0"/>
        <v>Lago Paranoa</v>
      </c>
      <c r="C52" s="1">
        <f t="shared" si="1"/>
        <v>-2309</v>
      </c>
      <c r="D52">
        <v>0</v>
      </c>
      <c r="E52">
        <v>2302.4499999999998</v>
      </c>
      <c r="F52">
        <v>0.4234</v>
      </c>
      <c r="G52">
        <v>2.1892999999999998</v>
      </c>
      <c r="H52">
        <v>2.8033000000000001</v>
      </c>
      <c r="I52">
        <v>1.4354</v>
      </c>
      <c r="J52">
        <v>3.1337999999999999</v>
      </c>
      <c r="K52">
        <v>2302.4499999999998</v>
      </c>
      <c r="L52">
        <v>0</v>
      </c>
    </row>
    <row r="53" spans="1:12" x14ac:dyDescent="0.35">
      <c r="A53" s="3" t="s">
        <v>68</v>
      </c>
      <c r="B53" s="1" t="str">
        <f t="shared" si="0"/>
        <v>Corumba IV</v>
      </c>
      <c r="C53" s="1">
        <f t="shared" si="1"/>
        <v>-2308</v>
      </c>
      <c r="D53">
        <v>0</v>
      </c>
      <c r="E53">
        <v>0</v>
      </c>
      <c r="F53">
        <v>0</v>
      </c>
      <c r="G53">
        <v>0.3629</v>
      </c>
      <c r="H53">
        <v>23.239899999999999</v>
      </c>
      <c r="I53">
        <v>6.1776999999999997</v>
      </c>
      <c r="J53">
        <v>17.4251</v>
      </c>
      <c r="K53">
        <v>0</v>
      </c>
      <c r="L53">
        <v>0</v>
      </c>
    </row>
    <row r="54" spans="1:12" x14ac:dyDescent="0.35">
      <c r="A54" s="3" t="s">
        <v>69</v>
      </c>
      <c r="B54" s="1" t="str">
        <f t="shared" si="0"/>
        <v>Lago Paranoa</v>
      </c>
      <c r="C54" s="1">
        <f t="shared" si="1"/>
        <v>-2308</v>
      </c>
      <c r="D54">
        <v>0</v>
      </c>
      <c r="E54">
        <v>2302.4499999999998</v>
      </c>
      <c r="F54">
        <v>0.4234</v>
      </c>
      <c r="G54">
        <v>2.6932999999999998</v>
      </c>
      <c r="H54">
        <v>2.7974000000000001</v>
      </c>
      <c r="I54">
        <v>1.4354</v>
      </c>
      <c r="J54">
        <v>3.6318999999999999</v>
      </c>
      <c r="K54">
        <v>2302.4499999999998</v>
      </c>
      <c r="L54">
        <v>0</v>
      </c>
    </row>
    <row r="55" spans="1:12" x14ac:dyDescent="0.35">
      <c r="A55" s="3" t="s">
        <v>70</v>
      </c>
      <c r="B55" s="1" t="str">
        <f t="shared" si="0"/>
        <v>Corumba IV</v>
      </c>
      <c r="C55" s="1">
        <f t="shared" si="1"/>
        <v>-2307</v>
      </c>
      <c r="D55">
        <v>0</v>
      </c>
      <c r="E55">
        <v>0</v>
      </c>
      <c r="F55">
        <v>0</v>
      </c>
      <c r="G55">
        <v>0.3629</v>
      </c>
      <c r="H55">
        <v>29.511600000000001</v>
      </c>
      <c r="I55">
        <v>6.1776999999999997</v>
      </c>
      <c r="J55">
        <v>23.696899999999999</v>
      </c>
      <c r="K55">
        <v>0</v>
      </c>
      <c r="L55">
        <v>0</v>
      </c>
    </row>
    <row r="56" spans="1:12" x14ac:dyDescent="0.35">
      <c r="A56" s="3" t="s">
        <v>71</v>
      </c>
      <c r="B56" s="1" t="str">
        <f t="shared" si="0"/>
        <v>Lago Paranoa</v>
      </c>
      <c r="C56" s="1">
        <f t="shared" si="1"/>
        <v>-2307</v>
      </c>
      <c r="D56">
        <v>0</v>
      </c>
      <c r="E56">
        <v>2302.4499999999998</v>
      </c>
      <c r="F56">
        <v>0.4234</v>
      </c>
      <c r="G56">
        <v>2.6983000000000001</v>
      </c>
      <c r="H56">
        <v>3.0289999999999999</v>
      </c>
      <c r="I56">
        <v>1.4354</v>
      </c>
      <c r="J56">
        <v>3.8685999999999998</v>
      </c>
      <c r="K56">
        <v>2302.4499999999998</v>
      </c>
      <c r="L56">
        <v>0</v>
      </c>
    </row>
    <row r="57" spans="1:12" x14ac:dyDescent="0.35">
      <c r="A57" s="3" t="s">
        <v>72</v>
      </c>
      <c r="B57" s="1" t="str">
        <f t="shared" si="0"/>
        <v>Corumba IV</v>
      </c>
      <c r="C57" s="1">
        <f t="shared" si="1"/>
        <v>-2306</v>
      </c>
      <c r="D57">
        <v>0</v>
      </c>
      <c r="E57">
        <v>0</v>
      </c>
      <c r="F57">
        <v>0</v>
      </c>
      <c r="G57">
        <v>0.3629</v>
      </c>
      <c r="H57">
        <v>24.633500000000002</v>
      </c>
      <c r="I57">
        <v>6.1151999999999997</v>
      </c>
      <c r="J57">
        <v>18.8811</v>
      </c>
      <c r="K57">
        <v>0</v>
      </c>
      <c r="L57">
        <v>0</v>
      </c>
    </row>
    <row r="58" spans="1:12" x14ac:dyDescent="0.35">
      <c r="A58" s="3" t="s">
        <v>73</v>
      </c>
      <c r="B58" s="1" t="str">
        <f t="shared" si="0"/>
        <v>Lago Paranoa</v>
      </c>
      <c r="C58" s="1">
        <f t="shared" si="1"/>
        <v>-2306</v>
      </c>
      <c r="D58">
        <v>0</v>
      </c>
      <c r="E58">
        <v>2302.4499999999998</v>
      </c>
      <c r="F58">
        <v>0.4234</v>
      </c>
      <c r="G58">
        <v>2.2886000000000002</v>
      </c>
      <c r="H58">
        <v>2.7564000000000002</v>
      </c>
      <c r="I58">
        <v>1.4292</v>
      </c>
      <c r="J58">
        <v>3.1924000000000001</v>
      </c>
      <c r="K58">
        <v>2302.4499999999998</v>
      </c>
      <c r="L58">
        <v>0</v>
      </c>
    </row>
    <row r="59" spans="1:12" x14ac:dyDescent="0.35">
      <c r="A59" s="3" t="s">
        <v>74</v>
      </c>
      <c r="B59" s="1" t="str">
        <f t="shared" si="0"/>
        <v>Corumba IV</v>
      </c>
      <c r="C59" s="1">
        <f t="shared" si="1"/>
        <v>-2305</v>
      </c>
      <c r="D59">
        <v>0</v>
      </c>
      <c r="E59">
        <v>0</v>
      </c>
      <c r="F59">
        <v>0</v>
      </c>
      <c r="G59">
        <v>0.3629</v>
      </c>
      <c r="H59">
        <v>30.2728</v>
      </c>
      <c r="I59">
        <v>6.3300999999999998</v>
      </c>
      <c r="J59">
        <v>24.305599999999998</v>
      </c>
      <c r="K59">
        <v>0</v>
      </c>
      <c r="L59">
        <v>0</v>
      </c>
    </row>
    <row r="60" spans="1:12" x14ac:dyDescent="0.35">
      <c r="A60" s="3" t="s">
        <v>75</v>
      </c>
      <c r="B60" s="1" t="str">
        <f t="shared" si="0"/>
        <v>Lago Paranoa</v>
      </c>
      <c r="C60" s="1">
        <f t="shared" si="1"/>
        <v>-2305</v>
      </c>
      <c r="D60">
        <v>0</v>
      </c>
      <c r="E60">
        <v>2302.4499999999998</v>
      </c>
      <c r="F60">
        <v>0.4234</v>
      </c>
      <c r="G60">
        <v>2.4236</v>
      </c>
      <c r="H60">
        <v>3.0297000000000001</v>
      </c>
      <c r="I60">
        <v>1.4769000000000001</v>
      </c>
      <c r="J60">
        <v>3.5531999999999999</v>
      </c>
      <c r="K60">
        <v>2302.4499999999998</v>
      </c>
      <c r="L60">
        <v>0</v>
      </c>
    </row>
    <row r="61" spans="1:12" x14ac:dyDescent="0.35">
      <c r="A61" s="3" t="s">
        <v>76</v>
      </c>
      <c r="B61" s="1" t="str">
        <f t="shared" si="0"/>
        <v>Corumba IV</v>
      </c>
      <c r="C61" s="1">
        <f t="shared" si="1"/>
        <v>-2304</v>
      </c>
      <c r="D61">
        <v>0</v>
      </c>
      <c r="E61">
        <v>0</v>
      </c>
      <c r="F61">
        <v>0</v>
      </c>
      <c r="G61">
        <v>0.3629</v>
      </c>
      <c r="H61">
        <v>26.968900000000001</v>
      </c>
      <c r="I61">
        <v>6.3300999999999998</v>
      </c>
      <c r="J61">
        <v>21.0016</v>
      </c>
      <c r="K61">
        <v>0</v>
      </c>
      <c r="L61">
        <v>0</v>
      </c>
    </row>
    <row r="62" spans="1:12" x14ac:dyDescent="0.35">
      <c r="A62" s="3" t="s">
        <v>77</v>
      </c>
      <c r="B62" s="1" t="str">
        <f t="shared" si="0"/>
        <v>Lago Paranoa</v>
      </c>
      <c r="C62" s="1">
        <f t="shared" si="1"/>
        <v>-2304</v>
      </c>
      <c r="D62">
        <v>0</v>
      </c>
      <c r="E62">
        <v>2302.4499999999998</v>
      </c>
      <c r="F62">
        <v>0.4234</v>
      </c>
      <c r="G62">
        <v>3.0384000000000002</v>
      </c>
      <c r="H62">
        <v>3.2109000000000001</v>
      </c>
      <c r="I62">
        <v>1.4769000000000001</v>
      </c>
      <c r="J62">
        <v>4.3491</v>
      </c>
      <c r="K62">
        <v>2302.4499999999998</v>
      </c>
      <c r="L62">
        <v>0</v>
      </c>
    </row>
    <row r="63" spans="1:12" x14ac:dyDescent="0.35">
      <c r="A63" s="3" t="s">
        <v>78</v>
      </c>
      <c r="B63" s="1" t="str">
        <f t="shared" si="0"/>
        <v>Corumba IV</v>
      </c>
      <c r="C63" s="1">
        <f t="shared" si="1"/>
        <v>-2303</v>
      </c>
      <c r="D63">
        <v>0</v>
      </c>
      <c r="E63">
        <v>0</v>
      </c>
      <c r="F63">
        <v>0</v>
      </c>
      <c r="G63">
        <v>0.3629</v>
      </c>
      <c r="H63">
        <v>26.0686</v>
      </c>
      <c r="I63">
        <v>6.3300999999999998</v>
      </c>
      <c r="J63">
        <v>20.101400000000002</v>
      </c>
      <c r="K63">
        <v>0</v>
      </c>
      <c r="L63">
        <v>0</v>
      </c>
    </row>
    <row r="64" spans="1:12" x14ac:dyDescent="0.35">
      <c r="A64" s="3" t="s">
        <v>79</v>
      </c>
      <c r="B64" s="1" t="str">
        <f t="shared" si="0"/>
        <v>Lago Paranoa</v>
      </c>
      <c r="C64" s="1">
        <f t="shared" si="1"/>
        <v>-2303</v>
      </c>
      <c r="D64">
        <v>0</v>
      </c>
      <c r="E64">
        <v>2302.4499999999998</v>
      </c>
      <c r="F64">
        <v>0.4234</v>
      </c>
      <c r="G64">
        <v>2.7475000000000001</v>
      </c>
      <c r="H64">
        <v>3.1002000000000001</v>
      </c>
      <c r="I64">
        <v>1.4769000000000001</v>
      </c>
      <c r="J64">
        <v>3.9474999999999998</v>
      </c>
      <c r="K64">
        <v>2302.4499999999998</v>
      </c>
      <c r="L64">
        <v>0</v>
      </c>
    </row>
    <row r="65" spans="1:12" x14ac:dyDescent="0.35">
      <c r="A65" s="3" t="s">
        <v>80</v>
      </c>
      <c r="B65" s="1" t="str">
        <f t="shared" si="0"/>
        <v>Corumba IV</v>
      </c>
      <c r="C65" s="1">
        <f t="shared" si="1"/>
        <v>-2302</v>
      </c>
      <c r="D65">
        <v>0</v>
      </c>
      <c r="E65">
        <v>0</v>
      </c>
      <c r="F65">
        <v>0</v>
      </c>
      <c r="G65">
        <v>0.3629</v>
      </c>
      <c r="H65">
        <v>24.998100000000001</v>
      </c>
      <c r="I65">
        <v>5.8811999999999998</v>
      </c>
      <c r="J65">
        <v>19.479800000000001</v>
      </c>
      <c r="K65">
        <v>0</v>
      </c>
      <c r="L65">
        <v>0</v>
      </c>
    </row>
    <row r="66" spans="1:12" x14ac:dyDescent="0.35">
      <c r="A66" s="3" t="s">
        <v>81</v>
      </c>
      <c r="B66" s="1" t="str">
        <f t="shared" si="0"/>
        <v>Lago Paranoa</v>
      </c>
      <c r="C66" s="1">
        <f t="shared" si="1"/>
        <v>-2302</v>
      </c>
      <c r="D66">
        <v>0</v>
      </c>
      <c r="E66">
        <v>2302.4499999999998</v>
      </c>
      <c r="F66">
        <v>0.4234</v>
      </c>
      <c r="G66">
        <v>2.6629</v>
      </c>
      <c r="H66">
        <v>3.4639000000000002</v>
      </c>
      <c r="I66">
        <v>1.4135</v>
      </c>
      <c r="J66">
        <v>4.2899000000000003</v>
      </c>
      <c r="K66">
        <v>2302.4499999999998</v>
      </c>
      <c r="L66">
        <v>0</v>
      </c>
    </row>
    <row r="67" spans="1:12" x14ac:dyDescent="0.35">
      <c r="A67" s="3" t="s">
        <v>82</v>
      </c>
      <c r="B67" s="1" t="str">
        <f t="shared" ref="B67:B130" si="2">_xlfn.TEXTBEFORE(_xlfn.TEXTAFTER(A67,"["),"]")</f>
        <v>Corumba IV</v>
      </c>
      <c r="C67" s="1">
        <f t="shared" si="1"/>
        <v>-2301</v>
      </c>
      <c r="D67">
        <v>0</v>
      </c>
      <c r="E67">
        <v>0</v>
      </c>
      <c r="F67">
        <v>0</v>
      </c>
      <c r="G67">
        <v>0.3629</v>
      </c>
      <c r="H67">
        <v>29.835599999999999</v>
      </c>
      <c r="I67">
        <v>4.7587000000000002</v>
      </c>
      <c r="J67">
        <v>25.439800000000002</v>
      </c>
      <c r="K67">
        <v>0</v>
      </c>
      <c r="L67">
        <v>0</v>
      </c>
    </row>
    <row r="68" spans="1:12" x14ac:dyDescent="0.35">
      <c r="A68" s="3" t="s">
        <v>83</v>
      </c>
      <c r="B68" s="1" t="str">
        <f t="shared" si="2"/>
        <v>Lago Paranoa</v>
      </c>
      <c r="C68" s="1">
        <f t="shared" ref="C68:C131" si="3">--_xlfn.TEXTBEFORE(_xlfn.TEXTAFTER(A68,"Week "),":")</f>
        <v>-2301</v>
      </c>
      <c r="D68">
        <v>0</v>
      </c>
      <c r="E68">
        <v>2302.4499999999998</v>
      </c>
      <c r="F68">
        <v>0.4234</v>
      </c>
      <c r="G68">
        <v>2.8313999999999999</v>
      </c>
      <c r="H68">
        <v>3.5569999999999999</v>
      </c>
      <c r="I68">
        <v>1.2551000000000001</v>
      </c>
      <c r="J68">
        <v>4.71</v>
      </c>
      <c r="K68">
        <v>2302.4499999999998</v>
      </c>
      <c r="L68">
        <v>0</v>
      </c>
    </row>
    <row r="69" spans="1:12" x14ac:dyDescent="0.35">
      <c r="A69" s="3" t="s">
        <v>84</v>
      </c>
      <c r="B69" s="1" t="str">
        <f t="shared" si="2"/>
        <v>Corumba IV</v>
      </c>
      <c r="C69" s="1">
        <f t="shared" si="3"/>
        <v>-2300</v>
      </c>
      <c r="D69">
        <v>0</v>
      </c>
      <c r="E69">
        <v>0</v>
      </c>
      <c r="F69">
        <v>0</v>
      </c>
      <c r="G69">
        <v>0.3629</v>
      </c>
      <c r="H69">
        <v>33.615600000000001</v>
      </c>
      <c r="I69">
        <v>4.7587000000000002</v>
      </c>
      <c r="J69">
        <v>29.219799999999999</v>
      </c>
      <c r="K69">
        <v>0</v>
      </c>
      <c r="L69">
        <v>0</v>
      </c>
    </row>
    <row r="70" spans="1:12" x14ac:dyDescent="0.35">
      <c r="A70" s="3" t="s">
        <v>85</v>
      </c>
      <c r="B70" s="1" t="str">
        <f t="shared" si="2"/>
        <v>Lago Paranoa</v>
      </c>
      <c r="C70" s="1">
        <f t="shared" si="3"/>
        <v>-2300</v>
      </c>
      <c r="D70">
        <v>0</v>
      </c>
      <c r="E70">
        <v>2302.4499999999998</v>
      </c>
      <c r="F70">
        <v>0.4234</v>
      </c>
      <c r="G70">
        <v>3.3448000000000002</v>
      </c>
      <c r="H70">
        <v>3.6072000000000002</v>
      </c>
      <c r="I70">
        <v>1.2551000000000001</v>
      </c>
      <c r="J70">
        <v>5.2735000000000003</v>
      </c>
      <c r="K70">
        <v>2302.4499999999998</v>
      </c>
      <c r="L70">
        <v>0</v>
      </c>
    </row>
    <row r="71" spans="1:12" x14ac:dyDescent="0.35">
      <c r="A71" s="3" t="s">
        <v>86</v>
      </c>
      <c r="B71" s="1" t="str">
        <f t="shared" si="2"/>
        <v>Corumba IV</v>
      </c>
      <c r="C71" s="1">
        <f t="shared" si="3"/>
        <v>-2299</v>
      </c>
      <c r="D71">
        <v>0</v>
      </c>
      <c r="E71">
        <v>0</v>
      </c>
      <c r="F71">
        <v>0</v>
      </c>
      <c r="G71">
        <v>0.3629</v>
      </c>
      <c r="H71">
        <v>26.219799999999999</v>
      </c>
      <c r="I71">
        <v>4.7587000000000002</v>
      </c>
      <c r="J71">
        <v>21.824000000000002</v>
      </c>
      <c r="K71">
        <v>0</v>
      </c>
      <c r="L71">
        <v>0</v>
      </c>
    </row>
    <row r="72" spans="1:12" x14ac:dyDescent="0.35">
      <c r="A72" s="3" t="s">
        <v>87</v>
      </c>
      <c r="B72" s="1" t="str">
        <f t="shared" si="2"/>
        <v>Lago Paranoa</v>
      </c>
      <c r="C72" s="1">
        <f t="shared" si="3"/>
        <v>-2299</v>
      </c>
      <c r="D72">
        <v>0</v>
      </c>
      <c r="E72">
        <v>2302.4499999999998</v>
      </c>
      <c r="F72">
        <v>0.4234</v>
      </c>
      <c r="G72">
        <v>2.6858</v>
      </c>
      <c r="H72">
        <v>3.1082999999999998</v>
      </c>
      <c r="I72">
        <v>1.2551000000000001</v>
      </c>
      <c r="J72">
        <v>4.1155999999999997</v>
      </c>
      <c r="K72">
        <v>2302.4499999999998</v>
      </c>
      <c r="L72">
        <v>0</v>
      </c>
    </row>
    <row r="73" spans="1:12" x14ac:dyDescent="0.35">
      <c r="A73" s="3" t="s">
        <v>88</v>
      </c>
      <c r="B73" s="1" t="str">
        <f t="shared" si="2"/>
        <v>Corumba IV</v>
      </c>
      <c r="C73" s="1">
        <f t="shared" si="3"/>
        <v>-2298</v>
      </c>
      <c r="D73">
        <v>0</v>
      </c>
      <c r="E73">
        <v>0</v>
      </c>
      <c r="F73">
        <v>0</v>
      </c>
      <c r="G73">
        <v>0.3629</v>
      </c>
      <c r="H73">
        <v>33.9846</v>
      </c>
      <c r="I73">
        <v>4.0865999999999998</v>
      </c>
      <c r="J73">
        <v>30.2608</v>
      </c>
      <c r="K73">
        <v>0</v>
      </c>
      <c r="L73">
        <v>0</v>
      </c>
    </row>
    <row r="74" spans="1:12" x14ac:dyDescent="0.35">
      <c r="A74" s="3" t="s">
        <v>89</v>
      </c>
      <c r="B74" s="1" t="str">
        <f t="shared" si="2"/>
        <v>Lago Paranoa</v>
      </c>
      <c r="C74" s="1">
        <f t="shared" si="3"/>
        <v>-2298</v>
      </c>
      <c r="D74">
        <v>0</v>
      </c>
      <c r="E74">
        <v>2302.4499999999998</v>
      </c>
      <c r="F74">
        <v>0.4234</v>
      </c>
      <c r="G74">
        <v>3.2018</v>
      </c>
      <c r="H74">
        <v>3.9828000000000001</v>
      </c>
      <c r="I74">
        <v>1.0808</v>
      </c>
      <c r="J74">
        <v>5.6805000000000003</v>
      </c>
      <c r="K74">
        <v>2302.4499999999998</v>
      </c>
      <c r="L74">
        <v>0</v>
      </c>
    </row>
    <row r="75" spans="1:12" x14ac:dyDescent="0.35">
      <c r="A75" s="3" t="s">
        <v>90</v>
      </c>
      <c r="B75" s="1" t="str">
        <f t="shared" si="2"/>
        <v>Corumba IV</v>
      </c>
      <c r="C75" s="1">
        <f t="shared" si="3"/>
        <v>-2297</v>
      </c>
      <c r="D75">
        <v>0</v>
      </c>
      <c r="E75">
        <v>0</v>
      </c>
      <c r="F75">
        <v>0</v>
      </c>
      <c r="G75">
        <v>0.3629</v>
      </c>
      <c r="H75">
        <v>39.735399999999998</v>
      </c>
      <c r="I75">
        <v>3.9569999999999999</v>
      </c>
      <c r="J75">
        <v>36.141199999999998</v>
      </c>
      <c r="K75">
        <v>0</v>
      </c>
      <c r="L75">
        <v>0</v>
      </c>
    </row>
    <row r="76" spans="1:12" x14ac:dyDescent="0.35">
      <c r="A76" s="3" t="s">
        <v>91</v>
      </c>
      <c r="B76" s="1" t="str">
        <f t="shared" si="2"/>
        <v>Lago Paranoa</v>
      </c>
      <c r="C76" s="1">
        <f t="shared" si="3"/>
        <v>-2297</v>
      </c>
      <c r="D76">
        <v>0</v>
      </c>
      <c r="E76">
        <v>2302.4499999999998</v>
      </c>
      <c r="F76">
        <v>0.4234</v>
      </c>
      <c r="G76">
        <v>2.9213</v>
      </c>
      <c r="H76">
        <v>4.2023999999999999</v>
      </c>
      <c r="I76">
        <v>1.0043</v>
      </c>
      <c r="J76">
        <v>5.6959999999999997</v>
      </c>
      <c r="K76">
        <v>2302.4499999999998</v>
      </c>
      <c r="L76">
        <v>0</v>
      </c>
    </row>
    <row r="77" spans="1:12" x14ac:dyDescent="0.35">
      <c r="A77" s="3" t="s">
        <v>92</v>
      </c>
      <c r="B77" s="1" t="str">
        <f t="shared" si="2"/>
        <v>Corumba IV</v>
      </c>
      <c r="C77" s="1">
        <f t="shared" si="3"/>
        <v>-2296</v>
      </c>
      <c r="D77">
        <v>0</v>
      </c>
      <c r="E77">
        <v>0</v>
      </c>
      <c r="F77">
        <v>0</v>
      </c>
      <c r="G77">
        <v>0.3629</v>
      </c>
      <c r="H77">
        <v>49.585000000000001</v>
      </c>
      <c r="I77">
        <v>3.3814000000000002</v>
      </c>
      <c r="J77">
        <v>46.566400000000002</v>
      </c>
      <c r="K77">
        <v>0</v>
      </c>
      <c r="L77">
        <v>0</v>
      </c>
    </row>
    <row r="78" spans="1:12" x14ac:dyDescent="0.35">
      <c r="A78" s="3" t="s">
        <v>93</v>
      </c>
      <c r="B78" s="1" t="str">
        <f t="shared" si="2"/>
        <v>Lago Paranoa</v>
      </c>
      <c r="C78" s="1">
        <f t="shared" si="3"/>
        <v>-2296</v>
      </c>
      <c r="D78">
        <v>0</v>
      </c>
      <c r="E78">
        <v>2302.4499999999998</v>
      </c>
      <c r="F78">
        <v>0.4234</v>
      </c>
      <c r="G78">
        <v>2.8944999999999999</v>
      </c>
      <c r="H78">
        <v>5.1581999999999999</v>
      </c>
      <c r="I78">
        <v>0.81479999999999997</v>
      </c>
      <c r="J78">
        <v>6.8144999999999998</v>
      </c>
      <c r="K78">
        <v>2302.4499999999998</v>
      </c>
      <c r="L78">
        <v>0</v>
      </c>
    </row>
    <row r="79" spans="1:12" x14ac:dyDescent="0.35">
      <c r="A79" s="3" t="s">
        <v>94</v>
      </c>
      <c r="B79" s="1" t="str">
        <f t="shared" si="2"/>
        <v>Corumba IV</v>
      </c>
      <c r="C79" s="1">
        <f t="shared" si="3"/>
        <v>-2295</v>
      </c>
      <c r="D79">
        <v>0</v>
      </c>
      <c r="E79">
        <v>0</v>
      </c>
      <c r="F79">
        <v>0</v>
      </c>
      <c r="G79">
        <v>0.3629</v>
      </c>
      <c r="H79">
        <v>53.231000000000002</v>
      </c>
      <c r="I79">
        <v>3.3814000000000002</v>
      </c>
      <c r="J79">
        <v>50.212499999999999</v>
      </c>
      <c r="K79">
        <v>0</v>
      </c>
      <c r="L79">
        <v>0</v>
      </c>
    </row>
    <row r="80" spans="1:12" x14ac:dyDescent="0.35">
      <c r="A80" s="3" t="s">
        <v>95</v>
      </c>
      <c r="B80" s="1" t="str">
        <f t="shared" si="2"/>
        <v>Lago Paranoa</v>
      </c>
      <c r="C80" s="1">
        <f t="shared" si="3"/>
        <v>-2295</v>
      </c>
      <c r="D80">
        <v>0</v>
      </c>
      <c r="E80">
        <v>2302.4499999999998</v>
      </c>
      <c r="F80">
        <v>0.4234</v>
      </c>
      <c r="G80">
        <v>3.2915000000000001</v>
      </c>
      <c r="H80">
        <v>6.5225</v>
      </c>
      <c r="I80">
        <v>0.81479999999999997</v>
      </c>
      <c r="J80">
        <v>8.5759000000000007</v>
      </c>
      <c r="K80">
        <v>2302.4499999999998</v>
      </c>
      <c r="L80">
        <v>0</v>
      </c>
    </row>
    <row r="81" spans="1:12" x14ac:dyDescent="0.35">
      <c r="A81" s="3" t="s">
        <v>96</v>
      </c>
      <c r="B81" s="1" t="str">
        <f t="shared" si="2"/>
        <v>Corumba IV</v>
      </c>
      <c r="C81" s="1">
        <f t="shared" si="3"/>
        <v>-2294</v>
      </c>
      <c r="D81">
        <v>0</v>
      </c>
      <c r="E81">
        <v>0</v>
      </c>
      <c r="F81">
        <v>0</v>
      </c>
      <c r="G81">
        <v>0.3629</v>
      </c>
      <c r="H81">
        <v>89.927700000000002</v>
      </c>
      <c r="I81">
        <v>3.3814000000000002</v>
      </c>
      <c r="J81">
        <v>86.909199999999998</v>
      </c>
      <c r="K81">
        <v>0</v>
      </c>
      <c r="L81">
        <v>0</v>
      </c>
    </row>
    <row r="82" spans="1:12" x14ac:dyDescent="0.35">
      <c r="A82" s="3" t="s">
        <v>97</v>
      </c>
      <c r="B82" s="1" t="str">
        <f t="shared" si="2"/>
        <v>Lago Paranoa</v>
      </c>
      <c r="C82" s="1">
        <f t="shared" si="3"/>
        <v>-2294</v>
      </c>
      <c r="D82">
        <v>0</v>
      </c>
      <c r="E82">
        <v>2302.4499999999998</v>
      </c>
      <c r="F82">
        <v>0.4234</v>
      </c>
      <c r="G82">
        <v>3.3683999999999998</v>
      </c>
      <c r="H82">
        <v>7.8959000000000001</v>
      </c>
      <c r="I82">
        <v>0.81479999999999997</v>
      </c>
      <c r="J82">
        <v>10.026199999999999</v>
      </c>
      <c r="K82">
        <v>2302.4499999999998</v>
      </c>
      <c r="L82">
        <v>0</v>
      </c>
    </row>
    <row r="83" spans="1:12" x14ac:dyDescent="0.35">
      <c r="A83" s="3" t="s">
        <v>98</v>
      </c>
      <c r="B83" s="1" t="str">
        <f t="shared" si="2"/>
        <v>Corumba IV</v>
      </c>
      <c r="C83" s="1">
        <f t="shared" si="3"/>
        <v>-2293</v>
      </c>
      <c r="D83">
        <v>0</v>
      </c>
      <c r="E83">
        <v>0</v>
      </c>
      <c r="F83">
        <v>0</v>
      </c>
      <c r="G83">
        <v>0.3629</v>
      </c>
      <c r="H83">
        <v>81.090699999999998</v>
      </c>
      <c r="I83">
        <v>4.1712999999999996</v>
      </c>
      <c r="J83">
        <v>77.282300000000006</v>
      </c>
      <c r="K83">
        <v>0</v>
      </c>
      <c r="L83">
        <v>0</v>
      </c>
    </row>
    <row r="84" spans="1:12" x14ac:dyDescent="0.35">
      <c r="A84" s="3" t="s">
        <v>99</v>
      </c>
      <c r="B84" s="1" t="str">
        <f t="shared" si="2"/>
        <v>Lago Paranoa</v>
      </c>
      <c r="C84" s="1">
        <f t="shared" si="3"/>
        <v>-2293</v>
      </c>
      <c r="D84">
        <v>0</v>
      </c>
      <c r="E84">
        <v>2302.4499999999998</v>
      </c>
      <c r="F84">
        <v>0.32869999999999999</v>
      </c>
      <c r="G84">
        <v>4.2481999999999998</v>
      </c>
      <c r="H84">
        <v>8.8293999999999997</v>
      </c>
      <c r="I84">
        <v>1.0170999999999999</v>
      </c>
      <c r="J84">
        <v>11.7318</v>
      </c>
      <c r="K84">
        <v>2302.4499999999998</v>
      </c>
      <c r="L84">
        <v>0</v>
      </c>
    </row>
    <row r="85" spans="1:12" x14ac:dyDescent="0.35">
      <c r="A85" s="3" t="s">
        <v>100</v>
      </c>
      <c r="B85" s="1" t="str">
        <f t="shared" si="2"/>
        <v>Corumba IV</v>
      </c>
      <c r="C85" s="1">
        <f t="shared" si="3"/>
        <v>-2292</v>
      </c>
      <c r="D85">
        <v>0</v>
      </c>
      <c r="E85">
        <v>0</v>
      </c>
      <c r="F85">
        <v>0</v>
      </c>
      <c r="G85">
        <v>0.3629</v>
      </c>
      <c r="H85">
        <v>120.6455</v>
      </c>
      <c r="I85">
        <v>4.5115999999999996</v>
      </c>
      <c r="J85">
        <v>116.4967</v>
      </c>
      <c r="K85">
        <v>0</v>
      </c>
      <c r="L85">
        <v>0</v>
      </c>
    </row>
    <row r="86" spans="1:12" x14ac:dyDescent="0.35">
      <c r="A86" s="3" t="s">
        <v>101</v>
      </c>
      <c r="B86" s="1" t="str">
        <f t="shared" si="2"/>
        <v>Lago Paranoa</v>
      </c>
      <c r="C86" s="1">
        <f t="shared" si="3"/>
        <v>-2292</v>
      </c>
      <c r="D86">
        <v>0</v>
      </c>
      <c r="E86">
        <v>2302.4499999999998</v>
      </c>
      <c r="F86">
        <v>0.32900000000000001</v>
      </c>
      <c r="G86">
        <v>4.4386000000000001</v>
      </c>
      <c r="H86">
        <v>15.4503</v>
      </c>
      <c r="I86">
        <v>1.2252000000000001</v>
      </c>
      <c r="J86">
        <v>18.334800000000001</v>
      </c>
      <c r="K86">
        <v>2302.4499999999998</v>
      </c>
      <c r="L86">
        <v>0</v>
      </c>
    </row>
    <row r="87" spans="1:12" x14ac:dyDescent="0.35">
      <c r="A87" s="3" t="s">
        <v>102</v>
      </c>
      <c r="B87" s="1" t="str">
        <f t="shared" si="2"/>
        <v>Corumba IV</v>
      </c>
      <c r="C87" s="1">
        <f t="shared" si="3"/>
        <v>-2395</v>
      </c>
      <c r="D87">
        <v>0</v>
      </c>
      <c r="E87">
        <v>0</v>
      </c>
      <c r="F87">
        <v>0</v>
      </c>
      <c r="G87">
        <v>0.3629</v>
      </c>
      <c r="H87">
        <v>73.627499999999998</v>
      </c>
      <c r="I87">
        <v>4.0095999999999998</v>
      </c>
      <c r="J87">
        <v>69.980699999999999</v>
      </c>
      <c r="K87">
        <v>0</v>
      </c>
      <c r="L87">
        <v>0</v>
      </c>
    </row>
    <row r="88" spans="1:12" x14ac:dyDescent="0.35">
      <c r="A88" s="3" t="s">
        <v>103</v>
      </c>
      <c r="B88" s="1" t="str">
        <f t="shared" si="2"/>
        <v>Lago Paranoa</v>
      </c>
      <c r="C88" s="1">
        <f t="shared" si="3"/>
        <v>-2395</v>
      </c>
      <c r="D88">
        <v>0</v>
      </c>
      <c r="E88">
        <v>2302.4499999999998</v>
      </c>
      <c r="F88">
        <v>0.32929999999999998</v>
      </c>
      <c r="G88">
        <v>4.3856000000000002</v>
      </c>
      <c r="H88">
        <v>9.8768999999999991</v>
      </c>
      <c r="I88">
        <v>1.0535000000000001</v>
      </c>
      <c r="J88">
        <v>12.8797</v>
      </c>
      <c r="K88">
        <v>2302.4499999999998</v>
      </c>
      <c r="L88">
        <v>0</v>
      </c>
    </row>
    <row r="89" spans="1:12" x14ac:dyDescent="0.35">
      <c r="A89" s="3" t="s">
        <v>104</v>
      </c>
      <c r="B89" s="1" t="str">
        <f t="shared" si="2"/>
        <v>Corumba IV</v>
      </c>
      <c r="C89" s="1">
        <f t="shared" si="3"/>
        <v>-2394</v>
      </c>
      <c r="D89">
        <v>0</v>
      </c>
      <c r="E89">
        <v>0</v>
      </c>
      <c r="F89">
        <v>0</v>
      </c>
      <c r="G89">
        <v>0.3629</v>
      </c>
      <c r="H89">
        <v>65.314099999999996</v>
      </c>
      <c r="I89">
        <v>4.0095999999999998</v>
      </c>
      <c r="J89">
        <v>61.667299999999997</v>
      </c>
      <c r="K89">
        <v>0</v>
      </c>
      <c r="L89">
        <v>0</v>
      </c>
    </row>
    <row r="90" spans="1:12" x14ac:dyDescent="0.35">
      <c r="A90" s="3" t="s">
        <v>105</v>
      </c>
      <c r="B90" s="1" t="str">
        <f t="shared" si="2"/>
        <v>Lago Paranoa</v>
      </c>
      <c r="C90" s="1">
        <f t="shared" si="3"/>
        <v>-2394</v>
      </c>
      <c r="D90">
        <v>0</v>
      </c>
      <c r="E90">
        <v>2302.4499999999998</v>
      </c>
      <c r="F90">
        <v>0.3296</v>
      </c>
      <c r="G90">
        <v>3.7168000000000001</v>
      </c>
      <c r="H90">
        <v>8.5504999999999995</v>
      </c>
      <c r="I90">
        <v>1.0535000000000001</v>
      </c>
      <c r="J90">
        <v>10.8843</v>
      </c>
      <c r="K90">
        <v>2302.4499999999998</v>
      </c>
      <c r="L90">
        <v>0</v>
      </c>
    </row>
    <row r="91" spans="1:12" x14ac:dyDescent="0.35">
      <c r="A91" s="3" t="s">
        <v>106</v>
      </c>
      <c r="B91" s="1" t="str">
        <f t="shared" si="2"/>
        <v>Corumba IV</v>
      </c>
      <c r="C91" s="1">
        <f t="shared" si="3"/>
        <v>-2393</v>
      </c>
      <c r="D91">
        <v>0</v>
      </c>
      <c r="E91">
        <v>0</v>
      </c>
      <c r="F91">
        <v>0</v>
      </c>
      <c r="G91">
        <v>0.3629</v>
      </c>
      <c r="H91">
        <v>79.793899999999994</v>
      </c>
      <c r="I91">
        <v>4.0095999999999998</v>
      </c>
      <c r="J91">
        <v>76.147099999999995</v>
      </c>
      <c r="K91">
        <v>0</v>
      </c>
      <c r="L91">
        <v>0</v>
      </c>
    </row>
    <row r="92" spans="1:12" x14ac:dyDescent="0.35">
      <c r="A92" s="3" t="s">
        <v>107</v>
      </c>
      <c r="B92" s="1" t="str">
        <f t="shared" si="2"/>
        <v>Lago Paranoa</v>
      </c>
      <c r="C92" s="1">
        <f t="shared" si="3"/>
        <v>-2393</v>
      </c>
      <c r="D92">
        <v>0</v>
      </c>
      <c r="E92">
        <v>2302.4499999999998</v>
      </c>
      <c r="F92">
        <v>0.32990000000000003</v>
      </c>
      <c r="G92">
        <v>3.4409999999999998</v>
      </c>
      <c r="H92">
        <v>8.7870000000000008</v>
      </c>
      <c r="I92">
        <v>1.0535000000000001</v>
      </c>
      <c r="J92">
        <v>10.8446</v>
      </c>
      <c r="K92">
        <v>2302.4499999999998</v>
      </c>
      <c r="L92">
        <v>0</v>
      </c>
    </row>
    <row r="93" spans="1:12" x14ac:dyDescent="0.35">
      <c r="A93" s="3" t="s">
        <v>108</v>
      </c>
      <c r="B93" s="1" t="str">
        <f t="shared" si="2"/>
        <v>Corumba IV</v>
      </c>
      <c r="C93" s="1">
        <f t="shared" si="3"/>
        <v>-2392</v>
      </c>
      <c r="D93">
        <v>0</v>
      </c>
      <c r="E93">
        <v>0</v>
      </c>
      <c r="F93">
        <v>0</v>
      </c>
      <c r="G93">
        <v>0.3629</v>
      </c>
      <c r="H93">
        <v>73.209299999999999</v>
      </c>
      <c r="I93">
        <v>3.1857000000000002</v>
      </c>
      <c r="J93">
        <v>70.386499999999998</v>
      </c>
      <c r="K93">
        <v>0</v>
      </c>
      <c r="L93">
        <v>0</v>
      </c>
    </row>
    <row r="94" spans="1:12" x14ac:dyDescent="0.35">
      <c r="A94" s="3" t="s">
        <v>109</v>
      </c>
      <c r="B94" s="1" t="str">
        <f t="shared" si="2"/>
        <v>Lago Paranoa</v>
      </c>
      <c r="C94" s="1">
        <f t="shared" si="3"/>
        <v>-2392</v>
      </c>
      <c r="D94">
        <v>0</v>
      </c>
      <c r="E94">
        <v>2302.4499999999998</v>
      </c>
      <c r="F94">
        <v>0.36990000000000001</v>
      </c>
      <c r="G94">
        <v>3.9285000000000001</v>
      </c>
      <c r="H94">
        <v>12.0397</v>
      </c>
      <c r="I94">
        <v>0.63270000000000004</v>
      </c>
      <c r="J94">
        <v>14.9655</v>
      </c>
      <c r="K94">
        <v>2302.4499999999998</v>
      </c>
      <c r="L94">
        <v>0</v>
      </c>
    </row>
    <row r="95" spans="1:12" x14ac:dyDescent="0.35">
      <c r="A95" s="3" t="s">
        <v>110</v>
      </c>
      <c r="B95" s="1" t="str">
        <f t="shared" si="2"/>
        <v>Corumba IV</v>
      </c>
      <c r="C95" s="1">
        <f t="shared" si="3"/>
        <v>-2391</v>
      </c>
      <c r="D95">
        <v>0</v>
      </c>
      <c r="E95">
        <v>0</v>
      </c>
      <c r="F95">
        <v>0</v>
      </c>
      <c r="G95">
        <v>0.3629</v>
      </c>
      <c r="H95">
        <v>64.429299999999998</v>
      </c>
      <c r="I95">
        <v>3.1857000000000002</v>
      </c>
      <c r="J95">
        <v>61.606499999999997</v>
      </c>
      <c r="K95">
        <v>0</v>
      </c>
      <c r="L95">
        <v>0</v>
      </c>
    </row>
    <row r="96" spans="1:12" x14ac:dyDescent="0.35">
      <c r="A96" s="3" t="s">
        <v>111</v>
      </c>
      <c r="B96" s="1" t="str">
        <f t="shared" si="2"/>
        <v>Lago Paranoa</v>
      </c>
      <c r="C96" s="1">
        <f t="shared" si="3"/>
        <v>-2391</v>
      </c>
      <c r="D96">
        <v>0</v>
      </c>
      <c r="E96">
        <v>2302.4499999999998</v>
      </c>
      <c r="F96">
        <v>0.35360000000000003</v>
      </c>
      <c r="G96">
        <v>4.0194999999999999</v>
      </c>
      <c r="H96">
        <v>10.190300000000001</v>
      </c>
      <c r="I96">
        <v>0.63270000000000004</v>
      </c>
      <c r="J96">
        <v>13.2235</v>
      </c>
      <c r="K96">
        <v>2302.4499999999998</v>
      </c>
      <c r="L96">
        <v>0</v>
      </c>
    </row>
    <row r="97" spans="1:12" x14ac:dyDescent="0.35">
      <c r="A97" s="3" t="s">
        <v>112</v>
      </c>
      <c r="B97" s="1" t="str">
        <f t="shared" si="2"/>
        <v>Corumba IV</v>
      </c>
      <c r="C97" s="1">
        <f t="shared" si="3"/>
        <v>-2390</v>
      </c>
      <c r="D97">
        <v>0</v>
      </c>
      <c r="E97">
        <v>0</v>
      </c>
      <c r="F97">
        <v>0</v>
      </c>
      <c r="G97">
        <v>0.3629</v>
      </c>
      <c r="H97">
        <v>47.418900000000001</v>
      </c>
      <c r="I97">
        <v>3.1857000000000002</v>
      </c>
      <c r="J97">
        <v>44.5961</v>
      </c>
      <c r="K97">
        <v>0</v>
      </c>
      <c r="L97">
        <v>0</v>
      </c>
    </row>
    <row r="98" spans="1:12" x14ac:dyDescent="0.35">
      <c r="A98" s="3" t="s">
        <v>113</v>
      </c>
      <c r="B98" s="1" t="str">
        <f t="shared" si="2"/>
        <v>Lago Paranoa</v>
      </c>
      <c r="C98" s="1">
        <f t="shared" si="3"/>
        <v>-2390</v>
      </c>
      <c r="D98">
        <v>0</v>
      </c>
      <c r="E98">
        <v>2302.4499999999998</v>
      </c>
      <c r="F98">
        <v>0.35389999999999999</v>
      </c>
      <c r="G98">
        <v>3.4544999999999999</v>
      </c>
      <c r="H98">
        <v>9.2568999999999999</v>
      </c>
      <c r="I98">
        <v>0.63270000000000004</v>
      </c>
      <c r="J98">
        <v>11.7247</v>
      </c>
      <c r="K98">
        <v>2302.4499999999998</v>
      </c>
      <c r="L98">
        <v>0</v>
      </c>
    </row>
    <row r="99" spans="1:12" x14ac:dyDescent="0.35">
      <c r="A99" s="3" t="s">
        <v>114</v>
      </c>
      <c r="B99" s="1" t="str">
        <f t="shared" si="2"/>
        <v>Corumba IV</v>
      </c>
      <c r="C99" s="1">
        <f t="shared" si="3"/>
        <v>-2389</v>
      </c>
      <c r="D99">
        <v>0</v>
      </c>
      <c r="E99">
        <v>0</v>
      </c>
      <c r="F99">
        <v>0</v>
      </c>
      <c r="G99">
        <v>0.3629</v>
      </c>
      <c r="H99">
        <v>79.233099999999993</v>
      </c>
      <c r="I99">
        <v>3.3329</v>
      </c>
      <c r="J99">
        <v>76.263099999999994</v>
      </c>
      <c r="K99">
        <v>0</v>
      </c>
      <c r="L99">
        <v>0</v>
      </c>
    </row>
    <row r="100" spans="1:12" x14ac:dyDescent="0.35">
      <c r="A100" s="3" t="s">
        <v>115</v>
      </c>
      <c r="B100" s="1" t="str">
        <f t="shared" si="2"/>
        <v>Lago Paranoa</v>
      </c>
      <c r="C100" s="1">
        <f t="shared" si="3"/>
        <v>-2389</v>
      </c>
      <c r="D100">
        <v>0</v>
      </c>
      <c r="E100">
        <v>2302.4499999999998</v>
      </c>
      <c r="F100">
        <v>0.3543</v>
      </c>
      <c r="G100">
        <v>3.9615999999999998</v>
      </c>
      <c r="H100">
        <v>11.2126</v>
      </c>
      <c r="I100">
        <v>0.60019999999999996</v>
      </c>
      <c r="J100">
        <v>14.219799999999999</v>
      </c>
      <c r="K100">
        <v>2302.4499999999998</v>
      </c>
      <c r="L100">
        <v>0</v>
      </c>
    </row>
    <row r="101" spans="1:12" x14ac:dyDescent="0.35">
      <c r="A101" s="3" t="s">
        <v>116</v>
      </c>
      <c r="B101" s="1" t="str">
        <f t="shared" si="2"/>
        <v>Corumba IV</v>
      </c>
      <c r="C101" s="1">
        <f t="shared" si="3"/>
        <v>-2388</v>
      </c>
      <c r="D101">
        <v>0</v>
      </c>
      <c r="E101">
        <v>0</v>
      </c>
      <c r="F101">
        <v>0</v>
      </c>
      <c r="G101">
        <v>0.3629</v>
      </c>
      <c r="H101">
        <v>65.626000000000005</v>
      </c>
      <c r="I101">
        <v>3.3866999999999998</v>
      </c>
      <c r="J101">
        <v>62.602200000000003</v>
      </c>
      <c r="K101">
        <v>0</v>
      </c>
      <c r="L101">
        <v>0</v>
      </c>
    </row>
    <row r="102" spans="1:12" x14ac:dyDescent="0.35">
      <c r="A102" s="3" t="s">
        <v>117</v>
      </c>
      <c r="B102" s="1" t="str">
        <f t="shared" si="2"/>
        <v>Lago Paranoa</v>
      </c>
      <c r="C102" s="1">
        <f t="shared" si="3"/>
        <v>-2388</v>
      </c>
      <c r="D102">
        <v>0</v>
      </c>
      <c r="E102">
        <v>2302.4499999999998</v>
      </c>
      <c r="F102">
        <v>0.4234</v>
      </c>
      <c r="G102">
        <v>3.3593999999999999</v>
      </c>
      <c r="H102">
        <v>8.9944000000000006</v>
      </c>
      <c r="I102">
        <v>0.80279999999999996</v>
      </c>
      <c r="J102">
        <v>11.127599999999999</v>
      </c>
      <c r="K102">
        <v>2302.4499999999998</v>
      </c>
      <c r="L102">
        <v>0</v>
      </c>
    </row>
    <row r="103" spans="1:12" x14ac:dyDescent="0.35">
      <c r="A103" s="3" t="s">
        <v>118</v>
      </c>
      <c r="B103" s="1" t="str">
        <f t="shared" si="2"/>
        <v>Corumba IV</v>
      </c>
      <c r="C103" s="1">
        <f t="shared" si="3"/>
        <v>-2387</v>
      </c>
      <c r="D103">
        <v>0</v>
      </c>
      <c r="E103">
        <v>0</v>
      </c>
      <c r="F103">
        <v>0</v>
      </c>
      <c r="G103">
        <v>0.3629</v>
      </c>
      <c r="H103">
        <v>72.961299999999994</v>
      </c>
      <c r="I103">
        <v>3.6217000000000001</v>
      </c>
      <c r="J103">
        <v>69.702600000000004</v>
      </c>
      <c r="K103">
        <v>0</v>
      </c>
      <c r="L103">
        <v>0</v>
      </c>
    </row>
    <row r="104" spans="1:12" x14ac:dyDescent="0.35">
      <c r="A104" s="3" t="s">
        <v>119</v>
      </c>
      <c r="B104" s="1" t="str">
        <f t="shared" si="2"/>
        <v>Lago Paranoa</v>
      </c>
      <c r="C104" s="1">
        <f t="shared" si="3"/>
        <v>-2387</v>
      </c>
      <c r="D104">
        <v>0</v>
      </c>
      <c r="E104">
        <v>2302.4499999999998</v>
      </c>
      <c r="F104">
        <v>0.4234</v>
      </c>
      <c r="G104">
        <v>4.1651999999999996</v>
      </c>
      <c r="H104">
        <v>10.0702</v>
      </c>
      <c r="I104">
        <v>0.8367</v>
      </c>
      <c r="J104">
        <v>12.975300000000001</v>
      </c>
      <c r="K104">
        <v>2302.4499999999998</v>
      </c>
      <c r="L104">
        <v>0</v>
      </c>
    </row>
    <row r="105" spans="1:12" x14ac:dyDescent="0.35">
      <c r="A105" s="3" t="s">
        <v>120</v>
      </c>
      <c r="B105" s="1" t="str">
        <f t="shared" si="2"/>
        <v>Corumba IV</v>
      </c>
      <c r="C105" s="1">
        <f t="shared" si="3"/>
        <v>-2386</v>
      </c>
      <c r="D105">
        <v>0</v>
      </c>
      <c r="E105">
        <v>0</v>
      </c>
      <c r="F105">
        <v>0</v>
      </c>
      <c r="G105">
        <v>0.3629</v>
      </c>
      <c r="H105">
        <v>88.383700000000005</v>
      </c>
      <c r="I105">
        <v>3.6217000000000001</v>
      </c>
      <c r="J105">
        <v>85.125</v>
      </c>
      <c r="K105">
        <v>0</v>
      </c>
      <c r="L105">
        <v>0</v>
      </c>
    </row>
    <row r="106" spans="1:12" x14ac:dyDescent="0.35">
      <c r="A106" s="3" t="s">
        <v>121</v>
      </c>
      <c r="B106" s="1" t="str">
        <f t="shared" si="2"/>
        <v>Lago Paranoa</v>
      </c>
      <c r="C106" s="1">
        <f t="shared" si="3"/>
        <v>-2386</v>
      </c>
      <c r="D106">
        <v>0</v>
      </c>
      <c r="E106">
        <v>2302.4499999999998</v>
      </c>
      <c r="F106">
        <v>0.4234</v>
      </c>
      <c r="G106">
        <v>3.8824000000000001</v>
      </c>
      <c r="H106">
        <v>9.2050999999999998</v>
      </c>
      <c r="I106">
        <v>0.8367</v>
      </c>
      <c r="J106">
        <v>11.827400000000001</v>
      </c>
      <c r="K106">
        <v>2302.4499999999998</v>
      </c>
      <c r="L106">
        <v>0</v>
      </c>
    </row>
    <row r="107" spans="1:12" x14ac:dyDescent="0.35">
      <c r="A107" s="3" t="s">
        <v>122</v>
      </c>
      <c r="B107" s="1" t="str">
        <f t="shared" si="2"/>
        <v>Corumba IV</v>
      </c>
      <c r="C107" s="1">
        <f t="shared" si="3"/>
        <v>-2385</v>
      </c>
      <c r="D107">
        <v>0</v>
      </c>
      <c r="E107">
        <v>0</v>
      </c>
      <c r="F107">
        <v>0</v>
      </c>
      <c r="G107">
        <v>0.3629</v>
      </c>
      <c r="H107">
        <v>71.964299999999994</v>
      </c>
      <c r="I107">
        <v>3.6217000000000001</v>
      </c>
      <c r="J107">
        <v>68.705500000000001</v>
      </c>
      <c r="K107">
        <v>0</v>
      </c>
      <c r="L107">
        <v>0</v>
      </c>
    </row>
    <row r="108" spans="1:12" x14ac:dyDescent="0.35">
      <c r="A108" s="3" t="s">
        <v>123</v>
      </c>
      <c r="B108" s="1" t="str">
        <f t="shared" si="2"/>
        <v>Lago Paranoa</v>
      </c>
      <c r="C108" s="1">
        <f t="shared" si="3"/>
        <v>-2385</v>
      </c>
      <c r="D108">
        <v>0</v>
      </c>
      <c r="E108">
        <v>2302.4499999999998</v>
      </c>
      <c r="F108">
        <v>0.4234</v>
      </c>
      <c r="G108">
        <v>4.03</v>
      </c>
      <c r="H108">
        <v>9.3213000000000008</v>
      </c>
      <c r="I108">
        <v>0.8367</v>
      </c>
      <c r="J108">
        <v>12.091200000000001</v>
      </c>
      <c r="K108">
        <v>2302.4499999999998</v>
      </c>
      <c r="L108">
        <v>0</v>
      </c>
    </row>
    <row r="109" spans="1:12" x14ac:dyDescent="0.35">
      <c r="A109" s="3" t="s">
        <v>124</v>
      </c>
      <c r="B109" s="1" t="str">
        <f t="shared" si="2"/>
        <v>Corumba IV</v>
      </c>
      <c r="C109" s="1">
        <f t="shared" si="3"/>
        <v>-2384</v>
      </c>
      <c r="D109">
        <v>0</v>
      </c>
      <c r="E109">
        <v>0</v>
      </c>
      <c r="F109">
        <v>0</v>
      </c>
      <c r="G109">
        <v>0.3629</v>
      </c>
      <c r="H109">
        <v>69.116500000000002</v>
      </c>
      <c r="I109">
        <v>3.7736999999999998</v>
      </c>
      <c r="J109">
        <v>65.705699999999993</v>
      </c>
      <c r="K109">
        <v>0</v>
      </c>
      <c r="L109">
        <v>0</v>
      </c>
    </row>
    <row r="110" spans="1:12" x14ac:dyDescent="0.35">
      <c r="A110" s="3" t="s">
        <v>125</v>
      </c>
      <c r="B110" s="1" t="str">
        <f t="shared" si="2"/>
        <v>Lago Paranoa</v>
      </c>
      <c r="C110" s="1">
        <f t="shared" si="3"/>
        <v>-2384</v>
      </c>
      <c r="D110">
        <v>0</v>
      </c>
      <c r="E110">
        <v>2302.4499999999998</v>
      </c>
      <c r="F110">
        <v>0.3054</v>
      </c>
      <c r="G110">
        <v>3.7294999999999998</v>
      </c>
      <c r="H110">
        <v>8.5905000000000005</v>
      </c>
      <c r="I110">
        <v>1.0141</v>
      </c>
      <c r="J110">
        <v>11.000500000000001</v>
      </c>
      <c r="K110">
        <v>2302.4499999999998</v>
      </c>
      <c r="L110">
        <v>0</v>
      </c>
    </row>
    <row r="111" spans="1:12" x14ac:dyDescent="0.35">
      <c r="A111" s="3" t="s">
        <v>126</v>
      </c>
      <c r="B111" s="1" t="str">
        <f t="shared" si="2"/>
        <v>Corumba IV</v>
      </c>
      <c r="C111" s="1">
        <f t="shared" si="3"/>
        <v>-2383</v>
      </c>
      <c r="D111">
        <v>0</v>
      </c>
      <c r="E111">
        <v>0</v>
      </c>
      <c r="F111">
        <v>0</v>
      </c>
      <c r="G111">
        <v>0.3629</v>
      </c>
      <c r="H111">
        <v>50.090400000000002</v>
      </c>
      <c r="I111">
        <v>3.8344999999999998</v>
      </c>
      <c r="J111">
        <v>46.6188</v>
      </c>
      <c r="K111">
        <v>0</v>
      </c>
      <c r="L111">
        <v>0</v>
      </c>
    </row>
    <row r="112" spans="1:12" x14ac:dyDescent="0.35">
      <c r="A112" s="3" t="s">
        <v>127</v>
      </c>
      <c r="B112" s="1" t="str">
        <f t="shared" si="2"/>
        <v>Lago Paranoa</v>
      </c>
      <c r="C112" s="1">
        <f t="shared" si="3"/>
        <v>-2383</v>
      </c>
      <c r="D112">
        <v>0</v>
      </c>
      <c r="E112">
        <v>2302.4499999999998</v>
      </c>
      <c r="F112">
        <v>0.30570000000000003</v>
      </c>
      <c r="G112">
        <v>2.8313999999999999</v>
      </c>
      <c r="H112">
        <v>6.8421000000000003</v>
      </c>
      <c r="I112">
        <v>1.085</v>
      </c>
      <c r="J112">
        <v>8.2827000000000002</v>
      </c>
      <c r="K112">
        <v>2302.4499999999998</v>
      </c>
      <c r="L112">
        <v>0</v>
      </c>
    </row>
    <row r="113" spans="1:12" x14ac:dyDescent="0.35">
      <c r="A113" s="3" t="s">
        <v>128</v>
      </c>
      <c r="B113" s="1" t="str">
        <f t="shared" si="2"/>
        <v>Corumba IV</v>
      </c>
      <c r="C113" s="1">
        <f t="shared" si="3"/>
        <v>-2382</v>
      </c>
      <c r="D113">
        <v>0</v>
      </c>
      <c r="E113">
        <v>0</v>
      </c>
      <c r="F113">
        <v>0</v>
      </c>
      <c r="G113">
        <v>0.3629</v>
      </c>
      <c r="H113">
        <v>45.351399999999998</v>
      </c>
      <c r="I113">
        <v>3.8344999999999998</v>
      </c>
      <c r="J113">
        <v>41.8797</v>
      </c>
      <c r="K113">
        <v>0</v>
      </c>
      <c r="L113">
        <v>0</v>
      </c>
    </row>
    <row r="114" spans="1:12" x14ac:dyDescent="0.35">
      <c r="A114" s="3" t="s">
        <v>129</v>
      </c>
      <c r="B114" s="1" t="str">
        <f t="shared" si="2"/>
        <v>Lago Paranoa</v>
      </c>
      <c r="C114" s="1">
        <f t="shared" si="3"/>
        <v>-2382</v>
      </c>
      <c r="D114">
        <v>0</v>
      </c>
      <c r="E114">
        <v>2302.4499999999998</v>
      </c>
      <c r="F114">
        <v>0.30599999999999999</v>
      </c>
      <c r="G114">
        <v>2.8323</v>
      </c>
      <c r="H114">
        <v>6.5914000000000001</v>
      </c>
      <c r="I114">
        <v>1.085</v>
      </c>
      <c r="J114">
        <v>8.0326000000000004</v>
      </c>
      <c r="K114">
        <v>2302.4499999999998</v>
      </c>
      <c r="L114">
        <v>0</v>
      </c>
    </row>
    <row r="115" spans="1:12" x14ac:dyDescent="0.35">
      <c r="A115" s="3" t="s">
        <v>130</v>
      </c>
      <c r="B115" s="1" t="str">
        <f t="shared" si="2"/>
        <v>Corumba IV</v>
      </c>
      <c r="C115" s="1">
        <f t="shared" si="3"/>
        <v>-2381</v>
      </c>
      <c r="D115">
        <v>0</v>
      </c>
      <c r="E115">
        <v>0</v>
      </c>
      <c r="F115">
        <v>0</v>
      </c>
      <c r="G115">
        <v>0.3629</v>
      </c>
      <c r="H115">
        <v>50.783299999999997</v>
      </c>
      <c r="I115">
        <v>3.8344999999999998</v>
      </c>
      <c r="J115">
        <v>47.311700000000002</v>
      </c>
      <c r="K115">
        <v>0</v>
      </c>
      <c r="L115">
        <v>0</v>
      </c>
    </row>
    <row r="116" spans="1:12" x14ac:dyDescent="0.35">
      <c r="A116" s="3" t="s">
        <v>131</v>
      </c>
      <c r="B116" s="1" t="str">
        <f t="shared" si="2"/>
        <v>Lago Paranoa</v>
      </c>
      <c r="C116" s="1">
        <f t="shared" si="3"/>
        <v>-2381</v>
      </c>
      <c r="D116">
        <v>0</v>
      </c>
      <c r="E116">
        <v>2302.4499999999998</v>
      </c>
      <c r="F116">
        <v>0.30630000000000002</v>
      </c>
      <c r="G116">
        <v>3.0773000000000001</v>
      </c>
      <c r="H116">
        <v>7.1344000000000003</v>
      </c>
      <c r="I116">
        <v>1.085</v>
      </c>
      <c r="J116">
        <v>8.8203999999999994</v>
      </c>
      <c r="K116">
        <v>2302.4499999999998</v>
      </c>
      <c r="L116">
        <v>0</v>
      </c>
    </row>
    <row r="117" spans="1:12" x14ac:dyDescent="0.35">
      <c r="A117" s="3" t="s">
        <v>132</v>
      </c>
      <c r="B117" s="1" t="str">
        <f t="shared" si="2"/>
        <v>Corumba IV</v>
      </c>
      <c r="C117" s="1">
        <f t="shared" si="3"/>
        <v>-2380</v>
      </c>
      <c r="D117">
        <v>0</v>
      </c>
      <c r="E117">
        <v>0</v>
      </c>
      <c r="F117">
        <v>0</v>
      </c>
      <c r="G117">
        <v>0.3629</v>
      </c>
      <c r="H117">
        <v>90.020200000000003</v>
      </c>
      <c r="I117">
        <v>3.9777</v>
      </c>
      <c r="J117">
        <v>86.405299999999997</v>
      </c>
      <c r="K117">
        <v>0</v>
      </c>
      <c r="L117">
        <v>0</v>
      </c>
    </row>
    <row r="118" spans="1:12" x14ac:dyDescent="0.35">
      <c r="A118" s="3" t="s">
        <v>133</v>
      </c>
      <c r="B118" s="1" t="str">
        <f t="shared" si="2"/>
        <v>Lago Paranoa</v>
      </c>
      <c r="C118" s="1">
        <f t="shared" si="3"/>
        <v>-2380</v>
      </c>
      <c r="D118">
        <v>0</v>
      </c>
      <c r="E118">
        <v>2302.4499999999998</v>
      </c>
      <c r="F118">
        <v>0.30669999999999997</v>
      </c>
      <c r="G118">
        <v>5.6586999999999996</v>
      </c>
      <c r="H118">
        <v>9.3644999999999996</v>
      </c>
      <c r="I118">
        <v>1.1704000000000001</v>
      </c>
      <c r="J118">
        <v>13.546099999999999</v>
      </c>
      <c r="K118">
        <v>2302.4499999999998</v>
      </c>
      <c r="L118">
        <v>0</v>
      </c>
    </row>
    <row r="119" spans="1:12" x14ac:dyDescent="0.35">
      <c r="A119" s="3" t="s">
        <v>134</v>
      </c>
      <c r="B119" s="1" t="str">
        <f t="shared" si="2"/>
        <v>Corumba IV</v>
      </c>
      <c r="C119" s="1">
        <f t="shared" si="3"/>
        <v>-2379</v>
      </c>
      <c r="D119">
        <v>0</v>
      </c>
      <c r="E119">
        <v>0</v>
      </c>
      <c r="F119">
        <v>0</v>
      </c>
      <c r="G119">
        <v>0.3629</v>
      </c>
      <c r="H119">
        <v>158.01439999999999</v>
      </c>
      <c r="I119">
        <v>4.1687000000000003</v>
      </c>
      <c r="J119">
        <v>154.20849999999999</v>
      </c>
      <c r="K119">
        <v>0</v>
      </c>
      <c r="L119">
        <v>0</v>
      </c>
    </row>
    <row r="120" spans="1:12" x14ac:dyDescent="0.35">
      <c r="A120" s="3" t="s">
        <v>135</v>
      </c>
      <c r="B120" s="1" t="str">
        <f t="shared" si="2"/>
        <v>Lago Paranoa</v>
      </c>
      <c r="C120" s="1">
        <f t="shared" si="3"/>
        <v>-2379</v>
      </c>
      <c r="D120">
        <v>0</v>
      </c>
      <c r="E120">
        <v>2302.4499999999998</v>
      </c>
      <c r="F120">
        <v>0.35539999999999999</v>
      </c>
      <c r="G120">
        <v>4.1044999999999998</v>
      </c>
      <c r="H120">
        <v>11.902100000000001</v>
      </c>
      <c r="I120">
        <v>1.2841</v>
      </c>
      <c r="J120">
        <v>14.367100000000001</v>
      </c>
      <c r="K120">
        <v>2302.4499999999998</v>
      </c>
      <c r="L120">
        <v>0</v>
      </c>
    </row>
    <row r="121" spans="1:12" x14ac:dyDescent="0.35">
      <c r="A121" s="3" t="s">
        <v>136</v>
      </c>
      <c r="B121" s="1" t="str">
        <f t="shared" si="2"/>
        <v>Corumba IV</v>
      </c>
      <c r="C121" s="1">
        <f t="shared" si="3"/>
        <v>-2378</v>
      </c>
      <c r="D121">
        <v>0</v>
      </c>
      <c r="E121">
        <v>0</v>
      </c>
      <c r="F121">
        <v>0</v>
      </c>
      <c r="G121">
        <v>0.3629</v>
      </c>
      <c r="H121">
        <v>88.477099999999993</v>
      </c>
      <c r="I121">
        <v>4.1687000000000003</v>
      </c>
      <c r="J121">
        <v>84.671199999999999</v>
      </c>
      <c r="K121">
        <v>0</v>
      </c>
      <c r="L121">
        <v>0</v>
      </c>
    </row>
    <row r="122" spans="1:12" x14ac:dyDescent="0.35">
      <c r="A122" s="3" t="s">
        <v>137</v>
      </c>
      <c r="B122" s="1" t="str">
        <f t="shared" si="2"/>
        <v>Lago Paranoa</v>
      </c>
      <c r="C122" s="1">
        <f t="shared" si="3"/>
        <v>-2378</v>
      </c>
      <c r="D122">
        <v>0</v>
      </c>
      <c r="E122">
        <v>2302.4499999999998</v>
      </c>
      <c r="F122">
        <v>0.35570000000000002</v>
      </c>
      <c r="G122">
        <v>5.9004000000000003</v>
      </c>
      <c r="H122">
        <v>11.2036</v>
      </c>
      <c r="I122">
        <v>1.2841</v>
      </c>
      <c r="J122">
        <v>15.4641</v>
      </c>
      <c r="K122">
        <v>2302.4499999999998</v>
      </c>
      <c r="L122">
        <v>0</v>
      </c>
    </row>
    <row r="123" spans="1:12" x14ac:dyDescent="0.35">
      <c r="A123" s="3" t="s">
        <v>138</v>
      </c>
      <c r="B123" s="1" t="str">
        <f t="shared" si="2"/>
        <v>Corumba IV</v>
      </c>
      <c r="C123" s="1">
        <f t="shared" si="3"/>
        <v>-2377</v>
      </c>
      <c r="D123">
        <v>0</v>
      </c>
      <c r="E123">
        <v>0</v>
      </c>
      <c r="F123">
        <v>0</v>
      </c>
      <c r="G123">
        <v>0.3629</v>
      </c>
      <c r="H123">
        <v>173.37540000000001</v>
      </c>
      <c r="I123">
        <v>4.1687000000000003</v>
      </c>
      <c r="J123">
        <v>169.56960000000001</v>
      </c>
      <c r="K123">
        <v>0</v>
      </c>
      <c r="L123">
        <v>0</v>
      </c>
    </row>
    <row r="124" spans="1:12" x14ac:dyDescent="0.35">
      <c r="A124" s="3" t="s">
        <v>139</v>
      </c>
      <c r="B124" s="1" t="str">
        <f t="shared" si="2"/>
        <v>Lago Paranoa</v>
      </c>
      <c r="C124" s="1">
        <f t="shared" si="3"/>
        <v>-2377</v>
      </c>
      <c r="D124">
        <v>0</v>
      </c>
      <c r="E124">
        <v>2302.4499999999998</v>
      </c>
      <c r="F124">
        <v>0.35610000000000003</v>
      </c>
      <c r="G124">
        <v>6.4911000000000003</v>
      </c>
      <c r="H124">
        <v>16.319400000000002</v>
      </c>
      <c r="I124">
        <v>1.2841</v>
      </c>
      <c r="J124">
        <v>21.170300000000001</v>
      </c>
      <c r="K124">
        <v>2302.4499999999998</v>
      </c>
      <c r="L124">
        <v>0</v>
      </c>
    </row>
    <row r="125" spans="1:12" x14ac:dyDescent="0.35">
      <c r="A125" s="3" t="s">
        <v>140</v>
      </c>
      <c r="B125" s="1" t="str">
        <f t="shared" si="2"/>
        <v>Corumba IV</v>
      </c>
      <c r="C125" s="1">
        <f t="shared" si="3"/>
        <v>-2376</v>
      </c>
      <c r="D125">
        <v>0</v>
      </c>
      <c r="E125">
        <v>0</v>
      </c>
      <c r="F125">
        <v>0</v>
      </c>
      <c r="G125">
        <v>0.3629</v>
      </c>
      <c r="H125">
        <v>90.522999999999996</v>
      </c>
      <c r="I125">
        <v>4.8315999999999999</v>
      </c>
      <c r="J125">
        <v>86.054299999999998</v>
      </c>
      <c r="K125">
        <v>0</v>
      </c>
      <c r="L125">
        <v>0</v>
      </c>
    </row>
    <row r="126" spans="1:12" x14ac:dyDescent="0.35">
      <c r="A126" s="3" t="s">
        <v>141</v>
      </c>
      <c r="B126" s="1" t="str">
        <f t="shared" si="2"/>
        <v>Lago Paranoa</v>
      </c>
      <c r="C126" s="1">
        <f t="shared" si="3"/>
        <v>-2376</v>
      </c>
      <c r="D126">
        <v>0</v>
      </c>
      <c r="E126">
        <v>2302.4499999999998</v>
      </c>
      <c r="F126">
        <v>0.35639999999999999</v>
      </c>
      <c r="G126">
        <v>4.0172999999999996</v>
      </c>
      <c r="H126">
        <v>9.82</v>
      </c>
      <c r="I126">
        <v>1.379</v>
      </c>
      <c r="J126">
        <v>12.102</v>
      </c>
      <c r="K126">
        <v>2302.4499999999998</v>
      </c>
      <c r="L126">
        <v>0</v>
      </c>
    </row>
    <row r="127" spans="1:12" x14ac:dyDescent="0.35">
      <c r="A127" s="3" t="s">
        <v>142</v>
      </c>
      <c r="B127" s="1" t="str">
        <f t="shared" si="2"/>
        <v>Corumba IV</v>
      </c>
      <c r="C127" s="1">
        <f t="shared" si="3"/>
        <v>-2375</v>
      </c>
      <c r="D127">
        <v>0</v>
      </c>
      <c r="E127">
        <v>0</v>
      </c>
      <c r="F127">
        <v>0</v>
      </c>
      <c r="G127">
        <v>0.3629</v>
      </c>
      <c r="H127">
        <v>70.093699999999998</v>
      </c>
      <c r="I127">
        <v>4.5060000000000002</v>
      </c>
      <c r="J127">
        <v>65.950599999999994</v>
      </c>
      <c r="K127">
        <v>0</v>
      </c>
      <c r="L127">
        <v>0</v>
      </c>
    </row>
    <row r="128" spans="1:12" x14ac:dyDescent="0.35">
      <c r="A128" s="3" t="s">
        <v>143</v>
      </c>
      <c r="B128" s="1" t="str">
        <f t="shared" si="2"/>
        <v>Lago Paranoa</v>
      </c>
      <c r="C128" s="1">
        <f t="shared" si="3"/>
        <v>-2375</v>
      </c>
      <c r="D128">
        <v>0</v>
      </c>
      <c r="E128">
        <v>2302.4499999999998</v>
      </c>
      <c r="F128">
        <v>0.33789999999999998</v>
      </c>
      <c r="G128">
        <v>3.6726999999999999</v>
      </c>
      <c r="H128">
        <v>8.6028000000000002</v>
      </c>
      <c r="I128">
        <v>1.1509</v>
      </c>
      <c r="J128">
        <v>10.786799999999999</v>
      </c>
      <c r="K128">
        <v>2302.4499999999998</v>
      </c>
      <c r="L128">
        <v>0</v>
      </c>
    </row>
    <row r="129" spans="1:12" x14ac:dyDescent="0.35">
      <c r="A129" s="3" t="s">
        <v>144</v>
      </c>
      <c r="B129" s="1" t="str">
        <f t="shared" si="2"/>
        <v>Corumba IV</v>
      </c>
      <c r="C129" s="1">
        <f t="shared" si="3"/>
        <v>-2374</v>
      </c>
      <c r="D129">
        <v>0</v>
      </c>
      <c r="E129">
        <v>0</v>
      </c>
      <c r="F129">
        <v>0</v>
      </c>
      <c r="G129">
        <v>0.3629</v>
      </c>
      <c r="H129">
        <v>60.152500000000003</v>
      </c>
      <c r="I129">
        <v>5.1063999999999998</v>
      </c>
      <c r="J129">
        <v>55.409100000000002</v>
      </c>
      <c r="K129">
        <v>0</v>
      </c>
      <c r="L129">
        <v>0</v>
      </c>
    </row>
    <row r="130" spans="1:12" x14ac:dyDescent="0.35">
      <c r="A130" s="3" t="s">
        <v>145</v>
      </c>
      <c r="B130" s="1" t="str">
        <f t="shared" si="2"/>
        <v>Lago Paranoa</v>
      </c>
      <c r="C130" s="1">
        <f t="shared" si="3"/>
        <v>-2374</v>
      </c>
      <c r="D130">
        <v>0</v>
      </c>
      <c r="E130">
        <v>2302.4499999999998</v>
      </c>
      <c r="F130">
        <v>0.3382</v>
      </c>
      <c r="G130">
        <v>3.3692000000000002</v>
      </c>
      <c r="H130">
        <v>7.7614000000000001</v>
      </c>
      <c r="I130">
        <v>1.3219000000000001</v>
      </c>
      <c r="J130">
        <v>9.4705999999999992</v>
      </c>
      <c r="K130">
        <v>2302.4499999999998</v>
      </c>
      <c r="L130">
        <v>0</v>
      </c>
    </row>
    <row r="131" spans="1:12" x14ac:dyDescent="0.35">
      <c r="A131" s="3" t="s">
        <v>146</v>
      </c>
      <c r="B131" s="1" t="str">
        <f t="shared" ref="B131:B194" si="4">_xlfn.TEXTBEFORE(_xlfn.TEXTAFTER(A131,"["),"]")</f>
        <v>Corumba IV</v>
      </c>
      <c r="C131" s="1">
        <f t="shared" si="3"/>
        <v>-2373</v>
      </c>
      <c r="D131">
        <v>0</v>
      </c>
      <c r="E131">
        <v>0</v>
      </c>
      <c r="F131">
        <v>0</v>
      </c>
      <c r="G131">
        <v>0.3629</v>
      </c>
      <c r="H131">
        <v>55.2943</v>
      </c>
      <c r="I131">
        <v>5.1063999999999998</v>
      </c>
      <c r="J131">
        <v>50.550800000000002</v>
      </c>
      <c r="K131">
        <v>0</v>
      </c>
      <c r="L131">
        <v>0</v>
      </c>
    </row>
    <row r="132" spans="1:12" x14ac:dyDescent="0.35">
      <c r="A132" s="3" t="s">
        <v>147</v>
      </c>
      <c r="B132" s="1" t="str">
        <f t="shared" si="4"/>
        <v>Lago Paranoa</v>
      </c>
      <c r="C132" s="1">
        <f t="shared" ref="C132:C195" si="5">--_xlfn.TEXTBEFORE(_xlfn.TEXTAFTER(A132,"Week "),":")</f>
        <v>-2373</v>
      </c>
      <c r="D132">
        <v>0</v>
      </c>
      <c r="E132">
        <v>2302.4499999999998</v>
      </c>
      <c r="F132">
        <v>0.33850000000000002</v>
      </c>
      <c r="G132">
        <v>3.6827999999999999</v>
      </c>
      <c r="H132">
        <v>7.4405999999999999</v>
      </c>
      <c r="I132">
        <v>1.3219000000000001</v>
      </c>
      <c r="J132">
        <v>9.4631000000000007</v>
      </c>
      <c r="K132">
        <v>2302.4499999999998</v>
      </c>
      <c r="L132">
        <v>0</v>
      </c>
    </row>
    <row r="133" spans="1:12" x14ac:dyDescent="0.35">
      <c r="A133" s="3" t="s">
        <v>148</v>
      </c>
      <c r="B133" s="1" t="str">
        <f t="shared" si="4"/>
        <v>Corumba IV</v>
      </c>
      <c r="C133" s="1">
        <f t="shared" si="5"/>
        <v>-2372</v>
      </c>
      <c r="D133">
        <v>0</v>
      </c>
      <c r="E133">
        <v>0</v>
      </c>
      <c r="F133">
        <v>0</v>
      </c>
      <c r="G133">
        <v>0.3629</v>
      </c>
      <c r="H133">
        <v>51.345799999999997</v>
      </c>
      <c r="I133">
        <v>5.1063999999999998</v>
      </c>
      <c r="J133">
        <v>46.6023</v>
      </c>
      <c r="K133">
        <v>0</v>
      </c>
      <c r="L133">
        <v>0</v>
      </c>
    </row>
    <row r="134" spans="1:12" x14ac:dyDescent="0.35">
      <c r="A134" s="3" t="s">
        <v>149</v>
      </c>
      <c r="B134" s="1" t="str">
        <f t="shared" si="4"/>
        <v>Lago Paranoa</v>
      </c>
      <c r="C134" s="1">
        <f t="shared" si="5"/>
        <v>-2372</v>
      </c>
      <c r="D134">
        <v>0</v>
      </c>
      <c r="E134">
        <v>2302.4499999999998</v>
      </c>
      <c r="F134">
        <v>0.33879999999999999</v>
      </c>
      <c r="G134">
        <v>3.3449</v>
      </c>
      <c r="H134">
        <v>7.0323000000000002</v>
      </c>
      <c r="I134">
        <v>1.3219000000000001</v>
      </c>
      <c r="J134">
        <v>8.7164999999999999</v>
      </c>
      <c r="K134">
        <v>2302.4499999999998</v>
      </c>
      <c r="L134">
        <v>0</v>
      </c>
    </row>
    <row r="135" spans="1:12" x14ac:dyDescent="0.35">
      <c r="A135" s="3" t="s">
        <v>150</v>
      </c>
      <c r="B135" s="1" t="str">
        <f t="shared" si="4"/>
        <v>Corumba IV</v>
      </c>
      <c r="C135" s="1">
        <f t="shared" si="5"/>
        <v>-2371</v>
      </c>
      <c r="D135">
        <v>0</v>
      </c>
      <c r="E135">
        <v>0</v>
      </c>
      <c r="F135">
        <v>0</v>
      </c>
      <c r="G135">
        <v>0.3629</v>
      </c>
      <c r="H135">
        <v>46.851300000000002</v>
      </c>
      <c r="I135">
        <v>4.5544000000000002</v>
      </c>
      <c r="J135">
        <v>42.659799999999997</v>
      </c>
      <c r="K135">
        <v>0</v>
      </c>
      <c r="L135">
        <v>0</v>
      </c>
    </row>
    <row r="136" spans="1:12" x14ac:dyDescent="0.35">
      <c r="A136" s="3" t="s">
        <v>151</v>
      </c>
      <c r="B136" s="1" t="str">
        <f t="shared" si="4"/>
        <v>Lago Paranoa</v>
      </c>
      <c r="C136" s="1">
        <f t="shared" si="5"/>
        <v>-2371</v>
      </c>
      <c r="D136">
        <v>0</v>
      </c>
      <c r="E136">
        <v>2302.4499999999998</v>
      </c>
      <c r="F136">
        <v>0.40600000000000003</v>
      </c>
      <c r="G136">
        <v>3.2363</v>
      </c>
      <c r="H136">
        <v>6.4217000000000004</v>
      </c>
      <c r="I136">
        <v>1.163</v>
      </c>
      <c r="J136">
        <v>8.0890000000000004</v>
      </c>
      <c r="K136">
        <v>2302.4499999999998</v>
      </c>
      <c r="L136">
        <v>0</v>
      </c>
    </row>
    <row r="137" spans="1:12" x14ac:dyDescent="0.35">
      <c r="A137" s="3" t="s">
        <v>152</v>
      </c>
      <c r="B137" s="1" t="str">
        <f t="shared" si="4"/>
        <v>Corumba IV</v>
      </c>
      <c r="C137" s="1">
        <f t="shared" si="5"/>
        <v>-2370</v>
      </c>
      <c r="D137">
        <v>0</v>
      </c>
      <c r="E137">
        <v>0</v>
      </c>
      <c r="F137">
        <v>0</v>
      </c>
      <c r="G137">
        <v>0.3629</v>
      </c>
      <c r="H137">
        <v>43.5214</v>
      </c>
      <c r="I137">
        <v>4.4752000000000001</v>
      </c>
      <c r="J137">
        <v>39.409100000000002</v>
      </c>
      <c r="K137">
        <v>0</v>
      </c>
      <c r="L137">
        <v>0</v>
      </c>
    </row>
    <row r="138" spans="1:12" x14ac:dyDescent="0.35">
      <c r="A138" s="3" t="s">
        <v>153</v>
      </c>
      <c r="B138" s="1" t="str">
        <f t="shared" si="4"/>
        <v>Lago Paranoa</v>
      </c>
      <c r="C138" s="1">
        <f t="shared" si="5"/>
        <v>-2370</v>
      </c>
      <c r="D138">
        <v>0</v>
      </c>
      <c r="E138">
        <v>2302.4499999999998</v>
      </c>
      <c r="F138">
        <v>0.40629999999999999</v>
      </c>
      <c r="G138">
        <v>3.1183999999999998</v>
      </c>
      <c r="H138">
        <v>5.7153999999999998</v>
      </c>
      <c r="I138">
        <v>1.0490999999999999</v>
      </c>
      <c r="J138">
        <v>7.3784000000000001</v>
      </c>
      <c r="K138">
        <v>2302.4499999999998</v>
      </c>
      <c r="L138">
        <v>0</v>
      </c>
    </row>
    <row r="139" spans="1:12" x14ac:dyDescent="0.35">
      <c r="A139" s="3" t="s">
        <v>154</v>
      </c>
      <c r="B139" s="1" t="str">
        <f t="shared" si="4"/>
        <v>Corumba IV</v>
      </c>
      <c r="C139" s="1">
        <f t="shared" si="5"/>
        <v>-2369</v>
      </c>
      <c r="D139">
        <v>0</v>
      </c>
      <c r="E139">
        <v>0</v>
      </c>
      <c r="F139">
        <v>0</v>
      </c>
      <c r="G139">
        <v>0.3629</v>
      </c>
      <c r="H139">
        <v>40.2607</v>
      </c>
      <c r="I139">
        <v>4.4752000000000001</v>
      </c>
      <c r="J139">
        <v>36.148299999999999</v>
      </c>
      <c r="K139">
        <v>0</v>
      </c>
      <c r="L139">
        <v>0</v>
      </c>
    </row>
    <row r="140" spans="1:12" x14ac:dyDescent="0.35">
      <c r="A140" s="3" t="s">
        <v>155</v>
      </c>
      <c r="B140" s="1" t="str">
        <f t="shared" si="4"/>
        <v>Lago Paranoa</v>
      </c>
      <c r="C140" s="1">
        <f t="shared" si="5"/>
        <v>-2369</v>
      </c>
      <c r="D140">
        <v>0</v>
      </c>
      <c r="E140">
        <v>2302.4499999999998</v>
      </c>
      <c r="F140">
        <v>0.40670000000000001</v>
      </c>
      <c r="G140">
        <v>2.9782999999999999</v>
      </c>
      <c r="H140">
        <v>5.4513999999999996</v>
      </c>
      <c r="I140">
        <v>1.0490999999999999</v>
      </c>
      <c r="J140">
        <v>6.9740000000000002</v>
      </c>
      <c r="K140">
        <v>2302.4499999999998</v>
      </c>
      <c r="L140">
        <v>0</v>
      </c>
    </row>
    <row r="141" spans="1:12" x14ac:dyDescent="0.35">
      <c r="A141" s="3" t="s">
        <v>156</v>
      </c>
      <c r="B141" s="1" t="str">
        <f t="shared" si="4"/>
        <v>Corumba IV</v>
      </c>
      <c r="C141" s="1">
        <f t="shared" si="5"/>
        <v>-2368</v>
      </c>
      <c r="D141">
        <v>0</v>
      </c>
      <c r="E141">
        <v>0</v>
      </c>
      <c r="F141">
        <v>0</v>
      </c>
      <c r="G141">
        <v>0.3629</v>
      </c>
      <c r="H141">
        <v>38.538699999999999</v>
      </c>
      <c r="I141">
        <v>4.4752000000000001</v>
      </c>
      <c r="J141">
        <v>34.426400000000001</v>
      </c>
      <c r="K141">
        <v>0</v>
      </c>
      <c r="L141">
        <v>0</v>
      </c>
    </row>
    <row r="142" spans="1:12" x14ac:dyDescent="0.35">
      <c r="A142" s="3" t="s">
        <v>157</v>
      </c>
      <c r="B142" s="1" t="str">
        <f t="shared" si="4"/>
        <v>Lago Paranoa</v>
      </c>
      <c r="C142" s="1">
        <f t="shared" si="5"/>
        <v>-2368</v>
      </c>
      <c r="D142">
        <v>0</v>
      </c>
      <c r="E142">
        <v>2302.4499999999998</v>
      </c>
      <c r="F142">
        <v>0.40699999999999997</v>
      </c>
      <c r="G142">
        <v>2.8795000000000002</v>
      </c>
      <c r="H142">
        <v>5.3223000000000003</v>
      </c>
      <c r="I142">
        <v>1.0490999999999999</v>
      </c>
      <c r="J142">
        <v>6.7457000000000003</v>
      </c>
      <c r="K142">
        <v>2302.4499999999998</v>
      </c>
      <c r="L142">
        <v>0</v>
      </c>
    </row>
    <row r="143" spans="1:12" x14ac:dyDescent="0.35">
      <c r="A143" s="3" t="s">
        <v>158</v>
      </c>
      <c r="B143" s="1" t="str">
        <f t="shared" si="4"/>
        <v>Corumba IV</v>
      </c>
      <c r="C143" s="1">
        <f t="shared" si="5"/>
        <v>-2367</v>
      </c>
      <c r="D143">
        <v>0</v>
      </c>
      <c r="E143">
        <v>0</v>
      </c>
      <c r="F143">
        <v>0</v>
      </c>
      <c r="G143">
        <v>0.3629</v>
      </c>
      <c r="H143">
        <v>36.161000000000001</v>
      </c>
      <c r="I143">
        <v>4.58</v>
      </c>
      <c r="J143">
        <v>31.943899999999999</v>
      </c>
      <c r="K143">
        <v>0</v>
      </c>
      <c r="L143">
        <v>0</v>
      </c>
    </row>
    <row r="144" spans="1:12" x14ac:dyDescent="0.35">
      <c r="A144" s="3" t="s">
        <v>159</v>
      </c>
      <c r="B144" s="1" t="str">
        <f t="shared" si="4"/>
        <v>Lago Paranoa</v>
      </c>
      <c r="C144" s="1">
        <f t="shared" si="5"/>
        <v>-2367</v>
      </c>
      <c r="D144">
        <v>0</v>
      </c>
      <c r="E144">
        <v>2302.4499999999998</v>
      </c>
      <c r="F144">
        <v>0.4073</v>
      </c>
      <c r="G144">
        <v>3.1185999999999998</v>
      </c>
      <c r="H144">
        <v>5.6496000000000004</v>
      </c>
      <c r="I144">
        <v>1.0847</v>
      </c>
      <c r="J144">
        <v>7.2762000000000002</v>
      </c>
      <c r="K144">
        <v>2302.4499999999998</v>
      </c>
      <c r="L144">
        <v>0</v>
      </c>
    </row>
    <row r="145" spans="1:12" x14ac:dyDescent="0.35">
      <c r="A145" s="3" t="s">
        <v>160</v>
      </c>
      <c r="B145" s="1" t="str">
        <f t="shared" si="4"/>
        <v>Corumba IV</v>
      </c>
      <c r="C145" s="1">
        <f t="shared" si="5"/>
        <v>-2366</v>
      </c>
      <c r="D145">
        <v>0</v>
      </c>
      <c r="E145">
        <v>0</v>
      </c>
      <c r="F145">
        <v>0</v>
      </c>
      <c r="G145">
        <v>0.3629</v>
      </c>
      <c r="H145">
        <v>35.559600000000003</v>
      </c>
      <c r="I145">
        <v>4.7838000000000003</v>
      </c>
      <c r="J145">
        <v>31.1388</v>
      </c>
      <c r="K145">
        <v>0</v>
      </c>
      <c r="L145">
        <v>0</v>
      </c>
    </row>
    <row r="146" spans="1:12" x14ac:dyDescent="0.35">
      <c r="A146" s="3" t="s">
        <v>161</v>
      </c>
      <c r="B146" s="1" t="str">
        <f t="shared" si="4"/>
        <v>Lago Paranoa</v>
      </c>
      <c r="C146" s="1">
        <f t="shared" si="5"/>
        <v>-2366</v>
      </c>
      <c r="D146">
        <v>0</v>
      </c>
      <c r="E146">
        <v>2302.4499999999998</v>
      </c>
      <c r="F146">
        <v>0.4234</v>
      </c>
      <c r="G146">
        <v>3.44</v>
      </c>
      <c r="H146">
        <v>6.5740999999999996</v>
      </c>
      <c r="I146">
        <v>1.1512</v>
      </c>
      <c r="J146">
        <v>8.4396000000000004</v>
      </c>
      <c r="K146">
        <v>2302.4499999999998</v>
      </c>
      <c r="L146">
        <v>0</v>
      </c>
    </row>
    <row r="147" spans="1:12" x14ac:dyDescent="0.35">
      <c r="A147" s="3" t="s">
        <v>162</v>
      </c>
      <c r="B147" s="1" t="str">
        <f t="shared" si="4"/>
        <v>Corumba IV</v>
      </c>
      <c r="C147" s="1">
        <f t="shared" si="5"/>
        <v>-2365</v>
      </c>
      <c r="D147">
        <v>0</v>
      </c>
      <c r="E147">
        <v>0</v>
      </c>
      <c r="F147">
        <v>0</v>
      </c>
      <c r="G147">
        <v>0.3629</v>
      </c>
      <c r="H147">
        <v>30.5623</v>
      </c>
      <c r="I147">
        <v>4.944</v>
      </c>
      <c r="J147">
        <v>25.981100000000001</v>
      </c>
      <c r="K147">
        <v>0</v>
      </c>
      <c r="L147">
        <v>0</v>
      </c>
    </row>
    <row r="148" spans="1:12" x14ac:dyDescent="0.35">
      <c r="A148" s="3" t="s">
        <v>163</v>
      </c>
      <c r="B148" s="1" t="str">
        <f t="shared" si="4"/>
        <v>Lago Paranoa</v>
      </c>
      <c r="C148" s="1">
        <f t="shared" si="5"/>
        <v>-2365</v>
      </c>
      <c r="D148">
        <v>0</v>
      </c>
      <c r="E148">
        <v>2302.4499999999998</v>
      </c>
      <c r="F148">
        <v>0.4234</v>
      </c>
      <c r="G148">
        <v>3.3050999999999999</v>
      </c>
      <c r="H148">
        <v>6.1905999999999999</v>
      </c>
      <c r="I148">
        <v>1.1988000000000001</v>
      </c>
      <c r="J148">
        <v>7.8735999999999997</v>
      </c>
      <c r="K148">
        <v>2302.4499999999998</v>
      </c>
      <c r="L148">
        <v>0</v>
      </c>
    </row>
    <row r="149" spans="1:12" x14ac:dyDescent="0.35">
      <c r="A149" s="3" t="s">
        <v>164</v>
      </c>
      <c r="B149" s="1" t="str">
        <f t="shared" si="4"/>
        <v>Corumba IV</v>
      </c>
      <c r="C149" s="1">
        <f t="shared" si="5"/>
        <v>-2364</v>
      </c>
      <c r="D149">
        <v>0</v>
      </c>
      <c r="E149">
        <v>0</v>
      </c>
      <c r="F149">
        <v>0</v>
      </c>
      <c r="G149">
        <v>0.3629</v>
      </c>
      <c r="H149">
        <v>29.842600000000001</v>
      </c>
      <c r="I149">
        <v>4.944</v>
      </c>
      <c r="J149">
        <v>25.261399999999998</v>
      </c>
      <c r="K149">
        <v>0</v>
      </c>
      <c r="L149">
        <v>0</v>
      </c>
    </row>
    <row r="150" spans="1:12" x14ac:dyDescent="0.35">
      <c r="A150" s="3" t="s">
        <v>165</v>
      </c>
      <c r="B150" s="1" t="str">
        <f t="shared" si="4"/>
        <v>Lago Paranoa</v>
      </c>
      <c r="C150" s="1">
        <f t="shared" si="5"/>
        <v>-2364</v>
      </c>
      <c r="D150">
        <v>0</v>
      </c>
      <c r="E150">
        <v>2302.4499999999998</v>
      </c>
      <c r="F150">
        <v>0.4234</v>
      </c>
      <c r="G150">
        <v>3.2566999999999999</v>
      </c>
      <c r="H150">
        <v>6.2134999999999998</v>
      </c>
      <c r="I150">
        <v>1.1988000000000001</v>
      </c>
      <c r="J150">
        <v>7.8480999999999996</v>
      </c>
      <c r="K150">
        <v>2302.4499999999998</v>
      </c>
      <c r="L150">
        <v>0</v>
      </c>
    </row>
    <row r="151" spans="1:12" x14ac:dyDescent="0.35">
      <c r="A151" s="3" t="s">
        <v>166</v>
      </c>
      <c r="B151" s="1" t="str">
        <f t="shared" si="4"/>
        <v>Corumba IV</v>
      </c>
      <c r="C151" s="1">
        <f t="shared" si="5"/>
        <v>-2363</v>
      </c>
      <c r="D151">
        <v>0</v>
      </c>
      <c r="E151">
        <v>0</v>
      </c>
      <c r="F151">
        <v>0</v>
      </c>
      <c r="G151">
        <v>0.3629</v>
      </c>
      <c r="H151">
        <v>30.221900000000002</v>
      </c>
      <c r="I151">
        <v>4.944</v>
      </c>
      <c r="J151">
        <v>25.640699999999999</v>
      </c>
      <c r="K151">
        <v>0</v>
      </c>
      <c r="L151">
        <v>0</v>
      </c>
    </row>
    <row r="152" spans="1:12" x14ac:dyDescent="0.35">
      <c r="A152" s="3" t="s">
        <v>167</v>
      </c>
      <c r="B152" s="1" t="str">
        <f t="shared" si="4"/>
        <v>Lago Paranoa</v>
      </c>
      <c r="C152" s="1">
        <f t="shared" si="5"/>
        <v>-2363</v>
      </c>
      <c r="D152">
        <v>0</v>
      </c>
      <c r="E152">
        <v>2302.4499999999998</v>
      </c>
      <c r="F152">
        <v>0.4234</v>
      </c>
      <c r="G152">
        <v>3.1349999999999998</v>
      </c>
      <c r="H152">
        <v>6.1151999999999997</v>
      </c>
      <c r="I152">
        <v>1.1988000000000001</v>
      </c>
      <c r="J152">
        <v>7.6280999999999999</v>
      </c>
      <c r="K152">
        <v>2302.4499999999998</v>
      </c>
      <c r="L152">
        <v>0</v>
      </c>
    </row>
    <row r="153" spans="1:12" x14ac:dyDescent="0.35">
      <c r="A153" s="3" t="s">
        <v>168</v>
      </c>
      <c r="B153" s="1" t="str">
        <f t="shared" si="4"/>
        <v>Corumba IV</v>
      </c>
      <c r="C153" s="1">
        <f t="shared" si="5"/>
        <v>-2362</v>
      </c>
      <c r="D153">
        <v>0</v>
      </c>
      <c r="E153">
        <v>0</v>
      </c>
      <c r="F153">
        <v>0</v>
      </c>
      <c r="G153">
        <v>0.3629</v>
      </c>
      <c r="H153">
        <v>29.551400000000001</v>
      </c>
      <c r="I153">
        <v>5.5392999999999999</v>
      </c>
      <c r="J153">
        <v>24.375</v>
      </c>
      <c r="K153">
        <v>0</v>
      </c>
      <c r="L153">
        <v>0</v>
      </c>
    </row>
    <row r="154" spans="1:12" x14ac:dyDescent="0.35">
      <c r="A154" s="3" t="s">
        <v>169</v>
      </c>
      <c r="B154" s="1" t="str">
        <f t="shared" si="4"/>
        <v>Lago Paranoa</v>
      </c>
      <c r="C154" s="1">
        <f t="shared" si="5"/>
        <v>-2362</v>
      </c>
      <c r="D154">
        <v>0</v>
      </c>
      <c r="E154">
        <v>2302.4499999999998</v>
      </c>
      <c r="F154">
        <v>0.4234</v>
      </c>
      <c r="G154">
        <v>2.8618000000000001</v>
      </c>
      <c r="H154">
        <v>5.2995999999999999</v>
      </c>
      <c r="I154">
        <v>1.4327000000000001</v>
      </c>
      <c r="J154">
        <v>6.3053999999999997</v>
      </c>
      <c r="K154">
        <v>2302.4499999999998</v>
      </c>
      <c r="L154">
        <v>0</v>
      </c>
    </row>
    <row r="155" spans="1:12" x14ac:dyDescent="0.35">
      <c r="A155" s="3" t="s">
        <v>170</v>
      </c>
      <c r="B155" s="1" t="str">
        <f t="shared" si="4"/>
        <v>Corumba IV</v>
      </c>
      <c r="C155" s="1">
        <f t="shared" si="5"/>
        <v>-2361</v>
      </c>
      <c r="D155">
        <v>0</v>
      </c>
      <c r="E155">
        <v>0</v>
      </c>
      <c r="F155">
        <v>0</v>
      </c>
      <c r="G155">
        <v>0.3629</v>
      </c>
      <c r="H155">
        <v>28.412600000000001</v>
      </c>
      <c r="I155">
        <v>5.5392999999999999</v>
      </c>
      <c r="J155">
        <v>23.2362</v>
      </c>
      <c r="K155">
        <v>0</v>
      </c>
      <c r="L155">
        <v>0</v>
      </c>
    </row>
    <row r="156" spans="1:12" x14ac:dyDescent="0.35">
      <c r="A156" s="3" t="s">
        <v>171</v>
      </c>
      <c r="B156" s="1" t="str">
        <f t="shared" si="4"/>
        <v>Lago Paranoa</v>
      </c>
      <c r="C156" s="1">
        <f t="shared" si="5"/>
        <v>-2361</v>
      </c>
      <c r="D156">
        <v>0</v>
      </c>
      <c r="E156">
        <v>2302.4499999999998</v>
      </c>
      <c r="F156">
        <v>0.4234</v>
      </c>
      <c r="G156">
        <v>3.2925</v>
      </c>
      <c r="H156">
        <v>4.9419000000000004</v>
      </c>
      <c r="I156">
        <v>1.4327000000000001</v>
      </c>
      <c r="J156">
        <v>6.3783000000000003</v>
      </c>
      <c r="K156">
        <v>2302.4499999999998</v>
      </c>
      <c r="L156">
        <v>0</v>
      </c>
    </row>
    <row r="157" spans="1:12" x14ac:dyDescent="0.35">
      <c r="A157" s="3" t="s">
        <v>172</v>
      </c>
      <c r="B157" s="1" t="str">
        <f t="shared" si="4"/>
        <v>Corumba IV</v>
      </c>
      <c r="C157" s="1">
        <f t="shared" si="5"/>
        <v>-2360</v>
      </c>
      <c r="D157">
        <v>0</v>
      </c>
      <c r="E157">
        <v>0</v>
      </c>
      <c r="F157">
        <v>0</v>
      </c>
      <c r="G157">
        <v>0.3629</v>
      </c>
      <c r="H157">
        <v>27.079499999999999</v>
      </c>
      <c r="I157">
        <v>5.5392999999999999</v>
      </c>
      <c r="J157">
        <v>21.903099999999998</v>
      </c>
      <c r="K157">
        <v>0</v>
      </c>
      <c r="L157">
        <v>0</v>
      </c>
    </row>
    <row r="158" spans="1:12" x14ac:dyDescent="0.35">
      <c r="A158" s="3" t="s">
        <v>173</v>
      </c>
      <c r="B158" s="1" t="str">
        <f t="shared" si="4"/>
        <v>Lago Paranoa</v>
      </c>
      <c r="C158" s="1">
        <f t="shared" si="5"/>
        <v>-2360</v>
      </c>
      <c r="D158">
        <v>0</v>
      </c>
      <c r="E158">
        <v>2302.4499999999998</v>
      </c>
      <c r="F158">
        <v>0.4234</v>
      </c>
      <c r="G158">
        <v>3.3580999999999999</v>
      </c>
      <c r="H158">
        <v>4.5782999999999996</v>
      </c>
      <c r="I158">
        <v>1.4327000000000001</v>
      </c>
      <c r="J158">
        <v>6.0803000000000003</v>
      </c>
      <c r="K158">
        <v>2302.4499999999998</v>
      </c>
      <c r="L158">
        <v>0</v>
      </c>
    </row>
    <row r="159" spans="1:12" x14ac:dyDescent="0.35">
      <c r="A159" s="3" t="s">
        <v>174</v>
      </c>
      <c r="B159" s="1" t="str">
        <f t="shared" si="4"/>
        <v>Corumba IV</v>
      </c>
      <c r="C159" s="1">
        <f t="shared" si="5"/>
        <v>-2359</v>
      </c>
      <c r="D159">
        <v>0</v>
      </c>
      <c r="E159">
        <v>0</v>
      </c>
      <c r="F159">
        <v>0</v>
      </c>
      <c r="G159">
        <v>0.3629</v>
      </c>
      <c r="H159">
        <v>26.072099999999999</v>
      </c>
      <c r="I159">
        <v>5.5392999999999999</v>
      </c>
      <c r="J159">
        <v>20.895700000000001</v>
      </c>
      <c r="K159">
        <v>0</v>
      </c>
      <c r="L159">
        <v>0</v>
      </c>
    </row>
    <row r="160" spans="1:12" x14ac:dyDescent="0.35">
      <c r="A160" s="3" t="s">
        <v>175</v>
      </c>
      <c r="B160" s="1" t="str">
        <f t="shared" si="4"/>
        <v>Lago Paranoa</v>
      </c>
      <c r="C160" s="1">
        <f t="shared" si="5"/>
        <v>-2359</v>
      </c>
      <c r="D160">
        <v>0</v>
      </c>
      <c r="E160">
        <v>2302.4499999999998</v>
      </c>
      <c r="F160">
        <v>0.4234</v>
      </c>
      <c r="G160">
        <v>3.0813999999999999</v>
      </c>
      <c r="H160">
        <v>4.2586000000000004</v>
      </c>
      <c r="I160">
        <v>1.4327000000000001</v>
      </c>
      <c r="J160">
        <v>5.484</v>
      </c>
      <c r="K160">
        <v>2302.4499999999998</v>
      </c>
      <c r="L160">
        <v>0</v>
      </c>
    </row>
    <row r="161" spans="1:12" x14ac:dyDescent="0.35">
      <c r="A161" s="3" t="s">
        <v>176</v>
      </c>
      <c r="B161" s="1" t="str">
        <f t="shared" si="4"/>
        <v>Corumba IV</v>
      </c>
      <c r="C161" s="1">
        <f t="shared" si="5"/>
        <v>-2358</v>
      </c>
      <c r="D161">
        <v>0</v>
      </c>
      <c r="E161">
        <v>0</v>
      </c>
      <c r="F161">
        <v>0</v>
      </c>
      <c r="G161">
        <v>0.3629</v>
      </c>
      <c r="H161">
        <v>24.661999999999999</v>
      </c>
      <c r="I161">
        <v>5.8682999999999996</v>
      </c>
      <c r="J161">
        <v>19.156600000000001</v>
      </c>
      <c r="K161">
        <v>0</v>
      </c>
      <c r="L161">
        <v>0</v>
      </c>
    </row>
    <row r="162" spans="1:12" x14ac:dyDescent="0.35">
      <c r="A162" s="3" t="s">
        <v>177</v>
      </c>
      <c r="B162" s="1" t="str">
        <f t="shared" si="4"/>
        <v>Lago Paranoa</v>
      </c>
      <c r="C162" s="1">
        <f t="shared" si="5"/>
        <v>-2358</v>
      </c>
      <c r="D162">
        <v>0</v>
      </c>
      <c r="E162">
        <v>2302.4499999999998</v>
      </c>
      <c r="F162">
        <v>0.4234</v>
      </c>
      <c r="G162">
        <v>3.0110000000000001</v>
      </c>
      <c r="H162">
        <v>4.0209999999999999</v>
      </c>
      <c r="I162">
        <v>1.5138</v>
      </c>
      <c r="J162">
        <v>5.0948000000000002</v>
      </c>
      <c r="K162">
        <v>2302.4499999999998</v>
      </c>
      <c r="L162">
        <v>0</v>
      </c>
    </row>
    <row r="163" spans="1:12" x14ac:dyDescent="0.35">
      <c r="A163" s="3" t="s">
        <v>178</v>
      </c>
      <c r="B163" s="1" t="str">
        <f t="shared" si="4"/>
        <v>Corumba IV</v>
      </c>
      <c r="C163" s="1">
        <f t="shared" si="5"/>
        <v>-2357</v>
      </c>
      <c r="D163">
        <v>0</v>
      </c>
      <c r="E163">
        <v>0</v>
      </c>
      <c r="F163">
        <v>0</v>
      </c>
      <c r="G163">
        <v>0.3629</v>
      </c>
      <c r="H163">
        <v>23.708200000000001</v>
      </c>
      <c r="I163">
        <v>5.8533999999999997</v>
      </c>
      <c r="J163">
        <v>18.217600000000001</v>
      </c>
      <c r="K163">
        <v>0</v>
      </c>
      <c r="L163">
        <v>0</v>
      </c>
    </row>
    <row r="164" spans="1:12" x14ac:dyDescent="0.35">
      <c r="A164" s="3" t="s">
        <v>179</v>
      </c>
      <c r="B164" s="1" t="str">
        <f t="shared" si="4"/>
        <v>Lago Paranoa</v>
      </c>
      <c r="C164" s="1">
        <f t="shared" si="5"/>
        <v>-2357</v>
      </c>
      <c r="D164">
        <v>0</v>
      </c>
      <c r="E164">
        <v>2302.4499999999998</v>
      </c>
      <c r="F164">
        <v>0.4234</v>
      </c>
      <c r="G164">
        <v>3.2528999999999999</v>
      </c>
      <c r="H164">
        <v>4.0658000000000003</v>
      </c>
      <c r="I164">
        <v>1.5223</v>
      </c>
      <c r="J164">
        <v>5.3730000000000002</v>
      </c>
      <c r="K164">
        <v>2302.4499999999998</v>
      </c>
      <c r="L164">
        <v>0</v>
      </c>
    </row>
    <row r="165" spans="1:12" x14ac:dyDescent="0.35">
      <c r="A165" s="3" t="s">
        <v>180</v>
      </c>
      <c r="B165" s="1" t="str">
        <f t="shared" si="4"/>
        <v>Corumba IV</v>
      </c>
      <c r="C165" s="1">
        <f t="shared" si="5"/>
        <v>-2356</v>
      </c>
      <c r="D165">
        <v>0</v>
      </c>
      <c r="E165">
        <v>0</v>
      </c>
      <c r="F165">
        <v>0</v>
      </c>
      <c r="G165">
        <v>0.3629</v>
      </c>
      <c r="H165">
        <v>22.826899999999998</v>
      </c>
      <c r="I165">
        <v>5.8533999999999997</v>
      </c>
      <c r="J165">
        <v>17.336300000000001</v>
      </c>
      <c r="K165">
        <v>0</v>
      </c>
      <c r="L165">
        <v>0</v>
      </c>
    </row>
    <row r="166" spans="1:12" x14ac:dyDescent="0.35">
      <c r="A166" s="3" t="s">
        <v>181</v>
      </c>
      <c r="B166" s="1" t="str">
        <f t="shared" si="4"/>
        <v>Lago Paranoa</v>
      </c>
      <c r="C166" s="1">
        <f t="shared" si="5"/>
        <v>-2356</v>
      </c>
      <c r="D166">
        <v>0</v>
      </c>
      <c r="E166">
        <v>2302.4499999999998</v>
      </c>
      <c r="F166">
        <v>0.4234</v>
      </c>
      <c r="G166">
        <v>3.1873</v>
      </c>
      <c r="H166">
        <v>3.9626999999999999</v>
      </c>
      <c r="I166">
        <v>1.5223</v>
      </c>
      <c r="J166">
        <v>5.2042999999999999</v>
      </c>
      <c r="K166">
        <v>2302.4499999999998</v>
      </c>
      <c r="L166">
        <v>0</v>
      </c>
    </row>
    <row r="167" spans="1:12" x14ac:dyDescent="0.35">
      <c r="A167" s="3" t="s">
        <v>182</v>
      </c>
      <c r="B167" s="1" t="str">
        <f t="shared" si="4"/>
        <v>Corumba IV</v>
      </c>
      <c r="C167" s="1">
        <f t="shared" si="5"/>
        <v>-2355</v>
      </c>
      <c r="D167">
        <v>0</v>
      </c>
      <c r="E167">
        <v>0</v>
      </c>
      <c r="F167">
        <v>0</v>
      </c>
      <c r="G167">
        <v>0.3629</v>
      </c>
      <c r="H167">
        <v>22.162500000000001</v>
      </c>
      <c r="I167">
        <v>5.8533999999999997</v>
      </c>
      <c r="J167">
        <v>16.671900000000001</v>
      </c>
      <c r="K167">
        <v>0</v>
      </c>
      <c r="L167">
        <v>0</v>
      </c>
    </row>
    <row r="168" spans="1:12" x14ac:dyDescent="0.35">
      <c r="A168" s="3" t="s">
        <v>183</v>
      </c>
      <c r="B168" s="1" t="str">
        <f t="shared" si="4"/>
        <v>Lago Paranoa</v>
      </c>
      <c r="C168" s="1">
        <f t="shared" si="5"/>
        <v>-2355</v>
      </c>
      <c r="D168">
        <v>0</v>
      </c>
      <c r="E168">
        <v>2302.4499999999998</v>
      </c>
      <c r="F168">
        <v>0.4234</v>
      </c>
      <c r="G168">
        <v>3.0575000000000001</v>
      </c>
      <c r="H168">
        <v>3.8052000000000001</v>
      </c>
      <c r="I168">
        <v>1.5223</v>
      </c>
      <c r="J168">
        <v>4.9169999999999998</v>
      </c>
      <c r="K168">
        <v>2302.4499999999998</v>
      </c>
      <c r="L168">
        <v>0</v>
      </c>
    </row>
    <row r="169" spans="1:12" x14ac:dyDescent="0.35">
      <c r="A169" s="3" t="s">
        <v>184</v>
      </c>
      <c r="B169" s="1" t="str">
        <f t="shared" si="4"/>
        <v>Corumba IV</v>
      </c>
      <c r="C169" s="1">
        <f t="shared" si="5"/>
        <v>-2354</v>
      </c>
      <c r="D169">
        <v>0</v>
      </c>
      <c r="E169">
        <v>0</v>
      </c>
      <c r="F169">
        <v>0</v>
      </c>
      <c r="G169">
        <v>0.3629</v>
      </c>
      <c r="H169">
        <v>23.918099999999999</v>
      </c>
      <c r="I169">
        <v>5.3966000000000003</v>
      </c>
      <c r="J169">
        <v>18.884399999999999</v>
      </c>
      <c r="K169">
        <v>0</v>
      </c>
      <c r="L169">
        <v>0</v>
      </c>
    </row>
    <row r="170" spans="1:12" x14ac:dyDescent="0.35">
      <c r="A170" s="3" t="s">
        <v>185</v>
      </c>
      <c r="B170" s="1" t="str">
        <f t="shared" si="4"/>
        <v>Lago Paranoa</v>
      </c>
      <c r="C170" s="1">
        <f t="shared" si="5"/>
        <v>-2354</v>
      </c>
      <c r="D170">
        <v>0</v>
      </c>
      <c r="E170">
        <v>2302.4499999999998</v>
      </c>
      <c r="F170">
        <v>0.4234</v>
      </c>
      <c r="G170">
        <v>3.1225000000000001</v>
      </c>
      <c r="H170">
        <v>3.7797999999999998</v>
      </c>
      <c r="I170">
        <v>1.4503999999999999</v>
      </c>
      <c r="J170">
        <v>5.0286</v>
      </c>
      <c r="K170">
        <v>2302.4499999999998</v>
      </c>
      <c r="L170">
        <v>0</v>
      </c>
    </row>
    <row r="171" spans="1:12" x14ac:dyDescent="0.35">
      <c r="A171" s="3" t="s">
        <v>186</v>
      </c>
      <c r="B171" s="1" t="str">
        <f t="shared" si="4"/>
        <v>Corumba IV</v>
      </c>
      <c r="C171" s="1">
        <f t="shared" si="5"/>
        <v>-2353</v>
      </c>
      <c r="D171">
        <v>0</v>
      </c>
      <c r="E171">
        <v>0</v>
      </c>
      <c r="F171">
        <v>0</v>
      </c>
      <c r="G171">
        <v>0.3629</v>
      </c>
      <c r="H171">
        <v>23.938800000000001</v>
      </c>
      <c r="I171">
        <v>3.8148</v>
      </c>
      <c r="J171">
        <v>20.486999999999998</v>
      </c>
      <c r="K171">
        <v>0</v>
      </c>
      <c r="L171">
        <v>0</v>
      </c>
    </row>
    <row r="172" spans="1:12" x14ac:dyDescent="0.35">
      <c r="A172" s="3" t="s">
        <v>187</v>
      </c>
      <c r="B172" s="1" t="str">
        <f t="shared" si="4"/>
        <v>Lago Paranoa</v>
      </c>
      <c r="C172" s="1">
        <f t="shared" si="5"/>
        <v>-2353</v>
      </c>
      <c r="D172">
        <v>0</v>
      </c>
      <c r="E172">
        <v>2302.4499999999998</v>
      </c>
      <c r="F172">
        <v>0.4234</v>
      </c>
      <c r="G172">
        <v>3.0912000000000002</v>
      </c>
      <c r="H172">
        <v>3.8098999999999998</v>
      </c>
      <c r="I172">
        <v>1.1174999999999999</v>
      </c>
      <c r="J172">
        <v>5.3601999999999999</v>
      </c>
      <c r="K172">
        <v>2302.4499999999998</v>
      </c>
      <c r="L172">
        <v>0</v>
      </c>
    </row>
    <row r="173" spans="1:12" x14ac:dyDescent="0.35">
      <c r="A173" s="3" t="s">
        <v>188</v>
      </c>
      <c r="B173" s="1" t="str">
        <f t="shared" si="4"/>
        <v>Corumba IV</v>
      </c>
      <c r="C173" s="1">
        <f t="shared" si="5"/>
        <v>-2352</v>
      </c>
      <c r="D173">
        <v>0</v>
      </c>
      <c r="E173">
        <v>0</v>
      </c>
      <c r="F173">
        <v>0</v>
      </c>
      <c r="G173">
        <v>0.3629</v>
      </c>
      <c r="H173">
        <v>30.108699999999999</v>
      </c>
      <c r="I173">
        <v>3.8148</v>
      </c>
      <c r="J173">
        <v>26.6568</v>
      </c>
      <c r="K173">
        <v>0</v>
      </c>
      <c r="L173">
        <v>0</v>
      </c>
    </row>
    <row r="174" spans="1:12" x14ac:dyDescent="0.35">
      <c r="A174" s="3" t="s">
        <v>189</v>
      </c>
      <c r="B174" s="1" t="str">
        <f t="shared" si="4"/>
        <v>Lago Paranoa</v>
      </c>
      <c r="C174" s="1">
        <f t="shared" si="5"/>
        <v>-2352</v>
      </c>
      <c r="D174">
        <v>0</v>
      </c>
      <c r="E174">
        <v>2302.4499999999998</v>
      </c>
      <c r="F174">
        <v>0.4234</v>
      </c>
      <c r="G174">
        <v>3.4668000000000001</v>
      </c>
      <c r="H174">
        <v>4.5532000000000004</v>
      </c>
      <c r="I174">
        <v>1.1174999999999999</v>
      </c>
      <c r="J174">
        <v>6.4790999999999999</v>
      </c>
      <c r="K174">
        <v>2302.4499999999998</v>
      </c>
      <c r="L174">
        <v>0</v>
      </c>
    </row>
    <row r="175" spans="1:12" x14ac:dyDescent="0.35">
      <c r="A175" s="3" t="s">
        <v>190</v>
      </c>
      <c r="B175" s="1" t="str">
        <f t="shared" si="4"/>
        <v>Corumba IV</v>
      </c>
      <c r="C175" s="1">
        <f t="shared" si="5"/>
        <v>-2351</v>
      </c>
      <c r="D175">
        <v>0</v>
      </c>
      <c r="E175">
        <v>0</v>
      </c>
      <c r="F175">
        <v>0</v>
      </c>
      <c r="G175">
        <v>0.3629</v>
      </c>
      <c r="H175">
        <v>40.705599999999997</v>
      </c>
      <c r="I175">
        <v>3.8148</v>
      </c>
      <c r="J175">
        <v>37.253799999999998</v>
      </c>
      <c r="K175">
        <v>0</v>
      </c>
      <c r="L175">
        <v>0</v>
      </c>
    </row>
    <row r="176" spans="1:12" x14ac:dyDescent="0.35">
      <c r="A176" s="3" t="s">
        <v>191</v>
      </c>
      <c r="B176" s="1" t="str">
        <f t="shared" si="4"/>
        <v>Lago Paranoa</v>
      </c>
      <c r="C176" s="1">
        <f t="shared" si="5"/>
        <v>-2351</v>
      </c>
      <c r="D176">
        <v>0</v>
      </c>
      <c r="E176">
        <v>2302.4499999999998</v>
      </c>
      <c r="F176">
        <v>0.4234</v>
      </c>
      <c r="G176">
        <v>3.1823999999999999</v>
      </c>
      <c r="H176">
        <v>4.8109999999999999</v>
      </c>
      <c r="I176">
        <v>1.1174999999999999</v>
      </c>
      <c r="J176">
        <v>6.4524999999999997</v>
      </c>
      <c r="K176">
        <v>2302.4499999999998</v>
      </c>
      <c r="L176">
        <v>0</v>
      </c>
    </row>
    <row r="177" spans="1:12" x14ac:dyDescent="0.35">
      <c r="A177" s="3" t="s">
        <v>192</v>
      </c>
      <c r="B177" s="1" t="str">
        <f t="shared" si="4"/>
        <v>Corumba IV</v>
      </c>
      <c r="C177" s="1">
        <f t="shared" si="5"/>
        <v>-2350</v>
      </c>
      <c r="D177">
        <v>0</v>
      </c>
      <c r="E177">
        <v>0</v>
      </c>
      <c r="F177">
        <v>0</v>
      </c>
      <c r="G177">
        <v>0.3629</v>
      </c>
      <c r="H177">
        <v>36.326000000000001</v>
      </c>
      <c r="I177">
        <v>3.8148</v>
      </c>
      <c r="J177">
        <v>32.874099999999999</v>
      </c>
      <c r="K177">
        <v>0</v>
      </c>
      <c r="L177">
        <v>0</v>
      </c>
    </row>
    <row r="178" spans="1:12" x14ac:dyDescent="0.35">
      <c r="A178" s="3" t="s">
        <v>193</v>
      </c>
      <c r="B178" s="1" t="str">
        <f t="shared" si="4"/>
        <v>Lago Paranoa</v>
      </c>
      <c r="C178" s="1">
        <f t="shared" si="5"/>
        <v>-2350</v>
      </c>
      <c r="D178">
        <v>0</v>
      </c>
      <c r="E178">
        <v>2302.4499999999998</v>
      </c>
      <c r="F178">
        <v>0.4234</v>
      </c>
      <c r="G178">
        <v>3.258</v>
      </c>
      <c r="H178">
        <v>5.2324999999999999</v>
      </c>
      <c r="I178">
        <v>1.1174999999999999</v>
      </c>
      <c r="J178">
        <v>6.9497</v>
      </c>
      <c r="K178">
        <v>2302.4499999999998</v>
      </c>
      <c r="L178">
        <v>0</v>
      </c>
    </row>
    <row r="179" spans="1:12" x14ac:dyDescent="0.35">
      <c r="A179" s="3" t="s">
        <v>194</v>
      </c>
      <c r="B179" s="1" t="str">
        <f t="shared" si="4"/>
        <v>Corumba IV</v>
      </c>
      <c r="C179" s="1">
        <f t="shared" si="5"/>
        <v>-2349</v>
      </c>
      <c r="D179">
        <v>0</v>
      </c>
      <c r="E179">
        <v>0</v>
      </c>
      <c r="F179">
        <v>0</v>
      </c>
      <c r="G179">
        <v>0.3629</v>
      </c>
      <c r="H179">
        <v>35.7774</v>
      </c>
      <c r="I179">
        <v>5.0396999999999998</v>
      </c>
      <c r="J179">
        <v>31.1006</v>
      </c>
      <c r="K179">
        <v>0</v>
      </c>
      <c r="L179">
        <v>0</v>
      </c>
    </row>
    <row r="180" spans="1:12" x14ac:dyDescent="0.35">
      <c r="A180" s="3" t="s">
        <v>195</v>
      </c>
      <c r="B180" s="1" t="str">
        <f t="shared" si="4"/>
        <v>Lago Paranoa</v>
      </c>
      <c r="C180" s="1">
        <f t="shared" si="5"/>
        <v>-2349</v>
      </c>
      <c r="D180">
        <v>0</v>
      </c>
      <c r="E180">
        <v>2302.4499999999998</v>
      </c>
      <c r="F180">
        <v>0.4234</v>
      </c>
      <c r="G180">
        <v>3.6395</v>
      </c>
      <c r="H180">
        <v>7.2066999999999997</v>
      </c>
      <c r="I180">
        <v>1.1802999999999999</v>
      </c>
      <c r="J180">
        <v>9.2424999999999997</v>
      </c>
      <c r="K180">
        <v>2302.4499999999998</v>
      </c>
      <c r="L180">
        <v>0</v>
      </c>
    </row>
    <row r="181" spans="1:12" x14ac:dyDescent="0.35">
      <c r="A181" s="3" t="s">
        <v>196</v>
      </c>
      <c r="B181" s="1" t="str">
        <f t="shared" si="4"/>
        <v>Corumba IV</v>
      </c>
      <c r="C181" s="1">
        <f t="shared" si="5"/>
        <v>-2348</v>
      </c>
      <c r="D181">
        <v>0</v>
      </c>
      <c r="E181">
        <v>0</v>
      </c>
      <c r="F181">
        <v>0</v>
      </c>
      <c r="G181">
        <v>0.3629</v>
      </c>
      <c r="H181">
        <v>43.230200000000004</v>
      </c>
      <c r="I181">
        <v>3.7995000000000001</v>
      </c>
      <c r="J181">
        <v>39.793599999999998</v>
      </c>
      <c r="K181">
        <v>0</v>
      </c>
      <c r="L181">
        <v>0</v>
      </c>
    </row>
    <row r="182" spans="1:12" x14ac:dyDescent="0.35">
      <c r="A182" s="3" t="s">
        <v>197</v>
      </c>
      <c r="B182" s="1" t="str">
        <f t="shared" si="4"/>
        <v>Lago Paranoa</v>
      </c>
      <c r="C182" s="1">
        <f t="shared" si="5"/>
        <v>-2348</v>
      </c>
      <c r="D182">
        <v>0</v>
      </c>
      <c r="E182">
        <v>2302.4499999999998</v>
      </c>
      <c r="F182">
        <v>0.4234</v>
      </c>
      <c r="G182">
        <v>3.1372</v>
      </c>
      <c r="H182">
        <v>7.7824</v>
      </c>
      <c r="I182">
        <v>0.8266</v>
      </c>
      <c r="J182">
        <v>9.6697000000000006</v>
      </c>
      <c r="K182">
        <v>2302.4499999999998</v>
      </c>
      <c r="L182">
        <v>0</v>
      </c>
    </row>
    <row r="183" spans="1:12" x14ac:dyDescent="0.35">
      <c r="A183" s="3" t="s">
        <v>198</v>
      </c>
      <c r="B183" s="1" t="str">
        <f t="shared" si="4"/>
        <v>Corumba IV</v>
      </c>
      <c r="C183" s="1">
        <f t="shared" si="5"/>
        <v>-2347</v>
      </c>
      <c r="D183">
        <v>0</v>
      </c>
      <c r="E183">
        <v>0</v>
      </c>
      <c r="F183">
        <v>0</v>
      </c>
      <c r="G183">
        <v>0.3629</v>
      </c>
      <c r="H183">
        <v>43.254399999999997</v>
      </c>
      <c r="I183">
        <v>3.5588000000000002</v>
      </c>
      <c r="J183">
        <v>40.058500000000002</v>
      </c>
      <c r="K183">
        <v>0</v>
      </c>
      <c r="L183">
        <v>0</v>
      </c>
    </row>
    <row r="184" spans="1:12" x14ac:dyDescent="0.35">
      <c r="A184" s="3" t="s">
        <v>199</v>
      </c>
      <c r="B184" s="1" t="str">
        <f t="shared" si="4"/>
        <v>Lago Paranoa</v>
      </c>
      <c r="C184" s="1">
        <f t="shared" si="5"/>
        <v>-2347</v>
      </c>
      <c r="D184">
        <v>0</v>
      </c>
      <c r="E184">
        <v>2302.4499999999998</v>
      </c>
      <c r="F184">
        <v>0.4234</v>
      </c>
      <c r="G184">
        <v>2.9702000000000002</v>
      </c>
      <c r="H184">
        <v>7.8506999999999998</v>
      </c>
      <c r="I184">
        <v>0.76590000000000003</v>
      </c>
      <c r="J184">
        <v>9.6317000000000004</v>
      </c>
      <c r="K184">
        <v>2302.4499999999998</v>
      </c>
      <c r="L184">
        <v>0</v>
      </c>
    </row>
    <row r="185" spans="1:12" x14ac:dyDescent="0.35">
      <c r="A185" s="3" t="s">
        <v>200</v>
      </c>
      <c r="B185" s="1" t="str">
        <f t="shared" si="4"/>
        <v>Corumba IV</v>
      </c>
      <c r="C185" s="1">
        <f t="shared" si="5"/>
        <v>-2346</v>
      </c>
      <c r="D185">
        <v>0</v>
      </c>
      <c r="E185">
        <v>0</v>
      </c>
      <c r="F185">
        <v>0</v>
      </c>
      <c r="G185">
        <v>0.3629</v>
      </c>
      <c r="H185">
        <v>55.137900000000002</v>
      </c>
      <c r="I185">
        <v>3.5588000000000002</v>
      </c>
      <c r="J185">
        <v>51.942</v>
      </c>
      <c r="K185">
        <v>0</v>
      </c>
      <c r="L185">
        <v>0</v>
      </c>
    </row>
    <row r="186" spans="1:12" x14ac:dyDescent="0.35">
      <c r="A186" s="3" t="s">
        <v>201</v>
      </c>
      <c r="B186" s="1" t="str">
        <f t="shared" si="4"/>
        <v>Lago Paranoa</v>
      </c>
      <c r="C186" s="1">
        <f t="shared" si="5"/>
        <v>-2346</v>
      </c>
      <c r="D186">
        <v>0</v>
      </c>
      <c r="E186">
        <v>2302.4499999999998</v>
      </c>
      <c r="F186">
        <v>0.4234</v>
      </c>
      <c r="G186">
        <v>2.8003999999999998</v>
      </c>
      <c r="H186">
        <v>7.5278</v>
      </c>
      <c r="I186">
        <v>0.76590000000000003</v>
      </c>
      <c r="J186">
        <v>9.1388999999999996</v>
      </c>
      <c r="K186">
        <v>2302.4499999999998</v>
      </c>
      <c r="L186">
        <v>0</v>
      </c>
    </row>
    <row r="187" spans="1:12" x14ac:dyDescent="0.35">
      <c r="A187" s="3" t="s">
        <v>202</v>
      </c>
      <c r="B187" s="1" t="str">
        <f t="shared" si="4"/>
        <v>Corumba IV</v>
      </c>
      <c r="C187" s="1">
        <f t="shared" si="5"/>
        <v>-2345</v>
      </c>
      <c r="D187">
        <v>0</v>
      </c>
      <c r="E187">
        <v>0</v>
      </c>
      <c r="F187">
        <v>0</v>
      </c>
      <c r="G187">
        <v>0.3629</v>
      </c>
      <c r="H187">
        <v>42.4863</v>
      </c>
      <c r="I187">
        <v>4.3166000000000002</v>
      </c>
      <c r="J187">
        <v>38.532699999999998</v>
      </c>
      <c r="K187">
        <v>0</v>
      </c>
      <c r="L187">
        <v>0</v>
      </c>
    </row>
    <row r="188" spans="1:12" x14ac:dyDescent="0.35">
      <c r="A188" s="3" t="s">
        <v>203</v>
      </c>
      <c r="B188" s="1" t="str">
        <f t="shared" si="4"/>
        <v>Lago Paranoa</v>
      </c>
      <c r="C188" s="1">
        <f t="shared" si="5"/>
        <v>-2345</v>
      </c>
      <c r="D188">
        <v>0</v>
      </c>
      <c r="E188">
        <v>2302.4499999999998</v>
      </c>
      <c r="F188">
        <v>0.32869999999999999</v>
      </c>
      <c r="G188">
        <v>3.0076000000000001</v>
      </c>
      <c r="H188">
        <v>6.9122000000000003</v>
      </c>
      <c r="I188">
        <v>1.0779000000000001</v>
      </c>
      <c r="J188">
        <v>8.5131999999999994</v>
      </c>
      <c r="K188">
        <v>2302.4499999999998</v>
      </c>
      <c r="L188">
        <v>0</v>
      </c>
    </row>
    <row r="189" spans="1:12" x14ac:dyDescent="0.35">
      <c r="A189" s="3" t="s">
        <v>204</v>
      </c>
      <c r="B189" s="1" t="str">
        <f t="shared" si="4"/>
        <v>Corumba IV</v>
      </c>
      <c r="C189" s="1">
        <f t="shared" si="5"/>
        <v>-2344</v>
      </c>
      <c r="D189">
        <v>0</v>
      </c>
      <c r="E189">
        <v>0</v>
      </c>
      <c r="F189">
        <v>0</v>
      </c>
      <c r="G189">
        <v>0.3629</v>
      </c>
      <c r="H189">
        <v>33.098100000000002</v>
      </c>
      <c r="I189">
        <v>4.4560000000000004</v>
      </c>
      <c r="J189">
        <v>29.004999999999999</v>
      </c>
      <c r="K189">
        <v>0</v>
      </c>
      <c r="L189">
        <v>0</v>
      </c>
    </row>
    <row r="190" spans="1:12" x14ac:dyDescent="0.35">
      <c r="A190" s="3" t="s">
        <v>205</v>
      </c>
      <c r="B190" s="1" t="str">
        <f t="shared" si="4"/>
        <v>Lago Paranoa</v>
      </c>
      <c r="C190" s="1">
        <f t="shared" si="5"/>
        <v>-2344</v>
      </c>
      <c r="D190">
        <v>0</v>
      </c>
      <c r="E190">
        <v>2302.4499999999998</v>
      </c>
      <c r="F190">
        <v>0.32900000000000001</v>
      </c>
      <c r="G190">
        <v>2.9268000000000001</v>
      </c>
      <c r="H190">
        <v>6.0179999999999998</v>
      </c>
      <c r="I190">
        <v>1.2496</v>
      </c>
      <c r="J190">
        <v>7.3662000000000001</v>
      </c>
      <c r="K190">
        <v>2302.4499999999998</v>
      </c>
      <c r="L190">
        <v>0</v>
      </c>
    </row>
    <row r="191" spans="1:12" x14ac:dyDescent="0.35">
      <c r="A191" s="3" t="s">
        <v>206</v>
      </c>
      <c r="B191" s="1" t="str">
        <f t="shared" si="4"/>
        <v>Corumba IV</v>
      </c>
      <c r="C191" s="1">
        <f t="shared" si="5"/>
        <v>-2447</v>
      </c>
      <c r="D191">
        <v>0</v>
      </c>
      <c r="E191">
        <v>0</v>
      </c>
      <c r="F191">
        <v>0</v>
      </c>
      <c r="G191">
        <v>0.3629</v>
      </c>
      <c r="H191">
        <v>96.970200000000006</v>
      </c>
      <c r="I191">
        <v>4.4478</v>
      </c>
      <c r="J191">
        <v>92.885300000000001</v>
      </c>
      <c r="K191">
        <v>0</v>
      </c>
      <c r="L191">
        <v>0</v>
      </c>
    </row>
    <row r="192" spans="1:12" x14ac:dyDescent="0.35">
      <c r="A192" s="3" t="s">
        <v>207</v>
      </c>
      <c r="B192" s="1" t="str">
        <f t="shared" si="4"/>
        <v>Lago Paranoa</v>
      </c>
      <c r="C192" s="1">
        <f t="shared" si="5"/>
        <v>-2447</v>
      </c>
      <c r="D192">
        <v>0</v>
      </c>
      <c r="E192">
        <v>2302.4499999999998</v>
      </c>
      <c r="F192">
        <v>0.32929999999999998</v>
      </c>
      <c r="G192">
        <v>7.5837000000000003</v>
      </c>
      <c r="H192">
        <v>16.209199999999999</v>
      </c>
      <c r="I192">
        <v>1.0680000000000001</v>
      </c>
      <c r="J192">
        <v>22.395800000000001</v>
      </c>
      <c r="K192">
        <v>2302.4499999999998</v>
      </c>
      <c r="L192">
        <v>0</v>
      </c>
    </row>
    <row r="193" spans="1:12" x14ac:dyDescent="0.35">
      <c r="A193" s="3" t="s">
        <v>208</v>
      </c>
      <c r="B193" s="1" t="str">
        <f t="shared" si="4"/>
        <v>Corumba IV</v>
      </c>
      <c r="C193" s="1">
        <f t="shared" si="5"/>
        <v>-2446</v>
      </c>
      <c r="D193">
        <v>0</v>
      </c>
      <c r="E193">
        <v>0</v>
      </c>
      <c r="F193">
        <v>0</v>
      </c>
      <c r="G193">
        <v>0.3629</v>
      </c>
      <c r="H193">
        <v>104.131</v>
      </c>
      <c r="I193">
        <v>4.4478</v>
      </c>
      <c r="J193">
        <v>100.0461</v>
      </c>
      <c r="K193">
        <v>0</v>
      </c>
      <c r="L193">
        <v>0</v>
      </c>
    </row>
    <row r="194" spans="1:12" x14ac:dyDescent="0.35">
      <c r="A194" s="3" t="s">
        <v>209</v>
      </c>
      <c r="B194" s="1" t="str">
        <f t="shared" si="4"/>
        <v>Lago Paranoa</v>
      </c>
      <c r="C194" s="1">
        <f t="shared" si="5"/>
        <v>-2446</v>
      </c>
      <c r="D194">
        <v>0</v>
      </c>
      <c r="E194">
        <v>2302.4499999999998</v>
      </c>
      <c r="F194">
        <v>0.3296</v>
      </c>
      <c r="G194">
        <v>9.7119999999999997</v>
      </c>
      <c r="H194">
        <v>22.140899999999998</v>
      </c>
      <c r="I194">
        <v>1.0680000000000001</v>
      </c>
      <c r="J194">
        <v>30.455400000000001</v>
      </c>
      <c r="K194">
        <v>2302.4499999999998</v>
      </c>
      <c r="L194">
        <v>0</v>
      </c>
    </row>
    <row r="195" spans="1:12" x14ac:dyDescent="0.35">
      <c r="A195" s="3" t="s">
        <v>210</v>
      </c>
      <c r="B195" s="1" t="str">
        <f t="shared" ref="B195:B258" si="6">_xlfn.TEXTBEFORE(_xlfn.TEXTAFTER(A195,"["),"]")</f>
        <v>Corumba IV</v>
      </c>
      <c r="C195" s="1">
        <f t="shared" si="5"/>
        <v>-2445</v>
      </c>
      <c r="D195">
        <v>0</v>
      </c>
      <c r="E195">
        <v>0</v>
      </c>
      <c r="F195">
        <v>0</v>
      </c>
      <c r="G195">
        <v>0.3629</v>
      </c>
      <c r="H195">
        <v>102.7668</v>
      </c>
      <c r="I195">
        <v>4.4478</v>
      </c>
      <c r="J195">
        <v>98.681799999999996</v>
      </c>
      <c r="K195">
        <v>0</v>
      </c>
      <c r="L195">
        <v>0</v>
      </c>
    </row>
    <row r="196" spans="1:12" x14ac:dyDescent="0.35">
      <c r="A196" s="3" t="s">
        <v>211</v>
      </c>
      <c r="B196" s="1" t="str">
        <f t="shared" si="6"/>
        <v>Lago Paranoa</v>
      </c>
      <c r="C196" s="1">
        <f t="shared" ref="C196:C259" si="7">--_xlfn.TEXTBEFORE(_xlfn.TEXTAFTER(A196,"Week "),":")</f>
        <v>-2445</v>
      </c>
      <c r="D196">
        <v>0</v>
      </c>
      <c r="E196">
        <v>2302.4499999999998</v>
      </c>
      <c r="F196">
        <v>0.32990000000000003</v>
      </c>
      <c r="G196">
        <v>6.7408999999999999</v>
      </c>
      <c r="H196">
        <v>15.6637</v>
      </c>
      <c r="I196">
        <v>1.0680000000000001</v>
      </c>
      <c r="J196">
        <v>21.006799999999998</v>
      </c>
      <c r="K196">
        <v>2302.4499999999998</v>
      </c>
      <c r="L196">
        <v>0</v>
      </c>
    </row>
    <row r="197" spans="1:12" x14ac:dyDescent="0.35">
      <c r="A197" s="3" t="s">
        <v>212</v>
      </c>
      <c r="B197" s="1" t="str">
        <f t="shared" si="6"/>
        <v>Corumba IV</v>
      </c>
      <c r="C197" s="1">
        <f t="shared" si="7"/>
        <v>-2444</v>
      </c>
      <c r="D197">
        <v>0</v>
      </c>
      <c r="E197">
        <v>0</v>
      </c>
      <c r="F197">
        <v>0</v>
      </c>
      <c r="G197">
        <v>0.3629</v>
      </c>
      <c r="H197">
        <v>81.507999999999996</v>
      </c>
      <c r="I197">
        <v>4.4995000000000003</v>
      </c>
      <c r="J197">
        <v>77.371499999999997</v>
      </c>
      <c r="K197">
        <v>0</v>
      </c>
      <c r="L197">
        <v>0</v>
      </c>
    </row>
    <row r="198" spans="1:12" x14ac:dyDescent="0.35">
      <c r="A198" s="3" t="s">
        <v>213</v>
      </c>
      <c r="B198" s="1" t="str">
        <f t="shared" si="6"/>
        <v>Lago Paranoa</v>
      </c>
      <c r="C198" s="1">
        <f t="shared" si="7"/>
        <v>-2444</v>
      </c>
      <c r="D198">
        <v>0</v>
      </c>
      <c r="E198">
        <v>2302.4499999999998</v>
      </c>
      <c r="F198">
        <v>0.36990000000000001</v>
      </c>
      <c r="G198">
        <v>5.1776</v>
      </c>
      <c r="H198">
        <v>10.1313</v>
      </c>
      <c r="I198">
        <v>1.3028999999999999</v>
      </c>
      <c r="J198">
        <v>13.635999999999999</v>
      </c>
      <c r="K198">
        <v>2302.4499999999998</v>
      </c>
      <c r="L198">
        <v>0</v>
      </c>
    </row>
    <row r="199" spans="1:12" x14ac:dyDescent="0.35">
      <c r="A199" s="3" t="s">
        <v>214</v>
      </c>
      <c r="B199" s="1" t="str">
        <f t="shared" si="6"/>
        <v>Corumba IV</v>
      </c>
      <c r="C199" s="1">
        <f t="shared" si="7"/>
        <v>-2443</v>
      </c>
      <c r="D199">
        <v>0</v>
      </c>
      <c r="E199">
        <v>0</v>
      </c>
      <c r="F199">
        <v>0</v>
      </c>
      <c r="G199">
        <v>0.3629</v>
      </c>
      <c r="H199">
        <v>89.371300000000005</v>
      </c>
      <c r="I199">
        <v>4.4995000000000003</v>
      </c>
      <c r="J199">
        <v>85.234700000000004</v>
      </c>
      <c r="K199">
        <v>0</v>
      </c>
      <c r="L199">
        <v>0</v>
      </c>
    </row>
    <row r="200" spans="1:12" x14ac:dyDescent="0.35">
      <c r="A200" s="3" t="s">
        <v>215</v>
      </c>
      <c r="B200" s="1" t="str">
        <f t="shared" si="6"/>
        <v>Lago Paranoa</v>
      </c>
      <c r="C200" s="1">
        <f t="shared" si="7"/>
        <v>-2443</v>
      </c>
      <c r="D200">
        <v>0</v>
      </c>
      <c r="E200">
        <v>2302.4499999999998</v>
      </c>
      <c r="F200">
        <v>0.35360000000000003</v>
      </c>
      <c r="G200">
        <v>4.5362</v>
      </c>
      <c r="H200">
        <v>10.479699999999999</v>
      </c>
      <c r="I200">
        <v>1.3028999999999999</v>
      </c>
      <c r="J200">
        <v>13.359299999999999</v>
      </c>
      <c r="K200">
        <v>2302.4499999999998</v>
      </c>
      <c r="L200">
        <v>0</v>
      </c>
    </row>
    <row r="201" spans="1:12" x14ac:dyDescent="0.35">
      <c r="A201" s="3" t="s">
        <v>216</v>
      </c>
      <c r="B201" s="1" t="str">
        <f t="shared" si="6"/>
        <v>Corumba IV</v>
      </c>
      <c r="C201" s="1">
        <f t="shared" si="7"/>
        <v>-2442</v>
      </c>
      <c r="D201">
        <v>0</v>
      </c>
      <c r="E201">
        <v>0</v>
      </c>
      <c r="F201">
        <v>0</v>
      </c>
      <c r="G201">
        <v>0.3629</v>
      </c>
      <c r="H201">
        <v>103.02249999999999</v>
      </c>
      <c r="I201">
        <v>4.4995000000000003</v>
      </c>
      <c r="J201">
        <v>98.885900000000007</v>
      </c>
      <c r="K201">
        <v>0</v>
      </c>
      <c r="L201">
        <v>0</v>
      </c>
    </row>
    <row r="202" spans="1:12" x14ac:dyDescent="0.35">
      <c r="A202" s="3" t="s">
        <v>217</v>
      </c>
      <c r="B202" s="1" t="str">
        <f t="shared" si="6"/>
        <v>Lago Paranoa</v>
      </c>
      <c r="C202" s="1">
        <f t="shared" si="7"/>
        <v>-2442</v>
      </c>
      <c r="D202">
        <v>0</v>
      </c>
      <c r="E202">
        <v>2302.4499999999998</v>
      </c>
      <c r="F202">
        <v>0.35389999999999999</v>
      </c>
      <c r="G202">
        <v>4.3274999999999997</v>
      </c>
      <c r="H202">
        <v>10.7349</v>
      </c>
      <c r="I202">
        <v>1.3028999999999999</v>
      </c>
      <c r="J202">
        <v>13.4056</v>
      </c>
      <c r="K202">
        <v>2302.4499999999998</v>
      </c>
      <c r="L202">
        <v>0</v>
      </c>
    </row>
    <row r="203" spans="1:12" x14ac:dyDescent="0.35">
      <c r="A203" s="3" t="s">
        <v>218</v>
      </c>
      <c r="B203" s="1" t="str">
        <f t="shared" si="6"/>
        <v>Corumba IV</v>
      </c>
      <c r="C203" s="1">
        <f t="shared" si="7"/>
        <v>-2441</v>
      </c>
      <c r="D203">
        <v>0</v>
      </c>
      <c r="E203">
        <v>0</v>
      </c>
      <c r="F203">
        <v>0</v>
      </c>
      <c r="G203">
        <v>0.3629</v>
      </c>
      <c r="H203">
        <v>92.717600000000004</v>
      </c>
      <c r="I203">
        <v>4.0724</v>
      </c>
      <c r="J203">
        <v>89.008099999999999</v>
      </c>
      <c r="K203">
        <v>0</v>
      </c>
      <c r="L203">
        <v>0</v>
      </c>
    </row>
    <row r="204" spans="1:12" x14ac:dyDescent="0.35">
      <c r="A204" s="3" t="s">
        <v>219</v>
      </c>
      <c r="B204" s="1" t="str">
        <f t="shared" si="6"/>
        <v>Lago Paranoa</v>
      </c>
      <c r="C204" s="1">
        <f t="shared" si="7"/>
        <v>-2441</v>
      </c>
      <c r="D204">
        <v>0</v>
      </c>
      <c r="E204">
        <v>2302.4499999999998</v>
      </c>
      <c r="F204">
        <v>0.3543</v>
      </c>
      <c r="G204">
        <v>4.5217000000000001</v>
      </c>
      <c r="H204">
        <v>10.767200000000001</v>
      </c>
      <c r="I204">
        <v>1.2154</v>
      </c>
      <c r="J204">
        <v>13.719200000000001</v>
      </c>
      <c r="K204">
        <v>2302.4499999999998</v>
      </c>
      <c r="L204">
        <v>0</v>
      </c>
    </row>
    <row r="205" spans="1:12" x14ac:dyDescent="0.35">
      <c r="A205" s="3" t="s">
        <v>220</v>
      </c>
      <c r="B205" s="1" t="str">
        <f t="shared" si="6"/>
        <v>Corumba IV</v>
      </c>
      <c r="C205" s="1">
        <f t="shared" si="7"/>
        <v>-2440</v>
      </c>
      <c r="D205">
        <v>0</v>
      </c>
      <c r="E205">
        <v>0</v>
      </c>
      <c r="F205">
        <v>0</v>
      </c>
      <c r="G205">
        <v>0.3629</v>
      </c>
      <c r="H205">
        <v>90.863399999999999</v>
      </c>
      <c r="I205">
        <v>3.0911</v>
      </c>
      <c r="J205">
        <v>88.135199999999998</v>
      </c>
      <c r="K205">
        <v>0</v>
      </c>
      <c r="L205">
        <v>0</v>
      </c>
    </row>
    <row r="206" spans="1:12" x14ac:dyDescent="0.35">
      <c r="A206" s="3" t="s">
        <v>221</v>
      </c>
      <c r="B206" s="1" t="str">
        <f t="shared" si="6"/>
        <v>Lago Paranoa</v>
      </c>
      <c r="C206" s="1">
        <f t="shared" si="7"/>
        <v>-2440</v>
      </c>
      <c r="D206">
        <v>0</v>
      </c>
      <c r="E206">
        <v>2302.4499999999998</v>
      </c>
      <c r="F206">
        <v>0.4234</v>
      </c>
      <c r="G206">
        <v>6.8871000000000002</v>
      </c>
      <c r="H206">
        <v>12.461499999999999</v>
      </c>
      <c r="I206">
        <v>1.0004</v>
      </c>
      <c r="J206">
        <v>17.924800000000001</v>
      </c>
      <c r="K206">
        <v>2302.4499999999998</v>
      </c>
      <c r="L206">
        <v>0</v>
      </c>
    </row>
    <row r="207" spans="1:12" x14ac:dyDescent="0.35">
      <c r="A207" s="3" t="s">
        <v>222</v>
      </c>
      <c r="B207" s="1" t="str">
        <f t="shared" si="6"/>
        <v>Corumba IV</v>
      </c>
      <c r="C207" s="1">
        <f t="shared" si="7"/>
        <v>-2439</v>
      </c>
      <c r="D207">
        <v>0</v>
      </c>
      <c r="E207">
        <v>0</v>
      </c>
      <c r="F207">
        <v>0</v>
      </c>
      <c r="G207">
        <v>0.3629</v>
      </c>
      <c r="H207">
        <v>93.045000000000002</v>
      </c>
      <c r="I207">
        <v>2.9264000000000001</v>
      </c>
      <c r="J207">
        <v>90.4816</v>
      </c>
      <c r="K207">
        <v>0</v>
      </c>
      <c r="L207">
        <v>0</v>
      </c>
    </row>
    <row r="208" spans="1:12" x14ac:dyDescent="0.35">
      <c r="A208" s="3" t="s">
        <v>223</v>
      </c>
      <c r="B208" s="1" t="str">
        <f t="shared" si="6"/>
        <v>Lago Paranoa</v>
      </c>
      <c r="C208" s="1">
        <f t="shared" si="7"/>
        <v>-2439</v>
      </c>
      <c r="D208">
        <v>0</v>
      </c>
      <c r="E208">
        <v>2302.4499999999998</v>
      </c>
      <c r="F208">
        <v>0.4234</v>
      </c>
      <c r="G208">
        <v>5.1654999999999998</v>
      </c>
      <c r="H208">
        <v>10.0022</v>
      </c>
      <c r="I208">
        <v>0.96099999999999997</v>
      </c>
      <c r="J208">
        <v>13.783300000000001</v>
      </c>
      <c r="K208">
        <v>2302.4499999999998</v>
      </c>
      <c r="L208">
        <v>0</v>
      </c>
    </row>
    <row r="209" spans="1:12" x14ac:dyDescent="0.35">
      <c r="A209" s="3" t="s">
        <v>224</v>
      </c>
      <c r="B209" s="1" t="str">
        <f t="shared" si="6"/>
        <v>Corumba IV</v>
      </c>
      <c r="C209" s="1">
        <f t="shared" si="7"/>
        <v>-2438</v>
      </c>
      <c r="D209">
        <v>0</v>
      </c>
      <c r="E209">
        <v>0</v>
      </c>
      <c r="F209">
        <v>0</v>
      </c>
      <c r="G209">
        <v>0.3629</v>
      </c>
      <c r="H209">
        <v>91.635000000000005</v>
      </c>
      <c r="I209">
        <v>2.9264000000000001</v>
      </c>
      <c r="J209">
        <v>89.0715</v>
      </c>
      <c r="K209">
        <v>0</v>
      </c>
      <c r="L209">
        <v>0</v>
      </c>
    </row>
    <row r="210" spans="1:12" x14ac:dyDescent="0.35">
      <c r="A210" s="3" t="s">
        <v>225</v>
      </c>
      <c r="B210" s="1" t="str">
        <f t="shared" si="6"/>
        <v>Lago Paranoa</v>
      </c>
      <c r="C210" s="1">
        <f t="shared" si="7"/>
        <v>-2438</v>
      </c>
      <c r="D210">
        <v>0</v>
      </c>
      <c r="E210">
        <v>2302.4499999999998</v>
      </c>
      <c r="F210">
        <v>0.4234</v>
      </c>
      <c r="G210">
        <v>6.1147999999999998</v>
      </c>
      <c r="H210">
        <v>10.7027</v>
      </c>
      <c r="I210">
        <v>0.96099999999999997</v>
      </c>
      <c r="J210">
        <v>15.4331</v>
      </c>
      <c r="K210">
        <v>2302.4499999999998</v>
      </c>
      <c r="L210">
        <v>0</v>
      </c>
    </row>
    <row r="211" spans="1:12" x14ac:dyDescent="0.35">
      <c r="A211" s="3" t="s">
        <v>226</v>
      </c>
      <c r="B211" s="1" t="str">
        <f t="shared" si="6"/>
        <v>Corumba IV</v>
      </c>
      <c r="C211" s="1">
        <f t="shared" si="7"/>
        <v>-2437</v>
      </c>
      <c r="D211">
        <v>0</v>
      </c>
      <c r="E211">
        <v>0</v>
      </c>
      <c r="F211">
        <v>0</v>
      </c>
      <c r="G211">
        <v>0.3629</v>
      </c>
      <c r="H211">
        <v>98.876999999999995</v>
      </c>
      <c r="I211">
        <v>2.9264000000000001</v>
      </c>
      <c r="J211">
        <v>96.313599999999994</v>
      </c>
      <c r="K211">
        <v>0</v>
      </c>
      <c r="L211">
        <v>0</v>
      </c>
    </row>
    <row r="212" spans="1:12" x14ac:dyDescent="0.35">
      <c r="A212" s="3" t="s">
        <v>227</v>
      </c>
      <c r="B212" s="1" t="str">
        <f t="shared" si="6"/>
        <v>Lago Paranoa</v>
      </c>
      <c r="C212" s="1">
        <f t="shared" si="7"/>
        <v>-2437</v>
      </c>
      <c r="D212">
        <v>0</v>
      </c>
      <c r="E212">
        <v>2302.4499999999998</v>
      </c>
      <c r="F212">
        <v>0.4234</v>
      </c>
      <c r="G212">
        <v>3.8315999999999999</v>
      </c>
      <c r="H212">
        <v>9.4009</v>
      </c>
      <c r="I212">
        <v>0.96099999999999997</v>
      </c>
      <c r="J212">
        <v>11.8482</v>
      </c>
      <c r="K212">
        <v>2302.4499999999998</v>
      </c>
      <c r="L212">
        <v>0</v>
      </c>
    </row>
    <row r="213" spans="1:12" x14ac:dyDescent="0.35">
      <c r="A213" s="3" t="s">
        <v>228</v>
      </c>
      <c r="B213" s="1" t="str">
        <f t="shared" si="6"/>
        <v>Corumba IV</v>
      </c>
      <c r="C213" s="1">
        <f t="shared" si="7"/>
        <v>-2436</v>
      </c>
      <c r="D213">
        <v>0</v>
      </c>
      <c r="E213">
        <v>0</v>
      </c>
      <c r="F213">
        <v>0</v>
      </c>
      <c r="G213">
        <v>0.3629</v>
      </c>
      <c r="H213">
        <v>94.576899999999995</v>
      </c>
      <c r="I213">
        <v>3.0880999999999998</v>
      </c>
      <c r="J213">
        <v>91.851699999999994</v>
      </c>
      <c r="K213">
        <v>0</v>
      </c>
      <c r="L213">
        <v>0</v>
      </c>
    </row>
    <row r="214" spans="1:12" x14ac:dyDescent="0.35">
      <c r="A214" s="3" t="s">
        <v>229</v>
      </c>
      <c r="B214" s="1" t="str">
        <f t="shared" si="6"/>
        <v>Lago Paranoa</v>
      </c>
      <c r="C214" s="1">
        <f t="shared" si="7"/>
        <v>-2436</v>
      </c>
      <c r="D214">
        <v>0</v>
      </c>
      <c r="E214">
        <v>2302.4499999999998</v>
      </c>
      <c r="F214">
        <v>0.3054</v>
      </c>
      <c r="G214">
        <v>4.6226000000000003</v>
      </c>
      <c r="H214">
        <v>11.0175</v>
      </c>
      <c r="I214">
        <v>0.95650000000000002</v>
      </c>
      <c r="J214">
        <v>14.3781</v>
      </c>
      <c r="K214">
        <v>2302.4499999999998</v>
      </c>
      <c r="L214">
        <v>0</v>
      </c>
    </row>
    <row r="215" spans="1:12" x14ac:dyDescent="0.35">
      <c r="A215" s="3" t="s">
        <v>230</v>
      </c>
      <c r="B215" s="1" t="str">
        <f t="shared" si="6"/>
        <v>Corumba IV</v>
      </c>
      <c r="C215" s="1">
        <f t="shared" si="7"/>
        <v>-2435</v>
      </c>
      <c r="D215">
        <v>0</v>
      </c>
      <c r="E215">
        <v>0</v>
      </c>
      <c r="F215">
        <v>0</v>
      </c>
      <c r="G215">
        <v>0.3629</v>
      </c>
      <c r="H215">
        <v>104.2684</v>
      </c>
      <c r="I215">
        <v>2.7858999999999998</v>
      </c>
      <c r="J215">
        <v>101.8454</v>
      </c>
      <c r="K215">
        <v>0</v>
      </c>
      <c r="L215">
        <v>0</v>
      </c>
    </row>
    <row r="216" spans="1:12" x14ac:dyDescent="0.35">
      <c r="A216" s="3" t="s">
        <v>231</v>
      </c>
      <c r="B216" s="1" t="str">
        <f t="shared" si="6"/>
        <v>Lago Paranoa</v>
      </c>
      <c r="C216" s="1">
        <f t="shared" si="7"/>
        <v>-2435</v>
      </c>
      <c r="D216">
        <v>0</v>
      </c>
      <c r="E216">
        <v>2302.4499999999998</v>
      </c>
      <c r="F216">
        <v>0.30570000000000003</v>
      </c>
      <c r="G216">
        <v>5.9398</v>
      </c>
      <c r="H216">
        <v>12.3368</v>
      </c>
      <c r="I216">
        <v>0.83989999999999998</v>
      </c>
      <c r="J216">
        <v>17.131</v>
      </c>
      <c r="K216">
        <v>2302.4499999999998</v>
      </c>
      <c r="L216">
        <v>0</v>
      </c>
    </row>
    <row r="217" spans="1:12" x14ac:dyDescent="0.35">
      <c r="A217" s="3" t="s">
        <v>232</v>
      </c>
      <c r="B217" s="1" t="str">
        <f t="shared" si="6"/>
        <v>Corumba IV</v>
      </c>
      <c r="C217" s="1">
        <f t="shared" si="7"/>
        <v>-2434</v>
      </c>
      <c r="D217">
        <v>0</v>
      </c>
      <c r="E217">
        <v>0</v>
      </c>
      <c r="F217">
        <v>0</v>
      </c>
      <c r="G217">
        <v>0.3629</v>
      </c>
      <c r="H217">
        <v>172.9512</v>
      </c>
      <c r="I217">
        <v>2.7858999999999998</v>
      </c>
      <c r="J217">
        <v>170.5282</v>
      </c>
      <c r="K217">
        <v>0</v>
      </c>
      <c r="L217">
        <v>0</v>
      </c>
    </row>
    <row r="218" spans="1:12" x14ac:dyDescent="0.35">
      <c r="A218" s="3" t="s">
        <v>233</v>
      </c>
      <c r="B218" s="1" t="str">
        <f t="shared" si="6"/>
        <v>Lago Paranoa</v>
      </c>
      <c r="C218" s="1">
        <f t="shared" si="7"/>
        <v>-2434</v>
      </c>
      <c r="D218">
        <v>0</v>
      </c>
      <c r="E218">
        <v>2302.4499999999998</v>
      </c>
      <c r="F218">
        <v>0.30599999999999999</v>
      </c>
      <c r="G218">
        <v>8.5531000000000006</v>
      </c>
      <c r="H218">
        <v>17.655100000000001</v>
      </c>
      <c r="I218">
        <v>0.83989999999999998</v>
      </c>
      <c r="J218">
        <v>25.062200000000001</v>
      </c>
      <c r="K218">
        <v>2302.4499999999998</v>
      </c>
      <c r="L218">
        <v>0</v>
      </c>
    </row>
    <row r="219" spans="1:12" x14ac:dyDescent="0.35">
      <c r="A219" s="3" t="s">
        <v>234</v>
      </c>
      <c r="B219" s="1" t="str">
        <f t="shared" si="6"/>
        <v>Corumba IV</v>
      </c>
      <c r="C219" s="1">
        <f t="shared" si="7"/>
        <v>-2433</v>
      </c>
      <c r="D219">
        <v>0</v>
      </c>
      <c r="E219">
        <v>0</v>
      </c>
      <c r="F219">
        <v>0</v>
      </c>
      <c r="G219">
        <v>0.3629</v>
      </c>
      <c r="H219">
        <v>201.2636</v>
      </c>
      <c r="I219">
        <v>2.7858999999999998</v>
      </c>
      <c r="J219">
        <v>198.84059999999999</v>
      </c>
      <c r="K219">
        <v>0</v>
      </c>
      <c r="L219">
        <v>0</v>
      </c>
    </row>
    <row r="220" spans="1:12" x14ac:dyDescent="0.35">
      <c r="A220" s="3" t="s">
        <v>235</v>
      </c>
      <c r="B220" s="1" t="str">
        <f t="shared" si="6"/>
        <v>Lago Paranoa</v>
      </c>
      <c r="C220" s="1">
        <f t="shared" si="7"/>
        <v>-2433</v>
      </c>
      <c r="D220">
        <v>0</v>
      </c>
      <c r="E220">
        <v>2302.4499999999998</v>
      </c>
      <c r="F220">
        <v>0.30630000000000002</v>
      </c>
      <c r="G220">
        <v>8.3130000000000006</v>
      </c>
      <c r="H220">
        <v>22.033200000000001</v>
      </c>
      <c r="I220">
        <v>0.83989999999999998</v>
      </c>
      <c r="J220">
        <v>29.1999</v>
      </c>
      <c r="K220">
        <v>2302.4499999999998</v>
      </c>
      <c r="L220">
        <v>0</v>
      </c>
    </row>
    <row r="221" spans="1:12" x14ac:dyDescent="0.35">
      <c r="A221" s="3" t="s">
        <v>236</v>
      </c>
      <c r="B221" s="1" t="str">
        <f t="shared" si="6"/>
        <v>Corumba IV</v>
      </c>
      <c r="C221" s="1">
        <f t="shared" si="7"/>
        <v>-2432</v>
      </c>
      <c r="D221">
        <v>0</v>
      </c>
      <c r="E221">
        <v>0</v>
      </c>
      <c r="F221">
        <v>0</v>
      </c>
      <c r="G221">
        <v>0.3629</v>
      </c>
      <c r="H221">
        <v>262.09269999999998</v>
      </c>
      <c r="I221">
        <v>2.3559000000000001</v>
      </c>
      <c r="J221">
        <v>260.09969999999998</v>
      </c>
      <c r="K221">
        <v>0</v>
      </c>
      <c r="L221">
        <v>0</v>
      </c>
    </row>
    <row r="222" spans="1:12" x14ac:dyDescent="0.35">
      <c r="A222" s="3" t="s">
        <v>237</v>
      </c>
      <c r="B222" s="1" t="str">
        <f t="shared" si="6"/>
        <v>Lago Paranoa</v>
      </c>
      <c r="C222" s="1">
        <f t="shared" si="7"/>
        <v>-2432</v>
      </c>
      <c r="D222">
        <v>0</v>
      </c>
      <c r="E222">
        <v>2302.4499999999998</v>
      </c>
      <c r="F222">
        <v>0.30669999999999997</v>
      </c>
      <c r="G222">
        <v>8.1972000000000005</v>
      </c>
      <c r="H222">
        <v>23.909700000000001</v>
      </c>
      <c r="I222">
        <v>0.74329999999999996</v>
      </c>
      <c r="J222">
        <v>31.056999999999999</v>
      </c>
      <c r="K222">
        <v>2302.4499999999998</v>
      </c>
      <c r="L222">
        <v>0</v>
      </c>
    </row>
    <row r="223" spans="1:12" x14ac:dyDescent="0.35">
      <c r="A223" s="3" t="s">
        <v>238</v>
      </c>
      <c r="B223" s="1" t="str">
        <f t="shared" si="6"/>
        <v>Corumba IV</v>
      </c>
      <c r="C223" s="1">
        <f t="shared" si="7"/>
        <v>-2431</v>
      </c>
      <c r="D223">
        <v>0</v>
      </c>
      <c r="E223">
        <v>0</v>
      </c>
      <c r="F223">
        <v>0</v>
      </c>
      <c r="G223">
        <v>0.3629</v>
      </c>
      <c r="H223">
        <v>183.3468</v>
      </c>
      <c r="I223">
        <v>2.5015999999999998</v>
      </c>
      <c r="J223">
        <v>181.2081</v>
      </c>
      <c r="K223">
        <v>0</v>
      </c>
      <c r="L223">
        <v>0</v>
      </c>
    </row>
    <row r="224" spans="1:12" x14ac:dyDescent="0.35">
      <c r="A224" s="3" t="s">
        <v>239</v>
      </c>
      <c r="B224" s="1" t="str">
        <f t="shared" si="6"/>
        <v>Lago Paranoa</v>
      </c>
      <c r="C224" s="1">
        <f t="shared" si="7"/>
        <v>-2431</v>
      </c>
      <c r="D224">
        <v>0</v>
      </c>
      <c r="E224">
        <v>2302.4499999999998</v>
      </c>
      <c r="F224">
        <v>0.35539999999999999</v>
      </c>
      <c r="G224">
        <v>7.4288999999999996</v>
      </c>
      <c r="H224">
        <v>14.837</v>
      </c>
      <c r="I224">
        <v>0.67710000000000004</v>
      </c>
      <c r="J224">
        <v>21.2333</v>
      </c>
      <c r="K224">
        <v>2302.4499999999998</v>
      </c>
      <c r="L224">
        <v>0</v>
      </c>
    </row>
    <row r="225" spans="1:12" x14ac:dyDescent="0.35">
      <c r="A225" s="3" t="s">
        <v>240</v>
      </c>
      <c r="B225" s="1" t="str">
        <f t="shared" si="6"/>
        <v>Corumba IV</v>
      </c>
      <c r="C225" s="1">
        <f t="shared" si="7"/>
        <v>-2430</v>
      </c>
      <c r="D225">
        <v>0</v>
      </c>
      <c r="E225">
        <v>0</v>
      </c>
      <c r="F225">
        <v>0</v>
      </c>
      <c r="G225">
        <v>0.3629</v>
      </c>
      <c r="H225">
        <v>188.5257</v>
      </c>
      <c r="I225">
        <v>2.5015999999999998</v>
      </c>
      <c r="J225">
        <v>186.3869</v>
      </c>
      <c r="K225">
        <v>0</v>
      </c>
      <c r="L225">
        <v>0</v>
      </c>
    </row>
    <row r="226" spans="1:12" x14ac:dyDescent="0.35">
      <c r="A226" s="3" t="s">
        <v>241</v>
      </c>
      <c r="B226" s="1" t="str">
        <f t="shared" si="6"/>
        <v>Lago Paranoa</v>
      </c>
      <c r="C226" s="1">
        <f t="shared" si="7"/>
        <v>-2430</v>
      </c>
      <c r="D226">
        <v>0</v>
      </c>
      <c r="E226">
        <v>2302.4499999999998</v>
      </c>
      <c r="F226">
        <v>0.35570000000000002</v>
      </c>
      <c r="G226">
        <v>7.5373000000000001</v>
      </c>
      <c r="H226">
        <v>15.989000000000001</v>
      </c>
      <c r="I226">
        <v>0.67710000000000004</v>
      </c>
      <c r="J226">
        <v>22.493500000000001</v>
      </c>
      <c r="K226">
        <v>2302.4499999999998</v>
      </c>
      <c r="L226">
        <v>0</v>
      </c>
    </row>
    <row r="227" spans="1:12" x14ac:dyDescent="0.35">
      <c r="A227" s="3" t="s">
        <v>242</v>
      </c>
      <c r="B227" s="1" t="str">
        <f t="shared" si="6"/>
        <v>Corumba IV</v>
      </c>
      <c r="C227" s="1">
        <f t="shared" si="7"/>
        <v>-2429</v>
      </c>
      <c r="D227">
        <v>0</v>
      </c>
      <c r="E227">
        <v>0</v>
      </c>
      <c r="F227">
        <v>0</v>
      </c>
      <c r="G227">
        <v>0.3629</v>
      </c>
      <c r="H227">
        <v>158.17850000000001</v>
      </c>
      <c r="I227">
        <v>2.5015999999999998</v>
      </c>
      <c r="J227">
        <v>156.03980000000001</v>
      </c>
      <c r="K227">
        <v>0</v>
      </c>
      <c r="L227">
        <v>0</v>
      </c>
    </row>
    <row r="228" spans="1:12" x14ac:dyDescent="0.35">
      <c r="A228" s="3" t="s">
        <v>243</v>
      </c>
      <c r="B228" s="1" t="str">
        <f t="shared" si="6"/>
        <v>Lago Paranoa</v>
      </c>
      <c r="C228" s="1">
        <f t="shared" si="7"/>
        <v>-2429</v>
      </c>
      <c r="D228">
        <v>0</v>
      </c>
      <c r="E228">
        <v>2302.4499999999998</v>
      </c>
      <c r="F228">
        <v>0.35610000000000003</v>
      </c>
      <c r="G228">
        <v>7.4302000000000001</v>
      </c>
      <c r="H228">
        <v>15.411</v>
      </c>
      <c r="I228">
        <v>0.67710000000000004</v>
      </c>
      <c r="J228">
        <v>21.808</v>
      </c>
      <c r="K228">
        <v>2302.4499999999998</v>
      </c>
      <c r="L228">
        <v>0</v>
      </c>
    </row>
    <row r="229" spans="1:12" x14ac:dyDescent="0.35">
      <c r="A229" s="3" t="s">
        <v>244</v>
      </c>
      <c r="B229" s="1" t="str">
        <f t="shared" si="6"/>
        <v>Corumba IV</v>
      </c>
      <c r="C229" s="1">
        <f t="shared" si="7"/>
        <v>-2428</v>
      </c>
      <c r="D229">
        <v>0</v>
      </c>
      <c r="E229">
        <v>0</v>
      </c>
      <c r="F229">
        <v>0</v>
      </c>
      <c r="G229">
        <v>0.3629</v>
      </c>
      <c r="H229">
        <v>126.1544</v>
      </c>
      <c r="I229">
        <v>2.8506</v>
      </c>
      <c r="J229">
        <v>123.6666</v>
      </c>
      <c r="K229">
        <v>0</v>
      </c>
      <c r="L229">
        <v>0</v>
      </c>
    </row>
    <row r="230" spans="1:12" x14ac:dyDescent="0.35">
      <c r="A230" s="3" t="s">
        <v>245</v>
      </c>
      <c r="B230" s="1" t="str">
        <f t="shared" si="6"/>
        <v>Lago Paranoa</v>
      </c>
      <c r="C230" s="1">
        <f t="shared" si="7"/>
        <v>-2428</v>
      </c>
      <c r="D230">
        <v>0</v>
      </c>
      <c r="E230">
        <v>2302.4499999999998</v>
      </c>
      <c r="F230">
        <v>0.35639999999999999</v>
      </c>
      <c r="G230">
        <v>6.4672000000000001</v>
      </c>
      <c r="H230">
        <v>12.9253</v>
      </c>
      <c r="I230">
        <v>0.74580000000000002</v>
      </c>
      <c r="J230">
        <v>18.290299999999998</v>
      </c>
      <c r="K230">
        <v>2302.4499999999998</v>
      </c>
      <c r="L230">
        <v>0</v>
      </c>
    </row>
    <row r="231" spans="1:12" x14ac:dyDescent="0.35">
      <c r="A231" s="3" t="s">
        <v>246</v>
      </c>
      <c r="B231" s="1" t="str">
        <f t="shared" si="6"/>
        <v>Corumba IV</v>
      </c>
      <c r="C231" s="1">
        <f t="shared" si="7"/>
        <v>-2427</v>
      </c>
      <c r="D231">
        <v>0</v>
      </c>
      <c r="E231">
        <v>0</v>
      </c>
      <c r="F231">
        <v>0</v>
      </c>
      <c r="G231">
        <v>0.3629</v>
      </c>
      <c r="H231">
        <v>116.18380000000001</v>
      </c>
      <c r="I231">
        <v>4.0179999999999998</v>
      </c>
      <c r="J231">
        <v>112.5287</v>
      </c>
      <c r="K231">
        <v>0</v>
      </c>
      <c r="L231">
        <v>0</v>
      </c>
    </row>
    <row r="232" spans="1:12" x14ac:dyDescent="0.35">
      <c r="A232" s="3" t="s">
        <v>247</v>
      </c>
      <c r="B232" s="1" t="str">
        <f t="shared" si="6"/>
        <v>Lago Paranoa</v>
      </c>
      <c r="C232" s="1">
        <f t="shared" si="7"/>
        <v>-2427</v>
      </c>
      <c r="D232">
        <v>0</v>
      </c>
      <c r="E232">
        <v>2302.4499999999998</v>
      </c>
      <c r="F232">
        <v>0.33789999999999998</v>
      </c>
      <c r="G232">
        <v>5.9459</v>
      </c>
      <c r="H232">
        <v>11.977</v>
      </c>
      <c r="I232">
        <v>0.93179999999999996</v>
      </c>
      <c r="J232">
        <v>16.653300000000002</v>
      </c>
      <c r="K232">
        <v>2302.4499999999998</v>
      </c>
      <c r="L232">
        <v>0</v>
      </c>
    </row>
    <row r="233" spans="1:12" x14ac:dyDescent="0.35">
      <c r="A233" s="3" t="s">
        <v>248</v>
      </c>
      <c r="B233" s="1" t="str">
        <f t="shared" si="6"/>
        <v>Corumba IV</v>
      </c>
      <c r="C233" s="1">
        <f t="shared" si="7"/>
        <v>-2426</v>
      </c>
      <c r="D233">
        <v>0</v>
      </c>
      <c r="E233">
        <v>0</v>
      </c>
      <c r="F233">
        <v>0</v>
      </c>
      <c r="G233">
        <v>0.3629</v>
      </c>
      <c r="H233">
        <v>107.3866</v>
      </c>
      <c r="I233">
        <v>4.3639999999999999</v>
      </c>
      <c r="J233">
        <v>103.3854</v>
      </c>
      <c r="K233">
        <v>0</v>
      </c>
      <c r="L233">
        <v>0</v>
      </c>
    </row>
    <row r="234" spans="1:12" x14ac:dyDescent="0.35">
      <c r="A234" s="3" t="s">
        <v>249</v>
      </c>
      <c r="B234" s="1" t="str">
        <f t="shared" si="6"/>
        <v>Lago Paranoa</v>
      </c>
      <c r="C234" s="1">
        <f t="shared" si="7"/>
        <v>-2426</v>
      </c>
      <c r="D234">
        <v>0</v>
      </c>
      <c r="E234">
        <v>2302.4499999999998</v>
      </c>
      <c r="F234">
        <v>0.3382</v>
      </c>
      <c r="G234">
        <v>4.5434999999999999</v>
      </c>
      <c r="H234">
        <v>11.4276</v>
      </c>
      <c r="I234">
        <v>0.95240000000000002</v>
      </c>
      <c r="J234">
        <v>14.6805</v>
      </c>
      <c r="K234">
        <v>2302.4499999999998</v>
      </c>
      <c r="L234">
        <v>0</v>
      </c>
    </row>
    <row r="235" spans="1:12" x14ac:dyDescent="0.35">
      <c r="A235" s="3" t="s">
        <v>250</v>
      </c>
      <c r="B235" s="1" t="str">
        <f t="shared" si="6"/>
        <v>Corumba IV</v>
      </c>
      <c r="C235" s="1">
        <f t="shared" si="7"/>
        <v>-2425</v>
      </c>
      <c r="D235">
        <v>0</v>
      </c>
      <c r="E235">
        <v>0</v>
      </c>
      <c r="F235">
        <v>0</v>
      </c>
      <c r="G235">
        <v>0.3629</v>
      </c>
      <c r="H235">
        <v>104.14400000000001</v>
      </c>
      <c r="I235">
        <v>4.4217000000000004</v>
      </c>
      <c r="J235">
        <v>100.0852</v>
      </c>
      <c r="K235">
        <v>0</v>
      </c>
      <c r="L235">
        <v>0</v>
      </c>
    </row>
    <row r="236" spans="1:12" x14ac:dyDescent="0.35">
      <c r="A236" s="3" t="s">
        <v>251</v>
      </c>
      <c r="B236" s="1" t="str">
        <f t="shared" si="6"/>
        <v>Lago Paranoa</v>
      </c>
      <c r="C236" s="1">
        <f t="shared" si="7"/>
        <v>-2425</v>
      </c>
      <c r="D236">
        <v>0</v>
      </c>
      <c r="E236">
        <v>2302.4499999999998</v>
      </c>
      <c r="F236">
        <v>0.33850000000000002</v>
      </c>
      <c r="G236">
        <v>4.194</v>
      </c>
      <c r="H236">
        <v>11.510199999999999</v>
      </c>
      <c r="I236">
        <v>0.95589999999999997</v>
      </c>
      <c r="J236">
        <v>14.4099</v>
      </c>
      <c r="K236">
        <v>2302.4499999999998</v>
      </c>
      <c r="L236">
        <v>0</v>
      </c>
    </row>
    <row r="237" spans="1:12" x14ac:dyDescent="0.35">
      <c r="A237" s="3" t="s">
        <v>252</v>
      </c>
      <c r="B237" s="1" t="str">
        <f t="shared" si="6"/>
        <v>Corumba IV</v>
      </c>
      <c r="C237" s="1">
        <f t="shared" si="7"/>
        <v>-2424</v>
      </c>
      <c r="D237">
        <v>0</v>
      </c>
      <c r="E237">
        <v>0</v>
      </c>
      <c r="F237">
        <v>0</v>
      </c>
      <c r="G237">
        <v>0.3629</v>
      </c>
      <c r="H237">
        <v>89.803299999999993</v>
      </c>
      <c r="I237">
        <v>4.4217000000000004</v>
      </c>
      <c r="J237">
        <v>85.744500000000002</v>
      </c>
      <c r="K237">
        <v>0</v>
      </c>
      <c r="L237">
        <v>0</v>
      </c>
    </row>
    <row r="238" spans="1:12" x14ac:dyDescent="0.35">
      <c r="A238" s="3" t="s">
        <v>253</v>
      </c>
      <c r="B238" s="1" t="str">
        <f t="shared" si="6"/>
        <v>Lago Paranoa</v>
      </c>
      <c r="C238" s="1">
        <f t="shared" si="7"/>
        <v>-2424</v>
      </c>
      <c r="D238">
        <v>0</v>
      </c>
      <c r="E238">
        <v>2302.4499999999998</v>
      </c>
      <c r="F238">
        <v>0.33879999999999999</v>
      </c>
      <c r="G238">
        <v>3.9125999999999999</v>
      </c>
      <c r="H238">
        <v>9.8996999999999993</v>
      </c>
      <c r="I238">
        <v>0.95589999999999997</v>
      </c>
      <c r="J238">
        <v>12.5177</v>
      </c>
      <c r="K238">
        <v>2302.4499999999998</v>
      </c>
      <c r="L238">
        <v>0</v>
      </c>
    </row>
    <row r="239" spans="1:12" x14ac:dyDescent="0.35">
      <c r="A239" s="3" t="s">
        <v>254</v>
      </c>
      <c r="B239" s="1" t="str">
        <f t="shared" si="6"/>
        <v>Corumba IV</v>
      </c>
      <c r="C239" s="1">
        <f t="shared" si="7"/>
        <v>-2423</v>
      </c>
      <c r="D239">
        <v>0</v>
      </c>
      <c r="E239">
        <v>0</v>
      </c>
      <c r="F239">
        <v>0</v>
      </c>
      <c r="G239">
        <v>0.3629</v>
      </c>
      <c r="H239">
        <v>78.701800000000006</v>
      </c>
      <c r="I239">
        <v>4.4249999999999998</v>
      </c>
      <c r="J239">
        <v>74.639700000000005</v>
      </c>
      <c r="K239">
        <v>0</v>
      </c>
      <c r="L239">
        <v>0</v>
      </c>
    </row>
    <row r="240" spans="1:12" x14ac:dyDescent="0.35">
      <c r="A240" s="3" t="s">
        <v>255</v>
      </c>
      <c r="B240" s="1" t="str">
        <f t="shared" si="6"/>
        <v>Lago Paranoa</v>
      </c>
      <c r="C240" s="1">
        <f t="shared" si="7"/>
        <v>-2423</v>
      </c>
      <c r="D240">
        <v>0</v>
      </c>
      <c r="E240">
        <v>2302.4499999999998</v>
      </c>
      <c r="F240">
        <v>0.40600000000000003</v>
      </c>
      <c r="G240">
        <v>3.8424999999999998</v>
      </c>
      <c r="H240">
        <v>8.8605</v>
      </c>
      <c r="I240">
        <v>1.0043</v>
      </c>
      <c r="J240">
        <v>11.2927</v>
      </c>
      <c r="K240">
        <v>2302.4499999999998</v>
      </c>
      <c r="L240">
        <v>0</v>
      </c>
    </row>
    <row r="241" spans="1:12" x14ac:dyDescent="0.35">
      <c r="A241" s="3" t="s">
        <v>256</v>
      </c>
      <c r="B241" s="1" t="str">
        <f t="shared" si="6"/>
        <v>Corumba IV</v>
      </c>
      <c r="C241" s="1">
        <f t="shared" si="7"/>
        <v>-2422</v>
      </c>
      <c r="D241">
        <v>0</v>
      </c>
      <c r="E241">
        <v>0</v>
      </c>
      <c r="F241">
        <v>0</v>
      </c>
      <c r="G241">
        <v>0.3629</v>
      </c>
      <c r="H241">
        <v>75.911900000000003</v>
      </c>
      <c r="I241">
        <v>4.5488</v>
      </c>
      <c r="J241">
        <v>71.725899999999996</v>
      </c>
      <c r="K241">
        <v>0</v>
      </c>
      <c r="L241">
        <v>0</v>
      </c>
    </row>
    <row r="242" spans="1:12" x14ac:dyDescent="0.35">
      <c r="A242" s="3" t="s">
        <v>257</v>
      </c>
      <c r="B242" s="1" t="str">
        <f t="shared" si="6"/>
        <v>Lago Paranoa</v>
      </c>
      <c r="C242" s="1">
        <f t="shared" si="7"/>
        <v>-2422</v>
      </c>
      <c r="D242">
        <v>0</v>
      </c>
      <c r="E242">
        <v>2302.4499999999998</v>
      </c>
      <c r="F242">
        <v>0.40629999999999999</v>
      </c>
      <c r="G242">
        <v>3.5764999999999998</v>
      </c>
      <c r="H242">
        <v>8.5274000000000001</v>
      </c>
      <c r="I242">
        <v>0.99729999999999996</v>
      </c>
      <c r="J242">
        <v>10.7003</v>
      </c>
      <c r="K242">
        <v>2302.4499999999998</v>
      </c>
      <c r="L242">
        <v>0</v>
      </c>
    </row>
    <row r="243" spans="1:12" x14ac:dyDescent="0.35">
      <c r="A243" s="3" t="s">
        <v>258</v>
      </c>
      <c r="B243" s="1" t="str">
        <f t="shared" si="6"/>
        <v>Corumba IV</v>
      </c>
      <c r="C243" s="1">
        <f t="shared" si="7"/>
        <v>-2421</v>
      </c>
      <c r="D243">
        <v>0</v>
      </c>
      <c r="E243">
        <v>0</v>
      </c>
      <c r="F243">
        <v>0</v>
      </c>
      <c r="G243">
        <v>0.3629</v>
      </c>
      <c r="H243">
        <v>71.130499999999998</v>
      </c>
      <c r="I243">
        <v>4.5690999999999997</v>
      </c>
      <c r="J243">
        <v>66.924300000000002</v>
      </c>
      <c r="K243">
        <v>0</v>
      </c>
      <c r="L243">
        <v>0</v>
      </c>
    </row>
    <row r="244" spans="1:12" x14ac:dyDescent="0.35">
      <c r="A244" s="3" t="s">
        <v>259</v>
      </c>
      <c r="B244" s="1" t="str">
        <f t="shared" si="6"/>
        <v>Lago Paranoa</v>
      </c>
      <c r="C244" s="1">
        <f t="shared" si="7"/>
        <v>-2421</v>
      </c>
      <c r="D244">
        <v>0</v>
      </c>
      <c r="E244">
        <v>2302.4499999999998</v>
      </c>
      <c r="F244">
        <v>0.40670000000000001</v>
      </c>
      <c r="G244">
        <v>3.4110999999999998</v>
      </c>
      <c r="H244">
        <v>7.8371000000000004</v>
      </c>
      <c r="I244">
        <v>0.99009999999999998</v>
      </c>
      <c r="J244">
        <v>9.8513999999999999</v>
      </c>
      <c r="K244">
        <v>2302.4499999999998</v>
      </c>
      <c r="L244">
        <v>0</v>
      </c>
    </row>
    <row r="245" spans="1:12" x14ac:dyDescent="0.35">
      <c r="A245" s="3" t="s">
        <v>260</v>
      </c>
      <c r="B245" s="1" t="str">
        <f t="shared" si="6"/>
        <v>Corumba IV</v>
      </c>
      <c r="C245" s="1">
        <f t="shared" si="7"/>
        <v>-2420</v>
      </c>
      <c r="D245">
        <v>0</v>
      </c>
      <c r="E245">
        <v>0</v>
      </c>
      <c r="F245">
        <v>0</v>
      </c>
      <c r="G245">
        <v>0.3629</v>
      </c>
      <c r="H245">
        <v>60.2087</v>
      </c>
      <c r="I245">
        <v>4.5690999999999997</v>
      </c>
      <c r="J245">
        <v>56.002499999999998</v>
      </c>
      <c r="K245">
        <v>0</v>
      </c>
      <c r="L245">
        <v>0</v>
      </c>
    </row>
    <row r="246" spans="1:12" x14ac:dyDescent="0.35">
      <c r="A246" s="3" t="s">
        <v>261</v>
      </c>
      <c r="B246" s="1" t="str">
        <f t="shared" si="6"/>
        <v>Lago Paranoa</v>
      </c>
      <c r="C246" s="1">
        <f t="shared" si="7"/>
        <v>-2420</v>
      </c>
      <c r="D246">
        <v>0</v>
      </c>
      <c r="E246">
        <v>2302.4499999999998</v>
      </c>
      <c r="F246">
        <v>0.40699999999999997</v>
      </c>
      <c r="G246">
        <v>3.7002999999999999</v>
      </c>
      <c r="H246">
        <v>7.2465000000000002</v>
      </c>
      <c r="I246">
        <v>0.99009999999999998</v>
      </c>
      <c r="J246">
        <v>9.5495999999999999</v>
      </c>
      <c r="K246">
        <v>2302.4499999999998</v>
      </c>
      <c r="L246">
        <v>0</v>
      </c>
    </row>
    <row r="247" spans="1:12" x14ac:dyDescent="0.35">
      <c r="A247" s="3" t="s">
        <v>262</v>
      </c>
      <c r="B247" s="1" t="str">
        <f t="shared" si="6"/>
        <v>Corumba IV</v>
      </c>
      <c r="C247" s="1">
        <f t="shared" si="7"/>
        <v>-2419</v>
      </c>
      <c r="D247">
        <v>0</v>
      </c>
      <c r="E247">
        <v>0</v>
      </c>
      <c r="F247">
        <v>0</v>
      </c>
      <c r="G247">
        <v>0.3629</v>
      </c>
      <c r="H247">
        <v>57.478499999999997</v>
      </c>
      <c r="I247">
        <v>4.5816999999999997</v>
      </c>
      <c r="J247">
        <v>53.259599999999999</v>
      </c>
      <c r="K247">
        <v>0</v>
      </c>
      <c r="L247">
        <v>0</v>
      </c>
    </row>
    <row r="248" spans="1:12" x14ac:dyDescent="0.35">
      <c r="A248" s="3" t="s">
        <v>263</v>
      </c>
      <c r="B248" s="1" t="str">
        <f t="shared" si="6"/>
        <v>Lago Paranoa</v>
      </c>
      <c r="C248" s="1">
        <f t="shared" si="7"/>
        <v>-2419</v>
      </c>
      <c r="D248">
        <v>0</v>
      </c>
      <c r="E248">
        <v>2302.4499999999998</v>
      </c>
      <c r="F248">
        <v>0.4073</v>
      </c>
      <c r="G248">
        <v>3.5347</v>
      </c>
      <c r="H248">
        <v>6.7689000000000004</v>
      </c>
      <c r="I248">
        <v>1.0291999999999999</v>
      </c>
      <c r="J248">
        <v>8.8671000000000006</v>
      </c>
      <c r="K248">
        <v>2302.4499999999998</v>
      </c>
      <c r="L248">
        <v>0</v>
      </c>
    </row>
    <row r="249" spans="1:12" x14ac:dyDescent="0.35">
      <c r="A249" s="3" t="s">
        <v>264</v>
      </c>
      <c r="B249" s="1" t="str">
        <f t="shared" si="6"/>
        <v>Corumba IV</v>
      </c>
      <c r="C249" s="1">
        <f t="shared" si="7"/>
        <v>-2418</v>
      </c>
      <c r="D249">
        <v>0</v>
      </c>
      <c r="E249">
        <v>0</v>
      </c>
      <c r="F249">
        <v>0</v>
      </c>
      <c r="G249">
        <v>0.3629</v>
      </c>
      <c r="H249">
        <v>54.480400000000003</v>
      </c>
      <c r="I249">
        <v>4.6134000000000004</v>
      </c>
      <c r="J249">
        <v>50.229900000000001</v>
      </c>
      <c r="K249">
        <v>0</v>
      </c>
      <c r="L249">
        <v>0</v>
      </c>
    </row>
    <row r="250" spans="1:12" x14ac:dyDescent="0.35">
      <c r="A250" s="3" t="s">
        <v>265</v>
      </c>
      <c r="B250" s="1" t="str">
        <f t="shared" si="6"/>
        <v>Lago Paranoa</v>
      </c>
      <c r="C250" s="1">
        <f t="shared" si="7"/>
        <v>-2418</v>
      </c>
      <c r="D250">
        <v>0</v>
      </c>
      <c r="E250">
        <v>2302.4499999999998</v>
      </c>
      <c r="F250">
        <v>0.4234</v>
      </c>
      <c r="G250">
        <v>3.4407000000000001</v>
      </c>
      <c r="H250">
        <v>6.7710999999999997</v>
      </c>
      <c r="I250">
        <v>1.1268</v>
      </c>
      <c r="J250">
        <v>8.6616</v>
      </c>
      <c r="K250">
        <v>2302.4499999999998</v>
      </c>
      <c r="L250">
        <v>0</v>
      </c>
    </row>
    <row r="251" spans="1:12" x14ac:dyDescent="0.35">
      <c r="A251" s="3" t="s">
        <v>266</v>
      </c>
      <c r="B251" s="1" t="str">
        <f t="shared" si="6"/>
        <v>Corumba IV</v>
      </c>
      <c r="C251" s="1">
        <f t="shared" si="7"/>
        <v>-2417</v>
      </c>
      <c r="D251">
        <v>0</v>
      </c>
      <c r="E251">
        <v>0</v>
      </c>
      <c r="F251">
        <v>0</v>
      </c>
      <c r="G251">
        <v>0.3629</v>
      </c>
      <c r="H251">
        <v>49.305</v>
      </c>
      <c r="I251">
        <v>4.6134000000000004</v>
      </c>
      <c r="J251">
        <v>45.054499999999997</v>
      </c>
      <c r="K251">
        <v>0</v>
      </c>
      <c r="L251">
        <v>0</v>
      </c>
    </row>
    <row r="252" spans="1:12" x14ac:dyDescent="0.35">
      <c r="A252" s="3" t="s">
        <v>267</v>
      </c>
      <c r="B252" s="1" t="str">
        <f t="shared" si="6"/>
        <v>Lago Paranoa</v>
      </c>
      <c r="C252" s="1">
        <f t="shared" si="7"/>
        <v>-2417</v>
      </c>
      <c r="D252">
        <v>0</v>
      </c>
      <c r="E252">
        <v>2302.4499999999998</v>
      </c>
      <c r="F252">
        <v>0.4234</v>
      </c>
      <c r="G252">
        <v>3.3664999999999998</v>
      </c>
      <c r="H252">
        <v>6.6264000000000003</v>
      </c>
      <c r="I252">
        <v>1.1268</v>
      </c>
      <c r="J252">
        <v>8.4426000000000005</v>
      </c>
      <c r="K252">
        <v>2302.4499999999998</v>
      </c>
      <c r="L252">
        <v>0</v>
      </c>
    </row>
    <row r="253" spans="1:12" x14ac:dyDescent="0.35">
      <c r="A253" s="3" t="s">
        <v>268</v>
      </c>
      <c r="B253" s="1" t="str">
        <f t="shared" si="6"/>
        <v>Corumba IV</v>
      </c>
      <c r="C253" s="1">
        <f t="shared" si="7"/>
        <v>-2416</v>
      </c>
      <c r="D253">
        <v>0</v>
      </c>
      <c r="E253">
        <v>0</v>
      </c>
      <c r="F253">
        <v>0</v>
      </c>
      <c r="G253">
        <v>0.3629</v>
      </c>
      <c r="H253">
        <v>46.934199999999997</v>
      </c>
      <c r="I253">
        <v>4.6134000000000004</v>
      </c>
      <c r="J253">
        <v>42.683700000000002</v>
      </c>
      <c r="K253">
        <v>0</v>
      </c>
      <c r="L253">
        <v>0</v>
      </c>
    </row>
    <row r="254" spans="1:12" x14ac:dyDescent="0.35">
      <c r="A254" s="3" t="s">
        <v>269</v>
      </c>
      <c r="B254" s="1" t="str">
        <f t="shared" si="6"/>
        <v>Lago Paranoa</v>
      </c>
      <c r="C254" s="1">
        <f t="shared" si="7"/>
        <v>-2416</v>
      </c>
      <c r="D254">
        <v>0</v>
      </c>
      <c r="E254">
        <v>2302.4499999999998</v>
      </c>
      <c r="F254">
        <v>0.4234</v>
      </c>
      <c r="G254">
        <v>3.2254</v>
      </c>
      <c r="H254">
        <v>6.1132</v>
      </c>
      <c r="I254">
        <v>1.1268</v>
      </c>
      <c r="J254">
        <v>7.7882999999999996</v>
      </c>
      <c r="K254">
        <v>2302.4499999999998</v>
      </c>
      <c r="L254">
        <v>0</v>
      </c>
    </row>
    <row r="255" spans="1:12" x14ac:dyDescent="0.35">
      <c r="A255" s="3" t="s">
        <v>270</v>
      </c>
      <c r="B255" s="1" t="str">
        <f t="shared" si="6"/>
        <v>Corumba IV</v>
      </c>
      <c r="C255" s="1">
        <f t="shared" si="7"/>
        <v>-2415</v>
      </c>
      <c r="D255">
        <v>0</v>
      </c>
      <c r="E255">
        <v>0</v>
      </c>
      <c r="F255">
        <v>0</v>
      </c>
      <c r="G255">
        <v>0.3629</v>
      </c>
      <c r="H255">
        <v>43.555100000000003</v>
      </c>
      <c r="I255">
        <v>4.6134000000000004</v>
      </c>
      <c r="J255">
        <v>39.304600000000001</v>
      </c>
      <c r="K255">
        <v>0</v>
      </c>
      <c r="L255">
        <v>0</v>
      </c>
    </row>
    <row r="256" spans="1:12" x14ac:dyDescent="0.35">
      <c r="A256" s="3" t="s">
        <v>271</v>
      </c>
      <c r="B256" s="1" t="str">
        <f t="shared" si="6"/>
        <v>Lago Paranoa</v>
      </c>
      <c r="C256" s="1">
        <f t="shared" si="7"/>
        <v>-2415</v>
      </c>
      <c r="D256">
        <v>0</v>
      </c>
      <c r="E256">
        <v>2302.4499999999998</v>
      </c>
      <c r="F256">
        <v>0.4234</v>
      </c>
      <c r="G256">
        <v>2.9624999999999999</v>
      </c>
      <c r="H256">
        <v>5.8239999999999998</v>
      </c>
      <c r="I256">
        <v>1.1268</v>
      </c>
      <c r="J256">
        <v>7.2363</v>
      </c>
      <c r="K256">
        <v>2302.4499999999998</v>
      </c>
      <c r="L256">
        <v>0</v>
      </c>
    </row>
    <row r="257" spans="1:12" x14ac:dyDescent="0.35">
      <c r="A257" s="3" t="s">
        <v>272</v>
      </c>
      <c r="B257" s="1" t="str">
        <f t="shared" si="6"/>
        <v>Corumba IV</v>
      </c>
      <c r="C257" s="1">
        <f t="shared" si="7"/>
        <v>-2414</v>
      </c>
      <c r="D257">
        <v>0</v>
      </c>
      <c r="E257">
        <v>0</v>
      </c>
      <c r="F257">
        <v>0</v>
      </c>
      <c r="G257">
        <v>0.3629</v>
      </c>
      <c r="H257">
        <v>39.962600000000002</v>
      </c>
      <c r="I257">
        <v>5.8429000000000002</v>
      </c>
      <c r="J257">
        <v>34.482500000000002</v>
      </c>
      <c r="K257">
        <v>0</v>
      </c>
      <c r="L257">
        <v>0</v>
      </c>
    </row>
    <row r="258" spans="1:12" x14ac:dyDescent="0.35">
      <c r="A258" s="3" t="s">
        <v>273</v>
      </c>
      <c r="B258" s="1" t="str">
        <f t="shared" si="6"/>
        <v>Lago Paranoa</v>
      </c>
      <c r="C258" s="1">
        <f t="shared" si="7"/>
        <v>-2414</v>
      </c>
      <c r="D258">
        <v>0</v>
      </c>
      <c r="E258">
        <v>2302.4499999999998</v>
      </c>
      <c r="F258">
        <v>0.4234</v>
      </c>
      <c r="G258">
        <v>2.5255000000000001</v>
      </c>
      <c r="H258">
        <v>5.1116999999999999</v>
      </c>
      <c r="I258">
        <v>1.4825999999999999</v>
      </c>
      <c r="J258">
        <v>5.7313000000000001</v>
      </c>
      <c r="K258">
        <v>2302.4499999999998</v>
      </c>
      <c r="L258">
        <v>0</v>
      </c>
    </row>
    <row r="259" spans="1:12" x14ac:dyDescent="0.35">
      <c r="A259" s="3" t="s">
        <v>274</v>
      </c>
      <c r="B259" s="1" t="str">
        <f t="shared" ref="B259:B322" si="8">_xlfn.TEXTBEFORE(_xlfn.TEXTAFTER(A259,"["),"]")</f>
        <v>Corumba IV</v>
      </c>
      <c r="C259" s="1">
        <f t="shared" si="7"/>
        <v>-2413</v>
      </c>
      <c r="D259">
        <v>0</v>
      </c>
      <c r="E259">
        <v>0</v>
      </c>
      <c r="F259">
        <v>0</v>
      </c>
      <c r="G259">
        <v>0.3629</v>
      </c>
      <c r="H259">
        <v>38.133499999999998</v>
      </c>
      <c r="I259">
        <v>6.0064000000000002</v>
      </c>
      <c r="J259">
        <v>32.49</v>
      </c>
      <c r="K259">
        <v>0</v>
      </c>
      <c r="L259">
        <v>0</v>
      </c>
    </row>
    <row r="260" spans="1:12" x14ac:dyDescent="0.35">
      <c r="A260" s="3" t="s">
        <v>275</v>
      </c>
      <c r="B260" s="1" t="str">
        <f t="shared" si="8"/>
        <v>Lago Paranoa</v>
      </c>
      <c r="C260" s="1">
        <f t="shared" ref="C260:C323" si="9">--_xlfn.TEXTBEFORE(_xlfn.TEXTAFTER(A260,"Week "),":")</f>
        <v>-2413</v>
      </c>
      <c r="D260">
        <v>0</v>
      </c>
      <c r="E260">
        <v>2302.4499999999998</v>
      </c>
      <c r="F260">
        <v>0.4234</v>
      </c>
      <c r="G260">
        <v>2.9538000000000002</v>
      </c>
      <c r="H260">
        <v>4.4320000000000004</v>
      </c>
      <c r="I260">
        <v>1.5348999999999999</v>
      </c>
      <c r="J260">
        <v>5.4276</v>
      </c>
      <c r="K260">
        <v>2302.4499999999998</v>
      </c>
      <c r="L260">
        <v>0</v>
      </c>
    </row>
    <row r="261" spans="1:12" x14ac:dyDescent="0.35">
      <c r="A261" s="3" t="s">
        <v>276</v>
      </c>
      <c r="B261" s="1" t="str">
        <f t="shared" si="8"/>
        <v>Corumba IV</v>
      </c>
      <c r="C261" s="1">
        <f t="shared" si="9"/>
        <v>-2412</v>
      </c>
      <c r="D261">
        <v>0</v>
      </c>
      <c r="E261">
        <v>0</v>
      </c>
      <c r="F261">
        <v>0</v>
      </c>
      <c r="G261">
        <v>0.3629</v>
      </c>
      <c r="H261">
        <v>45.843800000000002</v>
      </c>
      <c r="I261">
        <v>6.0064000000000002</v>
      </c>
      <c r="J261">
        <v>40.200299999999999</v>
      </c>
      <c r="K261">
        <v>0</v>
      </c>
      <c r="L261">
        <v>0</v>
      </c>
    </row>
    <row r="262" spans="1:12" x14ac:dyDescent="0.35">
      <c r="A262" s="3" t="s">
        <v>277</v>
      </c>
      <c r="B262" s="1" t="str">
        <f t="shared" si="8"/>
        <v>Lago Paranoa</v>
      </c>
      <c r="C262" s="1">
        <f t="shared" si="9"/>
        <v>-2412</v>
      </c>
      <c r="D262">
        <v>0</v>
      </c>
      <c r="E262">
        <v>2302.4499999999998</v>
      </c>
      <c r="F262">
        <v>0.4234</v>
      </c>
      <c r="G262">
        <v>2.7589999999999999</v>
      </c>
      <c r="H262">
        <v>5.4295999999999998</v>
      </c>
      <c r="I262">
        <v>1.5348999999999999</v>
      </c>
      <c r="J262">
        <v>6.2302999999999997</v>
      </c>
      <c r="K262">
        <v>2302.4499999999998</v>
      </c>
      <c r="L262">
        <v>0</v>
      </c>
    </row>
    <row r="263" spans="1:12" x14ac:dyDescent="0.35">
      <c r="A263" s="3" t="s">
        <v>278</v>
      </c>
      <c r="B263" s="1" t="str">
        <f t="shared" si="8"/>
        <v>Corumba IV</v>
      </c>
      <c r="C263" s="1">
        <f t="shared" si="9"/>
        <v>-2411</v>
      </c>
      <c r="D263">
        <v>0</v>
      </c>
      <c r="E263">
        <v>0</v>
      </c>
      <c r="F263">
        <v>0</v>
      </c>
      <c r="G263">
        <v>0.3629</v>
      </c>
      <c r="H263">
        <v>40.909500000000001</v>
      </c>
      <c r="I263">
        <v>6.0064000000000002</v>
      </c>
      <c r="J263">
        <v>35.265999999999998</v>
      </c>
      <c r="K263">
        <v>0</v>
      </c>
      <c r="L263">
        <v>0</v>
      </c>
    </row>
    <row r="264" spans="1:12" x14ac:dyDescent="0.35">
      <c r="A264" s="3" t="s">
        <v>279</v>
      </c>
      <c r="B264" s="1" t="str">
        <f t="shared" si="8"/>
        <v>Lago Paranoa</v>
      </c>
      <c r="C264" s="1">
        <f t="shared" si="9"/>
        <v>-2411</v>
      </c>
      <c r="D264">
        <v>0</v>
      </c>
      <c r="E264">
        <v>2302.4499999999998</v>
      </c>
      <c r="F264">
        <v>0.4234</v>
      </c>
      <c r="G264">
        <v>2.6747999999999998</v>
      </c>
      <c r="H264">
        <v>4.7121000000000004</v>
      </c>
      <c r="I264">
        <v>1.5348999999999999</v>
      </c>
      <c r="J264">
        <v>5.4286000000000003</v>
      </c>
      <c r="K264">
        <v>2302.4499999999998</v>
      </c>
      <c r="L264">
        <v>0</v>
      </c>
    </row>
    <row r="265" spans="1:12" x14ac:dyDescent="0.35">
      <c r="A265" s="3" t="s">
        <v>280</v>
      </c>
      <c r="B265" s="1" t="str">
        <f t="shared" si="8"/>
        <v>Corumba IV</v>
      </c>
      <c r="C265" s="1">
        <f t="shared" si="9"/>
        <v>-2410</v>
      </c>
      <c r="D265">
        <v>0</v>
      </c>
      <c r="E265">
        <v>0</v>
      </c>
      <c r="F265">
        <v>0</v>
      </c>
      <c r="G265">
        <v>0.3629</v>
      </c>
      <c r="H265">
        <v>34.660200000000003</v>
      </c>
      <c r="I265">
        <v>5.9611999999999998</v>
      </c>
      <c r="J265">
        <v>29.061900000000001</v>
      </c>
      <c r="K265">
        <v>0</v>
      </c>
      <c r="L265">
        <v>0</v>
      </c>
    </row>
    <row r="266" spans="1:12" x14ac:dyDescent="0.35">
      <c r="A266" s="3" t="s">
        <v>281</v>
      </c>
      <c r="B266" s="1" t="str">
        <f t="shared" si="8"/>
        <v>Lago Paranoa</v>
      </c>
      <c r="C266" s="1">
        <f t="shared" si="9"/>
        <v>-2410</v>
      </c>
      <c r="D266">
        <v>0</v>
      </c>
      <c r="E266">
        <v>2302.4499999999998</v>
      </c>
      <c r="F266">
        <v>0.4234</v>
      </c>
      <c r="G266">
        <v>2.6741000000000001</v>
      </c>
      <c r="H266">
        <v>4.7477</v>
      </c>
      <c r="I266">
        <v>1.5398000000000001</v>
      </c>
      <c r="J266">
        <v>5.4587000000000003</v>
      </c>
      <c r="K266">
        <v>2302.4499999999998</v>
      </c>
      <c r="L266">
        <v>0</v>
      </c>
    </row>
    <row r="267" spans="1:12" x14ac:dyDescent="0.35">
      <c r="A267" s="3" t="s">
        <v>282</v>
      </c>
      <c r="B267" s="1" t="str">
        <f t="shared" si="8"/>
        <v>Corumba IV</v>
      </c>
      <c r="C267" s="1">
        <f t="shared" si="9"/>
        <v>-2409</v>
      </c>
      <c r="D267">
        <v>0</v>
      </c>
      <c r="E267">
        <v>0</v>
      </c>
      <c r="F267">
        <v>0</v>
      </c>
      <c r="G267">
        <v>0.3629</v>
      </c>
      <c r="H267">
        <v>32.676499999999997</v>
      </c>
      <c r="I267">
        <v>6.0753000000000004</v>
      </c>
      <c r="J267">
        <v>26.964099999999998</v>
      </c>
      <c r="K267">
        <v>0</v>
      </c>
      <c r="L267">
        <v>0</v>
      </c>
    </row>
    <row r="268" spans="1:12" x14ac:dyDescent="0.35">
      <c r="A268" s="3" t="s">
        <v>283</v>
      </c>
      <c r="B268" s="1" t="str">
        <f t="shared" si="8"/>
        <v>Lago Paranoa</v>
      </c>
      <c r="C268" s="1">
        <f t="shared" si="9"/>
        <v>-2409</v>
      </c>
      <c r="D268">
        <v>0</v>
      </c>
      <c r="E268">
        <v>2302.4499999999998</v>
      </c>
      <c r="F268">
        <v>0.4234</v>
      </c>
      <c r="G268">
        <v>3.8363</v>
      </c>
      <c r="H268">
        <v>5.1909000000000001</v>
      </c>
      <c r="I268">
        <v>1.5811999999999999</v>
      </c>
      <c r="J268">
        <v>7.0225999999999997</v>
      </c>
      <c r="K268">
        <v>2302.4499999999998</v>
      </c>
      <c r="L268">
        <v>0</v>
      </c>
    </row>
    <row r="269" spans="1:12" x14ac:dyDescent="0.35">
      <c r="A269" s="3" t="s">
        <v>284</v>
      </c>
      <c r="B269" s="1" t="str">
        <f t="shared" si="8"/>
        <v>Corumba IV</v>
      </c>
      <c r="C269" s="1">
        <f t="shared" si="9"/>
        <v>-2408</v>
      </c>
      <c r="D269">
        <v>0</v>
      </c>
      <c r="E269">
        <v>0</v>
      </c>
      <c r="F269">
        <v>0</v>
      </c>
      <c r="G269">
        <v>0.3629</v>
      </c>
      <c r="H269">
        <v>33.144799999999996</v>
      </c>
      <c r="I269">
        <v>6.0753000000000004</v>
      </c>
      <c r="J269">
        <v>27.432300000000001</v>
      </c>
      <c r="K269">
        <v>0</v>
      </c>
      <c r="L269">
        <v>0</v>
      </c>
    </row>
    <row r="270" spans="1:12" x14ac:dyDescent="0.35">
      <c r="A270" s="3" t="s">
        <v>285</v>
      </c>
      <c r="B270" s="1" t="str">
        <f t="shared" si="8"/>
        <v>Lago Paranoa</v>
      </c>
      <c r="C270" s="1">
        <f t="shared" si="9"/>
        <v>-2408</v>
      </c>
      <c r="D270">
        <v>0</v>
      </c>
      <c r="E270">
        <v>2302.4499999999998</v>
      </c>
      <c r="F270">
        <v>0.4234</v>
      </c>
      <c r="G270">
        <v>4.0152000000000001</v>
      </c>
      <c r="H270">
        <v>4.8475999999999999</v>
      </c>
      <c r="I270">
        <v>1.5811999999999999</v>
      </c>
      <c r="J270">
        <v>6.8582000000000001</v>
      </c>
      <c r="K270">
        <v>2302.4499999999998</v>
      </c>
      <c r="L270">
        <v>0</v>
      </c>
    </row>
    <row r="271" spans="1:12" x14ac:dyDescent="0.35">
      <c r="A271" s="3" t="s">
        <v>286</v>
      </c>
      <c r="B271" s="1" t="str">
        <f t="shared" si="8"/>
        <v>Corumba IV</v>
      </c>
      <c r="C271" s="1">
        <f t="shared" si="9"/>
        <v>-2407</v>
      </c>
      <c r="D271">
        <v>0</v>
      </c>
      <c r="E271">
        <v>0</v>
      </c>
      <c r="F271">
        <v>0</v>
      </c>
      <c r="G271">
        <v>0.3629</v>
      </c>
      <c r="H271">
        <v>31.4297</v>
      </c>
      <c r="I271">
        <v>6.0753000000000004</v>
      </c>
      <c r="J271">
        <v>25.717300000000002</v>
      </c>
      <c r="K271">
        <v>0</v>
      </c>
      <c r="L271">
        <v>0</v>
      </c>
    </row>
    <row r="272" spans="1:12" x14ac:dyDescent="0.35">
      <c r="A272" s="3" t="s">
        <v>287</v>
      </c>
      <c r="B272" s="1" t="str">
        <f t="shared" si="8"/>
        <v>Lago Paranoa</v>
      </c>
      <c r="C272" s="1">
        <f t="shared" si="9"/>
        <v>-2407</v>
      </c>
      <c r="D272">
        <v>0</v>
      </c>
      <c r="E272">
        <v>2302.4499999999998</v>
      </c>
      <c r="F272">
        <v>0.4234</v>
      </c>
      <c r="G272">
        <v>3.9870999999999999</v>
      </c>
      <c r="H272">
        <v>4.8635999999999999</v>
      </c>
      <c r="I272">
        <v>1.5811999999999999</v>
      </c>
      <c r="J272">
        <v>6.8460999999999999</v>
      </c>
      <c r="K272">
        <v>2302.4499999999998</v>
      </c>
      <c r="L272">
        <v>0</v>
      </c>
    </row>
    <row r="273" spans="1:12" x14ac:dyDescent="0.35">
      <c r="A273" s="3" t="s">
        <v>288</v>
      </c>
      <c r="B273" s="1" t="str">
        <f t="shared" si="8"/>
        <v>Corumba IV</v>
      </c>
      <c r="C273" s="1">
        <f t="shared" si="9"/>
        <v>-2406</v>
      </c>
      <c r="D273">
        <v>0</v>
      </c>
      <c r="E273">
        <v>0</v>
      </c>
      <c r="F273">
        <v>0</v>
      </c>
      <c r="G273">
        <v>0.3629</v>
      </c>
      <c r="H273">
        <v>29.122800000000002</v>
      </c>
      <c r="I273">
        <v>5.7572999999999999</v>
      </c>
      <c r="J273">
        <v>23.7285</v>
      </c>
      <c r="K273">
        <v>0</v>
      </c>
      <c r="L273">
        <v>0</v>
      </c>
    </row>
    <row r="274" spans="1:12" x14ac:dyDescent="0.35">
      <c r="A274" s="3" t="s">
        <v>289</v>
      </c>
      <c r="B274" s="1" t="str">
        <f t="shared" si="8"/>
        <v>Lago Paranoa</v>
      </c>
      <c r="C274" s="1">
        <f t="shared" si="9"/>
        <v>-2406</v>
      </c>
      <c r="D274">
        <v>0</v>
      </c>
      <c r="E274">
        <v>2302.4499999999998</v>
      </c>
      <c r="F274">
        <v>0.4234</v>
      </c>
      <c r="G274">
        <v>3.8816000000000002</v>
      </c>
      <c r="H274">
        <v>4.8579999999999997</v>
      </c>
      <c r="I274">
        <v>1.5003</v>
      </c>
      <c r="J274">
        <v>6.8159999999999998</v>
      </c>
      <c r="K274">
        <v>2302.4499999999998</v>
      </c>
      <c r="L274">
        <v>0</v>
      </c>
    </row>
    <row r="275" spans="1:12" x14ac:dyDescent="0.35">
      <c r="A275" s="3" t="s">
        <v>290</v>
      </c>
      <c r="B275" s="1" t="str">
        <f t="shared" si="8"/>
        <v>Corumba IV</v>
      </c>
      <c r="C275" s="1">
        <f t="shared" si="9"/>
        <v>-2405</v>
      </c>
      <c r="D275">
        <v>0</v>
      </c>
      <c r="E275">
        <v>0</v>
      </c>
      <c r="F275">
        <v>0</v>
      </c>
      <c r="G275">
        <v>0.3629</v>
      </c>
      <c r="H275">
        <v>26.663</v>
      </c>
      <c r="I275">
        <v>3.8978999999999999</v>
      </c>
      <c r="J275">
        <v>23.128</v>
      </c>
      <c r="K275">
        <v>0</v>
      </c>
      <c r="L275">
        <v>0</v>
      </c>
    </row>
    <row r="276" spans="1:12" x14ac:dyDescent="0.35">
      <c r="A276" s="3" t="s">
        <v>291</v>
      </c>
      <c r="B276" s="1" t="str">
        <f t="shared" si="8"/>
        <v>Lago Paranoa</v>
      </c>
      <c r="C276" s="1">
        <f t="shared" si="9"/>
        <v>-2405</v>
      </c>
      <c r="D276">
        <v>0</v>
      </c>
      <c r="E276">
        <v>2302.4499999999998</v>
      </c>
      <c r="F276">
        <v>0.4234</v>
      </c>
      <c r="G276">
        <v>4.4021999999999997</v>
      </c>
      <c r="H276">
        <v>5.5427999999999997</v>
      </c>
      <c r="I276">
        <v>1.0424</v>
      </c>
      <c r="J276">
        <v>8.4793000000000003</v>
      </c>
      <c r="K276">
        <v>2302.4499999999998</v>
      </c>
      <c r="L276">
        <v>0</v>
      </c>
    </row>
    <row r="277" spans="1:12" x14ac:dyDescent="0.35">
      <c r="A277" s="3" t="s">
        <v>292</v>
      </c>
      <c r="B277" s="1" t="str">
        <f t="shared" si="8"/>
        <v>Corumba IV</v>
      </c>
      <c r="C277" s="1">
        <f t="shared" si="9"/>
        <v>-2404</v>
      </c>
      <c r="D277">
        <v>0</v>
      </c>
      <c r="E277">
        <v>0</v>
      </c>
      <c r="F277">
        <v>0</v>
      </c>
      <c r="G277">
        <v>0.3629</v>
      </c>
      <c r="H277">
        <v>29.256799999999998</v>
      </c>
      <c r="I277">
        <v>3.9630000000000001</v>
      </c>
      <c r="J277">
        <v>25.656600000000001</v>
      </c>
      <c r="K277">
        <v>0</v>
      </c>
      <c r="L277">
        <v>0</v>
      </c>
    </row>
    <row r="278" spans="1:12" x14ac:dyDescent="0.35">
      <c r="A278" s="3" t="s">
        <v>293</v>
      </c>
      <c r="B278" s="1" t="str">
        <f t="shared" si="8"/>
        <v>Lago Paranoa</v>
      </c>
      <c r="C278" s="1">
        <f t="shared" si="9"/>
        <v>-2404</v>
      </c>
      <c r="D278">
        <v>0</v>
      </c>
      <c r="E278">
        <v>2302.4499999999998</v>
      </c>
      <c r="F278">
        <v>0.4234</v>
      </c>
      <c r="G278">
        <v>4.4725999999999999</v>
      </c>
      <c r="H278">
        <v>6.3535000000000004</v>
      </c>
      <c r="I278">
        <v>1.0795999999999999</v>
      </c>
      <c r="J278">
        <v>9.3231000000000002</v>
      </c>
      <c r="K278">
        <v>2302.4499999999998</v>
      </c>
      <c r="L278">
        <v>0</v>
      </c>
    </row>
    <row r="279" spans="1:12" x14ac:dyDescent="0.35">
      <c r="A279" s="3" t="s">
        <v>294</v>
      </c>
      <c r="B279" s="1" t="str">
        <f t="shared" si="8"/>
        <v>Corumba IV</v>
      </c>
      <c r="C279" s="1">
        <f t="shared" si="9"/>
        <v>-2403</v>
      </c>
      <c r="D279">
        <v>0</v>
      </c>
      <c r="E279">
        <v>0</v>
      </c>
      <c r="F279">
        <v>0</v>
      </c>
      <c r="G279">
        <v>0.3629</v>
      </c>
      <c r="H279">
        <v>41.594700000000003</v>
      </c>
      <c r="I279">
        <v>3.9630000000000001</v>
      </c>
      <c r="J279">
        <v>37.994599999999998</v>
      </c>
      <c r="K279">
        <v>0</v>
      </c>
      <c r="L279">
        <v>0</v>
      </c>
    </row>
    <row r="280" spans="1:12" x14ac:dyDescent="0.35">
      <c r="A280" s="3" t="s">
        <v>295</v>
      </c>
      <c r="B280" s="1" t="str">
        <f t="shared" si="8"/>
        <v>Lago Paranoa</v>
      </c>
      <c r="C280" s="1">
        <f t="shared" si="9"/>
        <v>-2403</v>
      </c>
      <c r="D280">
        <v>0</v>
      </c>
      <c r="E280">
        <v>2302.4499999999998</v>
      </c>
      <c r="F280">
        <v>0.4234</v>
      </c>
      <c r="G280">
        <v>4.7270000000000003</v>
      </c>
      <c r="H280">
        <v>6.8433999999999999</v>
      </c>
      <c r="I280">
        <v>1.0795999999999999</v>
      </c>
      <c r="J280">
        <v>10.067399999999999</v>
      </c>
      <c r="K280">
        <v>2302.4499999999998</v>
      </c>
      <c r="L280">
        <v>0</v>
      </c>
    </row>
    <row r="281" spans="1:12" x14ac:dyDescent="0.35">
      <c r="A281" s="3" t="s">
        <v>296</v>
      </c>
      <c r="B281" s="1" t="str">
        <f t="shared" si="8"/>
        <v>Corumba IV</v>
      </c>
      <c r="C281" s="1">
        <f t="shared" si="9"/>
        <v>-2402</v>
      </c>
      <c r="D281">
        <v>0</v>
      </c>
      <c r="E281">
        <v>0</v>
      </c>
      <c r="F281">
        <v>0</v>
      </c>
      <c r="G281">
        <v>0.3629</v>
      </c>
      <c r="H281">
        <v>98.737899999999996</v>
      </c>
      <c r="I281">
        <v>3.9630000000000001</v>
      </c>
      <c r="J281">
        <v>95.137799999999999</v>
      </c>
      <c r="K281">
        <v>0</v>
      </c>
      <c r="L281">
        <v>0</v>
      </c>
    </row>
    <row r="282" spans="1:12" x14ac:dyDescent="0.35">
      <c r="A282" s="3" t="s">
        <v>297</v>
      </c>
      <c r="B282" s="1" t="str">
        <f t="shared" si="8"/>
        <v>Lago Paranoa</v>
      </c>
      <c r="C282" s="1">
        <f t="shared" si="9"/>
        <v>-2402</v>
      </c>
      <c r="D282">
        <v>0</v>
      </c>
      <c r="E282">
        <v>2302.4499999999998</v>
      </c>
      <c r="F282">
        <v>0.4234</v>
      </c>
      <c r="G282">
        <v>5.6397000000000004</v>
      </c>
      <c r="H282">
        <v>9.6193000000000008</v>
      </c>
      <c r="I282">
        <v>1.0795999999999999</v>
      </c>
      <c r="J282">
        <v>13.756</v>
      </c>
      <c r="K282">
        <v>2302.4499999999998</v>
      </c>
      <c r="L282">
        <v>0</v>
      </c>
    </row>
    <row r="283" spans="1:12" x14ac:dyDescent="0.35">
      <c r="A283" s="3" t="s">
        <v>298</v>
      </c>
      <c r="B283" s="1" t="str">
        <f t="shared" si="8"/>
        <v>Corumba IV</v>
      </c>
      <c r="C283" s="1">
        <f t="shared" si="9"/>
        <v>-2401</v>
      </c>
      <c r="D283">
        <v>0</v>
      </c>
      <c r="E283">
        <v>0</v>
      </c>
      <c r="F283">
        <v>0</v>
      </c>
      <c r="G283">
        <v>0.3629</v>
      </c>
      <c r="H283">
        <v>97.630300000000005</v>
      </c>
      <c r="I283">
        <v>4.7667999999999999</v>
      </c>
      <c r="J283">
        <v>93.226399999999998</v>
      </c>
      <c r="K283">
        <v>0</v>
      </c>
      <c r="L283">
        <v>0</v>
      </c>
    </row>
    <row r="284" spans="1:12" x14ac:dyDescent="0.35">
      <c r="A284" s="3" t="s">
        <v>299</v>
      </c>
      <c r="B284" s="1" t="str">
        <f t="shared" si="8"/>
        <v>Lago Paranoa</v>
      </c>
      <c r="C284" s="1">
        <f t="shared" si="9"/>
        <v>-2401</v>
      </c>
      <c r="D284">
        <v>0</v>
      </c>
      <c r="E284">
        <v>2302.4499999999998</v>
      </c>
      <c r="F284">
        <v>0.4234</v>
      </c>
      <c r="G284">
        <v>3.6833</v>
      </c>
      <c r="H284">
        <v>8.3696999999999999</v>
      </c>
      <c r="I284">
        <v>1.234</v>
      </c>
      <c r="J284">
        <v>10.3956</v>
      </c>
      <c r="K284">
        <v>2302.4499999999998</v>
      </c>
      <c r="L284">
        <v>0</v>
      </c>
    </row>
    <row r="285" spans="1:12" x14ac:dyDescent="0.35">
      <c r="A285" s="3" t="s">
        <v>300</v>
      </c>
      <c r="B285" s="1" t="str">
        <f t="shared" si="8"/>
        <v>Corumba IV</v>
      </c>
      <c r="C285" s="1">
        <f t="shared" si="9"/>
        <v>-2400</v>
      </c>
      <c r="D285">
        <v>0</v>
      </c>
      <c r="E285">
        <v>0</v>
      </c>
      <c r="F285">
        <v>0</v>
      </c>
      <c r="G285">
        <v>0.3629</v>
      </c>
      <c r="H285">
        <v>32.457000000000001</v>
      </c>
      <c r="I285">
        <v>5.0883000000000003</v>
      </c>
      <c r="J285">
        <v>27.7316</v>
      </c>
      <c r="K285">
        <v>0</v>
      </c>
      <c r="L285">
        <v>0</v>
      </c>
    </row>
    <row r="286" spans="1:12" x14ac:dyDescent="0.35">
      <c r="A286" s="3" t="s">
        <v>301</v>
      </c>
      <c r="B286" s="1" t="str">
        <f t="shared" si="8"/>
        <v>Lago Paranoa</v>
      </c>
      <c r="C286" s="1">
        <f t="shared" si="9"/>
        <v>-2400</v>
      </c>
      <c r="D286">
        <v>0</v>
      </c>
      <c r="E286">
        <v>2302.4499999999998</v>
      </c>
      <c r="F286">
        <v>0.4234</v>
      </c>
      <c r="G286">
        <v>2.7151000000000001</v>
      </c>
      <c r="H286">
        <v>5.6398999999999999</v>
      </c>
      <c r="I286">
        <v>1.2958000000000001</v>
      </c>
      <c r="J286">
        <v>6.6357999999999997</v>
      </c>
      <c r="K286">
        <v>2302.4499999999998</v>
      </c>
      <c r="L286">
        <v>0</v>
      </c>
    </row>
    <row r="287" spans="1:12" x14ac:dyDescent="0.35">
      <c r="A287" s="3" t="s">
        <v>302</v>
      </c>
      <c r="B287" s="1" t="str">
        <f t="shared" si="8"/>
        <v>Corumba IV</v>
      </c>
      <c r="C287" s="1">
        <f t="shared" si="9"/>
        <v>-2399</v>
      </c>
      <c r="D287">
        <v>0</v>
      </c>
      <c r="E287">
        <v>0</v>
      </c>
      <c r="F287">
        <v>0</v>
      </c>
      <c r="G287">
        <v>0.3629</v>
      </c>
      <c r="H287">
        <v>31.155000000000001</v>
      </c>
      <c r="I287">
        <v>5.0883000000000003</v>
      </c>
      <c r="J287">
        <v>26.429600000000001</v>
      </c>
      <c r="K287">
        <v>0</v>
      </c>
      <c r="L287">
        <v>0</v>
      </c>
    </row>
    <row r="288" spans="1:12" x14ac:dyDescent="0.35">
      <c r="A288" s="3" t="s">
        <v>303</v>
      </c>
      <c r="B288" s="1" t="str">
        <f t="shared" si="8"/>
        <v>Lago Paranoa</v>
      </c>
      <c r="C288" s="1">
        <f t="shared" si="9"/>
        <v>-2399</v>
      </c>
      <c r="D288">
        <v>0</v>
      </c>
      <c r="E288">
        <v>2302.4499999999998</v>
      </c>
      <c r="F288">
        <v>0.4234</v>
      </c>
      <c r="G288">
        <v>3.86</v>
      </c>
      <c r="H288">
        <v>6.3587999999999996</v>
      </c>
      <c r="I288">
        <v>1.2958000000000001</v>
      </c>
      <c r="J288">
        <v>8.4997000000000007</v>
      </c>
      <c r="K288">
        <v>2302.4499999999998</v>
      </c>
      <c r="L288">
        <v>0</v>
      </c>
    </row>
    <row r="289" spans="1:12" x14ac:dyDescent="0.35">
      <c r="A289" s="3" t="s">
        <v>304</v>
      </c>
      <c r="B289" s="1" t="str">
        <f t="shared" si="8"/>
        <v>Corumba IV</v>
      </c>
      <c r="C289" s="1">
        <f t="shared" si="9"/>
        <v>-2398</v>
      </c>
      <c r="D289">
        <v>0</v>
      </c>
      <c r="E289">
        <v>0</v>
      </c>
      <c r="F289">
        <v>0</v>
      </c>
      <c r="G289">
        <v>0.3629</v>
      </c>
      <c r="H289">
        <v>38.283799999999999</v>
      </c>
      <c r="I289">
        <v>5.0883000000000003</v>
      </c>
      <c r="J289">
        <v>33.558399999999999</v>
      </c>
      <c r="K289">
        <v>0</v>
      </c>
      <c r="L289">
        <v>0</v>
      </c>
    </row>
    <row r="290" spans="1:12" x14ac:dyDescent="0.35">
      <c r="A290" s="3" t="s">
        <v>305</v>
      </c>
      <c r="B290" s="1" t="str">
        <f t="shared" si="8"/>
        <v>Lago Paranoa</v>
      </c>
      <c r="C290" s="1">
        <f t="shared" si="9"/>
        <v>-2398</v>
      </c>
      <c r="D290">
        <v>0</v>
      </c>
      <c r="E290">
        <v>2302.4499999999998</v>
      </c>
      <c r="F290">
        <v>0.4234</v>
      </c>
      <c r="G290">
        <v>3.0503999999999998</v>
      </c>
      <c r="H290">
        <v>6.6725000000000003</v>
      </c>
      <c r="I290">
        <v>1.2958000000000001</v>
      </c>
      <c r="J290">
        <v>8.0038</v>
      </c>
      <c r="K290">
        <v>2302.4499999999998</v>
      </c>
      <c r="L290">
        <v>0</v>
      </c>
    </row>
    <row r="291" spans="1:12" x14ac:dyDescent="0.35">
      <c r="A291" s="3" t="s">
        <v>306</v>
      </c>
      <c r="B291" s="1" t="str">
        <f t="shared" si="8"/>
        <v>Corumba IV</v>
      </c>
      <c r="C291" s="1">
        <f t="shared" si="9"/>
        <v>-2397</v>
      </c>
      <c r="D291">
        <v>0</v>
      </c>
      <c r="E291">
        <v>0</v>
      </c>
      <c r="F291">
        <v>0</v>
      </c>
      <c r="G291">
        <v>0.3629</v>
      </c>
      <c r="H291">
        <v>36.543700000000001</v>
      </c>
      <c r="I291">
        <v>4.6901999999999999</v>
      </c>
      <c r="J291">
        <v>32.2164</v>
      </c>
      <c r="K291">
        <v>0</v>
      </c>
      <c r="L291">
        <v>0</v>
      </c>
    </row>
    <row r="292" spans="1:12" x14ac:dyDescent="0.35">
      <c r="A292" s="3" t="s">
        <v>307</v>
      </c>
      <c r="B292" s="1" t="str">
        <f t="shared" si="8"/>
        <v>Lago Paranoa</v>
      </c>
      <c r="C292" s="1">
        <f t="shared" si="9"/>
        <v>-2397</v>
      </c>
      <c r="D292">
        <v>0</v>
      </c>
      <c r="E292">
        <v>2302.4499999999998</v>
      </c>
      <c r="F292">
        <v>0.32869999999999999</v>
      </c>
      <c r="G292">
        <v>2.6393</v>
      </c>
      <c r="H292">
        <v>5.8464999999999998</v>
      </c>
      <c r="I292">
        <v>1.1123000000000001</v>
      </c>
      <c r="J292">
        <v>7.0449000000000002</v>
      </c>
      <c r="K292">
        <v>2302.4499999999998</v>
      </c>
      <c r="L292">
        <v>0</v>
      </c>
    </row>
    <row r="293" spans="1:12" x14ac:dyDescent="0.35">
      <c r="A293" s="3" t="s">
        <v>308</v>
      </c>
      <c r="B293" s="1" t="str">
        <f t="shared" si="8"/>
        <v>Corumba IV</v>
      </c>
      <c r="C293" s="1">
        <f t="shared" si="9"/>
        <v>-2396</v>
      </c>
      <c r="D293">
        <v>0</v>
      </c>
      <c r="E293">
        <v>0</v>
      </c>
      <c r="F293">
        <v>0</v>
      </c>
      <c r="G293">
        <v>0.3629</v>
      </c>
      <c r="H293">
        <v>42.657400000000003</v>
      </c>
      <c r="I293">
        <v>4.0095999999999998</v>
      </c>
      <c r="J293">
        <v>39.0107</v>
      </c>
      <c r="K293">
        <v>0</v>
      </c>
      <c r="L293">
        <v>0</v>
      </c>
    </row>
    <row r="294" spans="1:12" x14ac:dyDescent="0.35">
      <c r="A294" s="3" t="s">
        <v>309</v>
      </c>
      <c r="B294" s="1" t="str">
        <f t="shared" si="8"/>
        <v>Lago Paranoa</v>
      </c>
      <c r="C294" s="1">
        <f t="shared" si="9"/>
        <v>-2396</v>
      </c>
      <c r="D294">
        <v>0</v>
      </c>
      <c r="E294">
        <v>2302.4499999999998</v>
      </c>
      <c r="F294">
        <v>0.32900000000000001</v>
      </c>
      <c r="G294">
        <v>2.8822000000000001</v>
      </c>
      <c r="H294">
        <v>7.6574999999999998</v>
      </c>
      <c r="I294">
        <v>1.0535000000000001</v>
      </c>
      <c r="J294">
        <v>9.1571999999999996</v>
      </c>
      <c r="K294">
        <v>2302.4499999999998</v>
      </c>
      <c r="L294">
        <v>0</v>
      </c>
    </row>
    <row r="295" spans="1:12" x14ac:dyDescent="0.35">
      <c r="A295" s="3" t="s">
        <v>310</v>
      </c>
      <c r="B295" s="1" t="str">
        <f t="shared" si="8"/>
        <v>Corumba IV</v>
      </c>
      <c r="C295" s="1">
        <f t="shared" si="9"/>
        <v>-2499</v>
      </c>
      <c r="D295">
        <v>0</v>
      </c>
      <c r="E295">
        <v>0</v>
      </c>
      <c r="F295">
        <v>0</v>
      </c>
      <c r="G295">
        <v>0.3629</v>
      </c>
      <c r="H295">
        <v>72.424499999999995</v>
      </c>
      <c r="I295">
        <v>4.5795000000000003</v>
      </c>
      <c r="J295">
        <v>68.207899999999995</v>
      </c>
      <c r="K295">
        <v>0</v>
      </c>
      <c r="L295">
        <v>0</v>
      </c>
    </row>
    <row r="296" spans="1:12" x14ac:dyDescent="0.35">
      <c r="A296" s="3" t="s">
        <v>311</v>
      </c>
      <c r="B296" s="1" t="str">
        <f t="shared" si="8"/>
        <v>Lago Paranoa</v>
      </c>
      <c r="C296" s="1">
        <f t="shared" si="9"/>
        <v>-2499</v>
      </c>
      <c r="D296">
        <v>0</v>
      </c>
      <c r="E296">
        <v>2302.4499999999998</v>
      </c>
      <c r="F296">
        <v>0.32929999999999998</v>
      </c>
      <c r="G296">
        <v>5.5547000000000004</v>
      </c>
      <c r="H296">
        <v>11.3575</v>
      </c>
      <c r="I296">
        <v>1.1447000000000001</v>
      </c>
      <c r="J296">
        <v>15.4382</v>
      </c>
      <c r="K296">
        <v>2302.4499999999998</v>
      </c>
      <c r="L296">
        <v>0</v>
      </c>
    </row>
    <row r="297" spans="1:12" x14ac:dyDescent="0.35">
      <c r="A297" s="3" t="s">
        <v>312</v>
      </c>
      <c r="B297" s="1" t="str">
        <f t="shared" si="8"/>
        <v>Corumba IV</v>
      </c>
      <c r="C297" s="1">
        <f t="shared" si="9"/>
        <v>-2498</v>
      </c>
      <c r="D297">
        <v>0</v>
      </c>
      <c r="E297">
        <v>0</v>
      </c>
      <c r="F297">
        <v>0</v>
      </c>
      <c r="G297">
        <v>0.3629</v>
      </c>
      <c r="H297">
        <v>190.82480000000001</v>
      </c>
      <c r="I297">
        <v>4.5795000000000003</v>
      </c>
      <c r="J297">
        <v>186.60820000000001</v>
      </c>
      <c r="K297">
        <v>0</v>
      </c>
      <c r="L297">
        <v>0</v>
      </c>
    </row>
    <row r="298" spans="1:12" x14ac:dyDescent="0.35">
      <c r="A298" s="3" t="s">
        <v>313</v>
      </c>
      <c r="B298" s="1" t="str">
        <f t="shared" si="8"/>
        <v>Lago Paranoa</v>
      </c>
      <c r="C298" s="1">
        <f t="shared" si="9"/>
        <v>-2498</v>
      </c>
      <c r="D298">
        <v>0</v>
      </c>
      <c r="E298">
        <v>2302.4499999999998</v>
      </c>
      <c r="F298">
        <v>0.3296</v>
      </c>
      <c r="G298">
        <v>4.7493999999999996</v>
      </c>
      <c r="H298">
        <v>22.7364</v>
      </c>
      <c r="I298">
        <v>1.1447000000000001</v>
      </c>
      <c r="J298">
        <v>26.011500000000002</v>
      </c>
      <c r="K298">
        <v>2302.4499999999998</v>
      </c>
      <c r="L298">
        <v>0</v>
      </c>
    </row>
    <row r="299" spans="1:12" x14ac:dyDescent="0.35">
      <c r="A299" s="3" t="s">
        <v>314</v>
      </c>
      <c r="B299" s="1" t="str">
        <f t="shared" si="8"/>
        <v>Corumba IV</v>
      </c>
      <c r="C299" s="1">
        <f t="shared" si="9"/>
        <v>-2497</v>
      </c>
      <c r="D299">
        <v>0</v>
      </c>
      <c r="E299">
        <v>0</v>
      </c>
      <c r="F299">
        <v>0</v>
      </c>
      <c r="G299">
        <v>0.3629</v>
      </c>
      <c r="H299">
        <v>327.94420000000002</v>
      </c>
      <c r="I299">
        <v>4.1506999999999996</v>
      </c>
      <c r="J299">
        <v>324.15629999999999</v>
      </c>
      <c r="K299">
        <v>0</v>
      </c>
      <c r="L299">
        <v>0</v>
      </c>
    </row>
    <row r="300" spans="1:12" x14ac:dyDescent="0.35">
      <c r="A300" s="3" t="s">
        <v>315</v>
      </c>
      <c r="B300" s="1" t="str">
        <f t="shared" si="8"/>
        <v>Lago Paranoa</v>
      </c>
      <c r="C300" s="1">
        <f t="shared" si="9"/>
        <v>-2497</v>
      </c>
      <c r="D300">
        <v>0</v>
      </c>
      <c r="E300">
        <v>2302.4499999999998</v>
      </c>
      <c r="F300">
        <v>0.32990000000000003</v>
      </c>
      <c r="G300">
        <v>5.1802999999999999</v>
      </c>
      <c r="H300">
        <v>25.4693</v>
      </c>
      <c r="I300">
        <v>1.0911</v>
      </c>
      <c r="J300">
        <v>29.2286</v>
      </c>
      <c r="K300">
        <v>2302.4499999999998</v>
      </c>
      <c r="L300">
        <v>0</v>
      </c>
    </row>
    <row r="301" spans="1:12" x14ac:dyDescent="0.35">
      <c r="A301" s="3" t="s">
        <v>316</v>
      </c>
      <c r="B301" s="1" t="str">
        <f t="shared" si="8"/>
        <v>Corumba IV</v>
      </c>
      <c r="C301" s="1">
        <f t="shared" si="9"/>
        <v>-2496</v>
      </c>
      <c r="D301">
        <v>0</v>
      </c>
      <c r="E301">
        <v>0</v>
      </c>
      <c r="F301">
        <v>0</v>
      </c>
      <c r="G301">
        <v>0.3629</v>
      </c>
      <c r="H301">
        <v>116.6236</v>
      </c>
      <c r="I301">
        <v>3.7875999999999999</v>
      </c>
      <c r="J301">
        <v>113.19889999999999</v>
      </c>
      <c r="K301">
        <v>0</v>
      </c>
      <c r="L301">
        <v>0</v>
      </c>
    </row>
    <row r="302" spans="1:12" x14ac:dyDescent="0.35">
      <c r="A302" s="3" t="s">
        <v>317</v>
      </c>
      <c r="B302" s="1" t="str">
        <f t="shared" si="8"/>
        <v>Lago Paranoa</v>
      </c>
      <c r="C302" s="1">
        <f t="shared" si="9"/>
        <v>-2496</v>
      </c>
      <c r="D302">
        <v>0</v>
      </c>
      <c r="E302">
        <v>2302.4499999999998</v>
      </c>
      <c r="F302">
        <v>0.36990000000000001</v>
      </c>
      <c r="G302">
        <v>5.4412000000000003</v>
      </c>
      <c r="H302">
        <v>11.711499999999999</v>
      </c>
      <c r="I302">
        <v>0.8952</v>
      </c>
      <c r="J302">
        <v>15.887600000000001</v>
      </c>
      <c r="K302">
        <v>2302.4499999999998</v>
      </c>
      <c r="L302">
        <v>0</v>
      </c>
    </row>
    <row r="303" spans="1:12" x14ac:dyDescent="0.35">
      <c r="A303" s="3" t="s">
        <v>318</v>
      </c>
      <c r="B303" s="1" t="str">
        <f t="shared" si="8"/>
        <v>Corumba IV</v>
      </c>
      <c r="C303" s="1">
        <f t="shared" si="9"/>
        <v>-2495</v>
      </c>
      <c r="D303">
        <v>0</v>
      </c>
      <c r="E303">
        <v>0</v>
      </c>
      <c r="F303">
        <v>0</v>
      </c>
      <c r="G303">
        <v>0.3629</v>
      </c>
      <c r="H303">
        <v>108.68</v>
      </c>
      <c r="I303">
        <v>4.4733000000000001</v>
      </c>
      <c r="J303">
        <v>104.56950000000001</v>
      </c>
      <c r="K303">
        <v>0</v>
      </c>
      <c r="L303">
        <v>0</v>
      </c>
    </row>
    <row r="304" spans="1:12" x14ac:dyDescent="0.35">
      <c r="A304" s="3" t="s">
        <v>319</v>
      </c>
      <c r="B304" s="1" t="str">
        <f t="shared" si="8"/>
        <v>Lago Paranoa</v>
      </c>
      <c r="C304" s="1">
        <f t="shared" si="9"/>
        <v>-2495</v>
      </c>
      <c r="D304">
        <v>0</v>
      </c>
      <c r="E304">
        <v>2302.4499999999998</v>
      </c>
      <c r="F304">
        <v>0.35360000000000003</v>
      </c>
      <c r="G304">
        <v>4.9966999999999997</v>
      </c>
      <c r="H304">
        <v>10.471299999999999</v>
      </c>
      <c r="I304">
        <v>1.1091</v>
      </c>
      <c r="J304">
        <v>14.0053</v>
      </c>
      <c r="K304">
        <v>2302.4499999999998</v>
      </c>
      <c r="L304">
        <v>0</v>
      </c>
    </row>
    <row r="305" spans="1:12" x14ac:dyDescent="0.35">
      <c r="A305" s="3" t="s">
        <v>320</v>
      </c>
      <c r="B305" s="1" t="str">
        <f t="shared" si="8"/>
        <v>Corumba IV</v>
      </c>
      <c r="C305" s="1">
        <f t="shared" si="9"/>
        <v>-2494</v>
      </c>
      <c r="D305">
        <v>0</v>
      </c>
      <c r="E305">
        <v>0</v>
      </c>
      <c r="F305">
        <v>0</v>
      </c>
      <c r="G305">
        <v>0.3629</v>
      </c>
      <c r="H305">
        <v>109.06270000000001</v>
      </c>
      <c r="I305">
        <v>4.4733000000000001</v>
      </c>
      <c r="J305">
        <v>104.95229999999999</v>
      </c>
      <c r="K305">
        <v>0</v>
      </c>
      <c r="L305">
        <v>0</v>
      </c>
    </row>
    <row r="306" spans="1:12" x14ac:dyDescent="0.35">
      <c r="A306" s="3" t="s">
        <v>321</v>
      </c>
      <c r="B306" s="1" t="str">
        <f t="shared" si="8"/>
        <v>Lago Paranoa</v>
      </c>
      <c r="C306" s="1">
        <f t="shared" si="9"/>
        <v>-2494</v>
      </c>
      <c r="D306">
        <v>0</v>
      </c>
      <c r="E306">
        <v>2302.4499999999998</v>
      </c>
      <c r="F306">
        <v>0.35389999999999999</v>
      </c>
      <c r="G306">
        <v>5.2587000000000002</v>
      </c>
      <c r="H306">
        <v>11.5618</v>
      </c>
      <c r="I306">
        <v>1.1091</v>
      </c>
      <c r="J306">
        <v>15.3574</v>
      </c>
      <c r="K306">
        <v>2302.4499999999998</v>
      </c>
      <c r="L306">
        <v>0</v>
      </c>
    </row>
    <row r="307" spans="1:12" x14ac:dyDescent="0.35">
      <c r="A307" s="3" t="s">
        <v>322</v>
      </c>
      <c r="B307" s="1" t="str">
        <f t="shared" si="8"/>
        <v>Corumba IV</v>
      </c>
      <c r="C307" s="1">
        <f t="shared" si="9"/>
        <v>-2493</v>
      </c>
      <c r="D307">
        <v>0</v>
      </c>
      <c r="E307">
        <v>0</v>
      </c>
      <c r="F307">
        <v>0</v>
      </c>
      <c r="G307">
        <v>0.3629</v>
      </c>
      <c r="H307">
        <v>98.767300000000006</v>
      </c>
      <c r="I307">
        <v>4.4733000000000001</v>
      </c>
      <c r="J307">
        <v>94.656899999999993</v>
      </c>
      <c r="K307">
        <v>0</v>
      </c>
      <c r="L307">
        <v>0</v>
      </c>
    </row>
    <row r="308" spans="1:12" x14ac:dyDescent="0.35">
      <c r="A308" s="3" t="s">
        <v>323</v>
      </c>
      <c r="B308" s="1" t="str">
        <f t="shared" si="8"/>
        <v>Lago Paranoa</v>
      </c>
      <c r="C308" s="1">
        <f t="shared" si="9"/>
        <v>-2493</v>
      </c>
      <c r="D308">
        <v>0</v>
      </c>
      <c r="E308">
        <v>2302.4499999999998</v>
      </c>
      <c r="F308">
        <v>0.3543</v>
      </c>
      <c r="G308">
        <v>5.6776999999999997</v>
      </c>
      <c r="H308">
        <v>11.6694</v>
      </c>
      <c r="I308">
        <v>1.1091</v>
      </c>
      <c r="J308">
        <v>15.883599999999999</v>
      </c>
      <c r="K308">
        <v>2302.4499999999998</v>
      </c>
      <c r="L308">
        <v>0</v>
      </c>
    </row>
    <row r="309" spans="1:12" x14ac:dyDescent="0.35">
      <c r="A309" s="3" t="s">
        <v>324</v>
      </c>
      <c r="B309" s="1" t="str">
        <f t="shared" si="8"/>
        <v>Corumba IV</v>
      </c>
      <c r="C309" s="1">
        <f t="shared" si="9"/>
        <v>-2492</v>
      </c>
      <c r="D309">
        <v>0</v>
      </c>
      <c r="E309">
        <v>0</v>
      </c>
      <c r="F309">
        <v>0</v>
      </c>
      <c r="G309">
        <v>0.3629</v>
      </c>
      <c r="H309">
        <v>131.56909999999999</v>
      </c>
      <c r="I309">
        <v>4.5563000000000002</v>
      </c>
      <c r="J309">
        <v>127.37569999999999</v>
      </c>
      <c r="K309">
        <v>0</v>
      </c>
      <c r="L309">
        <v>0</v>
      </c>
    </row>
    <row r="310" spans="1:12" x14ac:dyDescent="0.35">
      <c r="A310" s="3" t="s">
        <v>325</v>
      </c>
      <c r="B310" s="1" t="str">
        <f t="shared" si="8"/>
        <v>Lago Paranoa</v>
      </c>
      <c r="C310" s="1">
        <f t="shared" si="9"/>
        <v>-2492</v>
      </c>
      <c r="D310">
        <v>0</v>
      </c>
      <c r="E310">
        <v>2302.4499999999998</v>
      </c>
      <c r="F310">
        <v>0.4234</v>
      </c>
      <c r="G310">
        <v>5.0212000000000003</v>
      </c>
      <c r="H310">
        <v>13.9856</v>
      </c>
      <c r="I310">
        <v>1.272</v>
      </c>
      <c r="J310">
        <v>17.311399999999999</v>
      </c>
      <c r="K310">
        <v>2302.4499999999998</v>
      </c>
      <c r="L310">
        <v>0</v>
      </c>
    </row>
    <row r="311" spans="1:12" x14ac:dyDescent="0.35">
      <c r="A311" s="3" t="s">
        <v>326</v>
      </c>
      <c r="B311" s="1" t="str">
        <f t="shared" si="8"/>
        <v>Corumba IV</v>
      </c>
      <c r="C311" s="1">
        <f t="shared" si="9"/>
        <v>-2491</v>
      </c>
      <c r="D311">
        <v>0</v>
      </c>
      <c r="E311">
        <v>0</v>
      </c>
      <c r="F311">
        <v>0</v>
      </c>
      <c r="G311">
        <v>0.3629</v>
      </c>
      <c r="H311">
        <v>121.99160000000001</v>
      </c>
      <c r="I311">
        <v>4.2152000000000003</v>
      </c>
      <c r="J311">
        <v>118.13930000000001</v>
      </c>
      <c r="K311">
        <v>0</v>
      </c>
      <c r="L311">
        <v>0</v>
      </c>
    </row>
    <row r="312" spans="1:12" x14ac:dyDescent="0.35">
      <c r="A312" s="3" t="s">
        <v>327</v>
      </c>
      <c r="B312" s="1" t="str">
        <f t="shared" si="8"/>
        <v>Lago Paranoa</v>
      </c>
      <c r="C312" s="1">
        <f t="shared" si="9"/>
        <v>-2491</v>
      </c>
      <c r="D312">
        <v>0</v>
      </c>
      <c r="E312">
        <v>2302.4499999999998</v>
      </c>
      <c r="F312">
        <v>0.4234</v>
      </c>
      <c r="G312">
        <v>5.8211000000000004</v>
      </c>
      <c r="H312">
        <v>12.0213</v>
      </c>
      <c r="I312">
        <v>1.1927000000000001</v>
      </c>
      <c r="J312">
        <v>16.226299999999998</v>
      </c>
      <c r="K312">
        <v>2302.4499999999998</v>
      </c>
      <c r="L312">
        <v>0</v>
      </c>
    </row>
    <row r="313" spans="1:12" x14ac:dyDescent="0.35">
      <c r="A313" s="3" t="s">
        <v>328</v>
      </c>
      <c r="B313" s="1" t="str">
        <f t="shared" si="8"/>
        <v>Corumba IV</v>
      </c>
      <c r="C313" s="1">
        <f t="shared" si="9"/>
        <v>-2490</v>
      </c>
      <c r="D313">
        <v>0</v>
      </c>
      <c r="E313">
        <v>0</v>
      </c>
      <c r="F313">
        <v>0</v>
      </c>
      <c r="G313">
        <v>0.3629</v>
      </c>
      <c r="H313">
        <v>175.64779999999999</v>
      </c>
      <c r="I313">
        <v>4.2152000000000003</v>
      </c>
      <c r="J313">
        <v>171.7954</v>
      </c>
      <c r="K313">
        <v>0</v>
      </c>
      <c r="L313">
        <v>0</v>
      </c>
    </row>
    <row r="314" spans="1:12" x14ac:dyDescent="0.35">
      <c r="A314" s="3" t="s">
        <v>329</v>
      </c>
      <c r="B314" s="1" t="str">
        <f t="shared" si="8"/>
        <v>Lago Paranoa</v>
      </c>
      <c r="C314" s="1">
        <f t="shared" si="9"/>
        <v>-2490</v>
      </c>
      <c r="D314">
        <v>0</v>
      </c>
      <c r="E314">
        <v>2302.4499999999998</v>
      </c>
      <c r="F314">
        <v>0.4234</v>
      </c>
      <c r="G314">
        <v>5.9005999999999998</v>
      </c>
      <c r="H314">
        <v>13.257999999999999</v>
      </c>
      <c r="I314">
        <v>1.1927000000000001</v>
      </c>
      <c r="J314">
        <v>17.5425</v>
      </c>
      <c r="K314">
        <v>2302.4499999999998</v>
      </c>
      <c r="L314">
        <v>0</v>
      </c>
    </row>
    <row r="315" spans="1:12" x14ac:dyDescent="0.35">
      <c r="A315" s="3" t="s">
        <v>330</v>
      </c>
      <c r="B315" s="1" t="str">
        <f t="shared" si="8"/>
        <v>Corumba IV</v>
      </c>
      <c r="C315" s="1">
        <f t="shared" si="9"/>
        <v>-2489</v>
      </c>
      <c r="D315">
        <v>0</v>
      </c>
      <c r="E315">
        <v>0</v>
      </c>
      <c r="F315">
        <v>0</v>
      </c>
      <c r="G315">
        <v>0.3629</v>
      </c>
      <c r="H315">
        <v>136.57769999999999</v>
      </c>
      <c r="I315">
        <v>4.2152000000000003</v>
      </c>
      <c r="J315">
        <v>132.7253</v>
      </c>
      <c r="K315">
        <v>0</v>
      </c>
      <c r="L315">
        <v>0</v>
      </c>
    </row>
    <row r="316" spans="1:12" x14ac:dyDescent="0.35">
      <c r="A316" s="3" t="s">
        <v>331</v>
      </c>
      <c r="B316" s="1" t="str">
        <f t="shared" si="8"/>
        <v>Lago Paranoa</v>
      </c>
      <c r="C316" s="1">
        <f t="shared" si="9"/>
        <v>-2489</v>
      </c>
      <c r="D316">
        <v>0</v>
      </c>
      <c r="E316">
        <v>2302.4499999999998</v>
      </c>
      <c r="F316">
        <v>0.4234</v>
      </c>
      <c r="G316">
        <v>6.9432999999999998</v>
      </c>
      <c r="H316">
        <v>13.4787</v>
      </c>
      <c r="I316">
        <v>1.1927000000000001</v>
      </c>
      <c r="J316">
        <v>18.806000000000001</v>
      </c>
      <c r="K316">
        <v>2302.4499999999998</v>
      </c>
      <c r="L316">
        <v>0</v>
      </c>
    </row>
    <row r="317" spans="1:12" x14ac:dyDescent="0.35">
      <c r="A317" s="3" t="s">
        <v>332</v>
      </c>
      <c r="B317" s="1" t="str">
        <f t="shared" si="8"/>
        <v>Corumba IV</v>
      </c>
      <c r="C317" s="1">
        <f t="shared" si="9"/>
        <v>-2488</v>
      </c>
      <c r="D317">
        <v>0</v>
      </c>
      <c r="E317">
        <v>0</v>
      </c>
      <c r="F317">
        <v>0</v>
      </c>
      <c r="G317">
        <v>0.3629</v>
      </c>
      <c r="H317">
        <v>137.7311</v>
      </c>
      <c r="I317">
        <v>4.1147999999999998</v>
      </c>
      <c r="J317">
        <v>133.97909999999999</v>
      </c>
      <c r="K317">
        <v>0</v>
      </c>
      <c r="L317">
        <v>0</v>
      </c>
    </row>
    <row r="318" spans="1:12" x14ac:dyDescent="0.35">
      <c r="A318" s="3" t="s">
        <v>333</v>
      </c>
      <c r="B318" s="1" t="str">
        <f t="shared" si="8"/>
        <v>Lago Paranoa</v>
      </c>
      <c r="C318" s="1">
        <f t="shared" si="9"/>
        <v>-2488</v>
      </c>
      <c r="D318">
        <v>0</v>
      </c>
      <c r="E318">
        <v>2302.4499999999998</v>
      </c>
      <c r="F318">
        <v>0.3054</v>
      </c>
      <c r="G318">
        <v>5.7621000000000002</v>
      </c>
      <c r="H318">
        <v>12.539099999999999</v>
      </c>
      <c r="I318">
        <v>1.1631</v>
      </c>
      <c r="J318">
        <v>16.832699999999999</v>
      </c>
      <c r="K318">
        <v>2302.4499999999998</v>
      </c>
      <c r="L318">
        <v>0</v>
      </c>
    </row>
    <row r="319" spans="1:12" x14ac:dyDescent="0.35">
      <c r="A319" s="3" t="s">
        <v>334</v>
      </c>
      <c r="B319" s="1" t="str">
        <f t="shared" si="8"/>
        <v>Corumba IV</v>
      </c>
      <c r="C319" s="1">
        <f t="shared" si="9"/>
        <v>-2487</v>
      </c>
      <c r="D319">
        <v>0</v>
      </c>
      <c r="E319">
        <v>0</v>
      </c>
      <c r="F319">
        <v>0</v>
      </c>
      <c r="G319">
        <v>0.3629</v>
      </c>
      <c r="H319">
        <v>157.91069999999999</v>
      </c>
      <c r="I319">
        <v>3.7570999999999999</v>
      </c>
      <c r="J319">
        <v>154.51650000000001</v>
      </c>
      <c r="K319">
        <v>0</v>
      </c>
      <c r="L319">
        <v>0</v>
      </c>
    </row>
    <row r="320" spans="1:12" x14ac:dyDescent="0.35">
      <c r="A320" s="3" t="s">
        <v>335</v>
      </c>
      <c r="B320" s="1" t="str">
        <f t="shared" si="8"/>
        <v>Lago Paranoa</v>
      </c>
      <c r="C320" s="1">
        <f t="shared" si="9"/>
        <v>-2487</v>
      </c>
      <c r="D320">
        <v>0</v>
      </c>
      <c r="E320">
        <v>2302.4499999999998</v>
      </c>
      <c r="F320">
        <v>0.30570000000000003</v>
      </c>
      <c r="G320">
        <v>5.8182</v>
      </c>
      <c r="H320">
        <v>15.465299999999999</v>
      </c>
      <c r="I320">
        <v>1.0602</v>
      </c>
      <c r="J320">
        <v>19.9175</v>
      </c>
      <c r="K320">
        <v>2302.4499999999998</v>
      </c>
      <c r="L320">
        <v>0</v>
      </c>
    </row>
    <row r="321" spans="1:12" x14ac:dyDescent="0.35">
      <c r="A321" s="3" t="s">
        <v>336</v>
      </c>
      <c r="B321" s="1" t="str">
        <f t="shared" si="8"/>
        <v>Corumba IV</v>
      </c>
      <c r="C321" s="1">
        <f t="shared" si="9"/>
        <v>-2486</v>
      </c>
      <c r="D321">
        <v>0</v>
      </c>
      <c r="E321">
        <v>0</v>
      </c>
      <c r="F321">
        <v>0</v>
      </c>
      <c r="G321">
        <v>0.3629</v>
      </c>
      <c r="H321">
        <v>182.26859999999999</v>
      </c>
      <c r="I321">
        <v>3.7570999999999999</v>
      </c>
      <c r="J321">
        <v>178.87430000000001</v>
      </c>
      <c r="K321">
        <v>0</v>
      </c>
      <c r="L321">
        <v>0</v>
      </c>
    </row>
    <row r="322" spans="1:12" x14ac:dyDescent="0.35">
      <c r="A322" s="3" t="s">
        <v>337</v>
      </c>
      <c r="B322" s="1" t="str">
        <f t="shared" si="8"/>
        <v>Lago Paranoa</v>
      </c>
      <c r="C322" s="1">
        <f t="shared" si="9"/>
        <v>-2486</v>
      </c>
      <c r="D322">
        <v>0</v>
      </c>
      <c r="E322">
        <v>2302.4499999999998</v>
      </c>
      <c r="F322">
        <v>0.30599999999999999</v>
      </c>
      <c r="G322">
        <v>5.7630999999999997</v>
      </c>
      <c r="H322">
        <v>14.0998</v>
      </c>
      <c r="I322">
        <v>1.0602</v>
      </c>
      <c r="J322">
        <v>18.496600000000001</v>
      </c>
      <c r="K322">
        <v>2302.4499999999998</v>
      </c>
      <c r="L322">
        <v>0</v>
      </c>
    </row>
    <row r="323" spans="1:12" x14ac:dyDescent="0.35">
      <c r="A323" s="3" t="s">
        <v>338</v>
      </c>
      <c r="B323" s="1" t="str">
        <f t="shared" ref="B323:B386" si="10">_xlfn.TEXTBEFORE(_xlfn.TEXTAFTER(A323,"["),"]")</f>
        <v>Corumba IV</v>
      </c>
      <c r="C323" s="1">
        <f t="shared" si="9"/>
        <v>-2485</v>
      </c>
      <c r="D323">
        <v>0</v>
      </c>
      <c r="E323">
        <v>0</v>
      </c>
      <c r="F323">
        <v>0</v>
      </c>
      <c r="G323">
        <v>0.3629</v>
      </c>
      <c r="H323">
        <v>151.0514</v>
      </c>
      <c r="I323">
        <v>3.7570999999999999</v>
      </c>
      <c r="J323">
        <v>147.65719999999999</v>
      </c>
      <c r="K323">
        <v>0</v>
      </c>
      <c r="L323">
        <v>0</v>
      </c>
    </row>
    <row r="324" spans="1:12" x14ac:dyDescent="0.35">
      <c r="A324" s="3" t="s">
        <v>339</v>
      </c>
      <c r="B324" s="1" t="str">
        <f t="shared" si="10"/>
        <v>Lago Paranoa</v>
      </c>
      <c r="C324" s="1">
        <f t="shared" ref="C324:C387" si="11">--_xlfn.TEXTBEFORE(_xlfn.TEXTAFTER(A324,"Week "),":")</f>
        <v>-2485</v>
      </c>
      <c r="D324">
        <v>0</v>
      </c>
      <c r="E324">
        <v>2302.4499999999998</v>
      </c>
      <c r="F324">
        <v>0.30630000000000002</v>
      </c>
      <c r="G324">
        <v>6.6764999999999999</v>
      </c>
      <c r="H324">
        <v>13.821099999999999</v>
      </c>
      <c r="I324">
        <v>1.0602</v>
      </c>
      <c r="J324">
        <v>19.1311</v>
      </c>
      <c r="K324">
        <v>2302.4499999999998</v>
      </c>
      <c r="L324">
        <v>0</v>
      </c>
    </row>
    <row r="325" spans="1:12" x14ac:dyDescent="0.35">
      <c r="A325" s="3" t="s">
        <v>340</v>
      </c>
      <c r="B325" s="1" t="str">
        <f t="shared" si="10"/>
        <v>Corumba IV</v>
      </c>
      <c r="C325" s="1">
        <f t="shared" si="11"/>
        <v>-2484</v>
      </c>
      <c r="D325">
        <v>0</v>
      </c>
      <c r="E325">
        <v>0</v>
      </c>
      <c r="F325">
        <v>0</v>
      </c>
      <c r="G325">
        <v>0.3629</v>
      </c>
      <c r="H325">
        <v>186.89789999999999</v>
      </c>
      <c r="I325">
        <v>3.5295999999999998</v>
      </c>
      <c r="J325">
        <v>183.7311</v>
      </c>
      <c r="K325">
        <v>0</v>
      </c>
      <c r="L325">
        <v>0</v>
      </c>
    </row>
    <row r="326" spans="1:12" x14ac:dyDescent="0.35">
      <c r="A326" s="3" t="s">
        <v>341</v>
      </c>
      <c r="B326" s="1" t="str">
        <f t="shared" si="10"/>
        <v>Lago Paranoa</v>
      </c>
      <c r="C326" s="1">
        <f t="shared" si="11"/>
        <v>-2484</v>
      </c>
      <c r="D326">
        <v>0</v>
      </c>
      <c r="E326">
        <v>2302.4499999999998</v>
      </c>
      <c r="F326">
        <v>0.30669999999999997</v>
      </c>
      <c r="G326">
        <v>7.1875</v>
      </c>
      <c r="H326">
        <v>21.6676</v>
      </c>
      <c r="I326">
        <v>0.97699999999999998</v>
      </c>
      <c r="J326">
        <v>27.571400000000001</v>
      </c>
      <c r="K326">
        <v>2302.4499999999998</v>
      </c>
      <c r="L326">
        <v>0</v>
      </c>
    </row>
    <row r="327" spans="1:12" x14ac:dyDescent="0.35">
      <c r="A327" s="3" t="s">
        <v>342</v>
      </c>
      <c r="B327" s="1" t="str">
        <f t="shared" si="10"/>
        <v>Corumba IV</v>
      </c>
      <c r="C327" s="1">
        <f t="shared" si="11"/>
        <v>-2483</v>
      </c>
      <c r="D327">
        <v>0</v>
      </c>
      <c r="E327">
        <v>0</v>
      </c>
      <c r="F327">
        <v>0</v>
      </c>
      <c r="G327">
        <v>0.3629</v>
      </c>
      <c r="H327">
        <v>179.7362</v>
      </c>
      <c r="I327">
        <v>2.9609999999999999</v>
      </c>
      <c r="J327">
        <v>177.13810000000001</v>
      </c>
      <c r="K327">
        <v>0</v>
      </c>
      <c r="L327">
        <v>0</v>
      </c>
    </row>
    <row r="328" spans="1:12" x14ac:dyDescent="0.35">
      <c r="A328" s="3" t="s">
        <v>343</v>
      </c>
      <c r="B328" s="1" t="str">
        <f t="shared" si="10"/>
        <v>Lago Paranoa</v>
      </c>
      <c r="C328" s="1">
        <f t="shared" si="11"/>
        <v>-2483</v>
      </c>
      <c r="D328">
        <v>0</v>
      </c>
      <c r="E328">
        <v>2302.4499999999998</v>
      </c>
      <c r="F328">
        <v>0.35539999999999999</v>
      </c>
      <c r="G328">
        <v>5.0044000000000004</v>
      </c>
      <c r="H328">
        <v>13.870900000000001</v>
      </c>
      <c r="I328">
        <v>0.76880000000000004</v>
      </c>
      <c r="J328">
        <v>17.751000000000001</v>
      </c>
      <c r="K328">
        <v>2302.4499999999998</v>
      </c>
      <c r="L328">
        <v>0</v>
      </c>
    </row>
    <row r="329" spans="1:12" x14ac:dyDescent="0.35">
      <c r="A329" s="3" t="s">
        <v>344</v>
      </c>
      <c r="B329" s="1" t="str">
        <f t="shared" si="10"/>
        <v>Corumba IV</v>
      </c>
      <c r="C329" s="1">
        <f t="shared" si="11"/>
        <v>-2482</v>
      </c>
      <c r="D329">
        <v>0</v>
      </c>
      <c r="E329">
        <v>0</v>
      </c>
      <c r="F329">
        <v>0</v>
      </c>
      <c r="G329">
        <v>0.3629</v>
      </c>
      <c r="H329">
        <v>149.01410000000001</v>
      </c>
      <c r="I329">
        <v>2.9609999999999999</v>
      </c>
      <c r="J329">
        <v>146.416</v>
      </c>
      <c r="K329">
        <v>0</v>
      </c>
      <c r="L329">
        <v>0</v>
      </c>
    </row>
    <row r="330" spans="1:12" x14ac:dyDescent="0.35">
      <c r="A330" s="3" t="s">
        <v>345</v>
      </c>
      <c r="B330" s="1" t="str">
        <f t="shared" si="10"/>
        <v>Lago Paranoa</v>
      </c>
      <c r="C330" s="1">
        <f t="shared" si="11"/>
        <v>-2482</v>
      </c>
      <c r="D330">
        <v>0</v>
      </c>
      <c r="E330">
        <v>2302.4499999999998</v>
      </c>
      <c r="F330">
        <v>0.35570000000000002</v>
      </c>
      <c r="G330">
        <v>4.6136999999999997</v>
      </c>
      <c r="H330">
        <v>12.527900000000001</v>
      </c>
      <c r="I330">
        <v>0.76880000000000004</v>
      </c>
      <c r="J330">
        <v>16.016999999999999</v>
      </c>
      <c r="K330">
        <v>2302.4499999999998</v>
      </c>
      <c r="L330">
        <v>0</v>
      </c>
    </row>
    <row r="331" spans="1:12" x14ac:dyDescent="0.35">
      <c r="A331" s="3" t="s">
        <v>346</v>
      </c>
      <c r="B331" s="1" t="str">
        <f t="shared" si="10"/>
        <v>Corumba IV</v>
      </c>
      <c r="C331" s="1">
        <f t="shared" si="11"/>
        <v>-2481</v>
      </c>
      <c r="D331">
        <v>0</v>
      </c>
      <c r="E331">
        <v>0</v>
      </c>
      <c r="F331">
        <v>0</v>
      </c>
      <c r="G331">
        <v>0.3629</v>
      </c>
      <c r="H331">
        <v>129.65700000000001</v>
      </c>
      <c r="I331">
        <v>2.9609999999999999</v>
      </c>
      <c r="J331">
        <v>127.05889999999999</v>
      </c>
      <c r="K331">
        <v>0</v>
      </c>
      <c r="L331">
        <v>0</v>
      </c>
    </row>
    <row r="332" spans="1:12" x14ac:dyDescent="0.35">
      <c r="A332" s="3" t="s">
        <v>347</v>
      </c>
      <c r="B332" s="1" t="str">
        <f t="shared" si="10"/>
        <v>Lago Paranoa</v>
      </c>
      <c r="C332" s="1">
        <f t="shared" si="11"/>
        <v>-2481</v>
      </c>
      <c r="D332">
        <v>0</v>
      </c>
      <c r="E332">
        <v>2302.4499999999998</v>
      </c>
      <c r="F332">
        <v>0.35610000000000003</v>
      </c>
      <c r="G332">
        <v>4.6135000000000002</v>
      </c>
      <c r="H332">
        <v>10.6829</v>
      </c>
      <c r="I332">
        <v>0.76880000000000004</v>
      </c>
      <c r="J332">
        <v>14.1715</v>
      </c>
      <c r="K332">
        <v>2302.4499999999998</v>
      </c>
      <c r="L332">
        <v>0</v>
      </c>
    </row>
    <row r="333" spans="1:12" x14ac:dyDescent="0.35">
      <c r="A333" s="3" t="s">
        <v>348</v>
      </c>
      <c r="B333" s="1" t="str">
        <f t="shared" si="10"/>
        <v>Corumba IV</v>
      </c>
      <c r="C333" s="1">
        <f t="shared" si="11"/>
        <v>-2480</v>
      </c>
      <c r="D333">
        <v>0</v>
      </c>
      <c r="E333">
        <v>0</v>
      </c>
      <c r="F333">
        <v>0</v>
      </c>
      <c r="G333">
        <v>0.3629</v>
      </c>
      <c r="H333">
        <v>98.159000000000006</v>
      </c>
      <c r="I333">
        <v>3.31</v>
      </c>
      <c r="J333">
        <v>95.2119</v>
      </c>
      <c r="K333">
        <v>0</v>
      </c>
      <c r="L333">
        <v>0</v>
      </c>
    </row>
    <row r="334" spans="1:12" x14ac:dyDescent="0.35">
      <c r="A334" s="3" t="s">
        <v>349</v>
      </c>
      <c r="B334" s="1" t="str">
        <f t="shared" si="10"/>
        <v>Lago Paranoa</v>
      </c>
      <c r="C334" s="1">
        <f t="shared" si="11"/>
        <v>-2480</v>
      </c>
      <c r="D334">
        <v>0</v>
      </c>
      <c r="E334">
        <v>2302.4499999999998</v>
      </c>
      <c r="F334">
        <v>0.35639999999999999</v>
      </c>
      <c r="G334">
        <v>4.2489999999999997</v>
      </c>
      <c r="H334">
        <v>9.6306999999999992</v>
      </c>
      <c r="I334">
        <v>0.83750000000000002</v>
      </c>
      <c r="J334">
        <v>12.6858</v>
      </c>
      <c r="K334">
        <v>2302.4499999999998</v>
      </c>
      <c r="L334">
        <v>0</v>
      </c>
    </row>
    <row r="335" spans="1:12" x14ac:dyDescent="0.35">
      <c r="A335" s="3" t="s">
        <v>350</v>
      </c>
      <c r="B335" s="1" t="str">
        <f t="shared" si="10"/>
        <v>Corumba IV</v>
      </c>
      <c r="C335" s="1">
        <f t="shared" si="11"/>
        <v>-2479</v>
      </c>
      <c r="D335">
        <v>0</v>
      </c>
      <c r="E335">
        <v>0</v>
      </c>
      <c r="F335">
        <v>0</v>
      </c>
      <c r="G335">
        <v>0.3629</v>
      </c>
      <c r="H335">
        <v>85.418499999999995</v>
      </c>
      <c r="I335">
        <v>3.5207999999999999</v>
      </c>
      <c r="J335">
        <v>82.260599999999997</v>
      </c>
      <c r="K335">
        <v>0</v>
      </c>
      <c r="L335">
        <v>0</v>
      </c>
    </row>
    <row r="336" spans="1:12" x14ac:dyDescent="0.35">
      <c r="A336" s="3" t="s">
        <v>351</v>
      </c>
      <c r="B336" s="1" t="str">
        <f t="shared" si="10"/>
        <v>Lago Paranoa</v>
      </c>
      <c r="C336" s="1">
        <f t="shared" si="11"/>
        <v>-2479</v>
      </c>
      <c r="D336">
        <v>0</v>
      </c>
      <c r="E336">
        <v>2302.4499999999998</v>
      </c>
      <c r="F336">
        <v>0.33789999999999998</v>
      </c>
      <c r="G336">
        <v>3.4165000000000001</v>
      </c>
      <c r="H336">
        <v>9.2803000000000004</v>
      </c>
      <c r="I336">
        <v>0.97460000000000002</v>
      </c>
      <c r="J336">
        <v>11.3843</v>
      </c>
      <c r="K336">
        <v>2302.4499999999998</v>
      </c>
      <c r="L336">
        <v>0</v>
      </c>
    </row>
    <row r="337" spans="1:12" x14ac:dyDescent="0.35">
      <c r="A337" s="3" t="s">
        <v>352</v>
      </c>
      <c r="B337" s="1" t="str">
        <f t="shared" si="10"/>
        <v>Corumba IV</v>
      </c>
      <c r="C337" s="1">
        <f t="shared" si="11"/>
        <v>-2478</v>
      </c>
      <c r="D337">
        <v>0</v>
      </c>
      <c r="E337">
        <v>0</v>
      </c>
      <c r="F337">
        <v>0</v>
      </c>
      <c r="G337">
        <v>0.3629</v>
      </c>
      <c r="H337">
        <v>76.2834</v>
      </c>
      <c r="I337">
        <v>3.9243999999999999</v>
      </c>
      <c r="J337">
        <v>72.721900000000005</v>
      </c>
      <c r="K337">
        <v>0</v>
      </c>
      <c r="L337">
        <v>0</v>
      </c>
    </row>
    <row r="338" spans="1:12" x14ac:dyDescent="0.35">
      <c r="A338" s="3" t="s">
        <v>353</v>
      </c>
      <c r="B338" s="1" t="str">
        <f t="shared" si="10"/>
        <v>Lago Paranoa</v>
      </c>
      <c r="C338" s="1">
        <f t="shared" si="11"/>
        <v>-2478</v>
      </c>
      <c r="D338">
        <v>0</v>
      </c>
      <c r="E338">
        <v>2302.4499999999998</v>
      </c>
      <c r="F338">
        <v>0.3382</v>
      </c>
      <c r="G338">
        <v>3.5655000000000001</v>
      </c>
      <c r="H338">
        <v>8.9808000000000003</v>
      </c>
      <c r="I338">
        <v>0.99870000000000003</v>
      </c>
      <c r="J338">
        <v>11.2094</v>
      </c>
      <c r="K338">
        <v>2302.4499999999998</v>
      </c>
      <c r="L338">
        <v>0</v>
      </c>
    </row>
    <row r="339" spans="1:12" x14ac:dyDescent="0.35">
      <c r="A339" s="3" t="s">
        <v>354</v>
      </c>
      <c r="B339" s="1" t="str">
        <f t="shared" si="10"/>
        <v>Corumba IV</v>
      </c>
      <c r="C339" s="1">
        <f t="shared" si="11"/>
        <v>-2477</v>
      </c>
      <c r="D339">
        <v>0</v>
      </c>
      <c r="E339">
        <v>0</v>
      </c>
      <c r="F339">
        <v>0</v>
      </c>
      <c r="G339">
        <v>0.3629</v>
      </c>
      <c r="H339">
        <v>70.828999999999994</v>
      </c>
      <c r="I339">
        <v>3.9243999999999999</v>
      </c>
      <c r="J339">
        <v>67.267499999999998</v>
      </c>
      <c r="K339">
        <v>0</v>
      </c>
      <c r="L339">
        <v>0</v>
      </c>
    </row>
    <row r="340" spans="1:12" x14ac:dyDescent="0.35">
      <c r="A340" s="3" t="s">
        <v>355</v>
      </c>
      <c r="B340" s="1" t="str">
        <f t="shared" si="10"/>
        <v>Lago Paranoa</v>
      </c>
      <c r="C340" s="1">
        <f t="shared" si="11"/>
        <v>-2477</v>
      </c>
      <c r="D340">
        <v>0</v>
      </c>
      <c r="E340">
        <v>2302.4499999999998</v>
      </c>
      <c r="F340">
        <v>0.33850000000000002</v>
      </c>
      <c r="G340">
        <v>3.4618000000000002</v>
      </c>
      <c r="H340">
        <v>7.5006000000000004</v>
      </c>
      <c r="I340">
        <v>0.99870000000000003</v>
      </c>
      <c r="J340">
        <v>9.6250999999999998</v>
      </c>
      <c r="K340">
        <v>2302.4499999999998</v>
      </c>
      <c r="L340">
        <v>0</v>
      </c>
    </row>
    <row r="341" spans="1:12" x14ac:dyDescent="0.35">
      <c r="A341" s="3" t="s">
        <v>356</v>
      </c>
      <c r="B341" s="1" t="str">
        <f t="shared" si="10"/>
        <v>Corumba IV</v>
      </c>
      <c r="C341" s="1">
        <f t="shared" si="11"/>
        <v>-2476</v>
      </c>
      <c r="D341">
        <v>0</v>
      </c>
      <c r="E341">
        <v>0</v>
      </c>
      <c r="F341">
        <v>0</v>
      </c>
      <c r="G341">
        <v>0.3629</v>
      </c>
      <c r="H341">
        <v>69.939899999999994</v>
      </c>
      <c r="I341">
        <v>3.9243999999999999</v>
      </c>
      <c r="J341">
        <v>66.378399999999999</v>
      </c>
      <c r="K341">
        <v>0</v>
      </c>
      <c r="L341">
        <v>0</v>
      </c>
    </row>
    <row r="342" spans="1:12" x14ac:dyDescent="0.35">
      <c r="A342" s="3" t="s">
        <v>357</v>
      </c>
      <c r="B342" s="1" t="str">
        <f t="shared" si="10"/>
        <v>Lago Paranoa</v>
      </c>
      <c r="C342" s="1">
        <f t="shared" si="11"/>
        <v>-2476</v>
      </c>
      <c r="D342">
        <v>0</v>
      </c>
      <c r="E342">
        <v>2302.4499999999998</v>
      </c>
      <c r="F342">
        <v>0.33879999999999999</v>
      </c>
      <c r="G342">
        <v>3.3020999999999998</v>
      </c>
      <c r="H342">
        <v>7.0541999999999998</v>
      </c>
      <c r="I342">
        <v>0.99870000000000003</v>
      </c>
      <c r="J342">
        <v>9.0188000000000006</v>
      </c>
      <c r="K342">
        <v>2302.4499999999998</v>
      </c>
      <c r="L342">
        <v>0</v>
      </c>
    </row>
    <row r="343" spans="1:12" x14ac:dyDescent="0.35">
      <c r="A343" s="3" t="s">
        <v>358</v>
      </c>
      <c r="B343" s="1" t="str">
        <f t="shared" si="10"/>
        <v>Corumba IV</v>
      </c>
      <c r="C343" s="1">
        <f t="shared" si="11"/>
        <v>-2475</v>
      </c>
      <c r="D343">
        <v>0</v>
      </c>
      <c r="E343">
        <v>0</v>
      </c>
      <c r="F343">
        <v>0</v>
      </c>
      <c r="G343">
        <v>0.3629</v>
      </c>
      <c r="H343">
        <v>66.988500000000002</v>
      </c>
      <c r="I343">
        <v>4.2992999999999997</v>
      </c>
      <c r="J343">
        <v>63.052100000000003</v>
      </c>
      <c r="K343">
        <v>0</v>
      </c>
      <c r="L343">
        <v>0</v>
      </c>
    </row>
    <row r="344" spans="1:12" x14ac:dyDescent="0.35">
      <c r="A344" s="3" t="s">
        <v>359</v>
      </c>
      <c r="B344" s="1" t="str">
        <f t="shared" si="10"/>
        <v>Lago Paranoa</v>
      </c>
      <c r="C344" s="1">
        <f t="shared" si="11"/>
        <v>-2475</v>
      </c>
      <c r="D344">
        <v>0</v>
      </c>
      <c r="E344">
        <v>2302.4499999999998</v>
      </c>
      <c r="F344">
        <v>0.40600000000000003</v>
      </c>
      <c r="G344">
        <v>2.9319000000000002</v>
      </c>
      <c r="H344">
        <v>6.5252999999999997</v>
      </c>
      <c r="I344">
        <v>1.0036</v>
      </c>
      <c r="J344">
        <v>8.0475999999999992</v>
      </c>
      <c r="K344">
        <v>2302.4499999999998</v>
      </c>
      <c r="L344">
        <v>0</v>
      </c>
    </row>
    <row r="345" spans="1:12" x14ac:dyDescent="0.35">
      <c r="A345" s="3" t="s">
        <v>360</v>
      </c>
      <c r="B345" s="1" t="str">
        <f t="shared" si="10"/>
        <v>Corumba IV</v>
      </c>
      <c r="C345" s="1">
        <f t="shared" si="11"/>
        <v>-2474</v>
      </c>
      <c r="D345">
        <v>0</v>
      </c>
      <c r="E345">
        <v>0</v>
      </c>
      <c r="F345">
        <v>0</v>
      </c>
      <c r="G345">
        <v>0.3629</v>
      </c>
      <c r="H345">
        <v>62.530200000000001</v>
      </c>
      <c r="I345">
        <v>4.4827000000000004</v>
      </c>
      <c r="J345">
        <v>58.410299999999999</v>
      </c>
      <c r="K345">
        <v>0</v>
      </c>
      <c r="L345">
        <v>0</v>
      </c>
    </row>
    <row r="346" spans="1:12" x14ac:dyDescent="0.35">
      <c r="A346" s="3" t="s">
        <v>361</v>
      </c>
      <c r="B346" s="1" t="str">
        <f t="shared" si="10"/>
        <v>Lago Paranoa</v>
      </c>
      <c r="C346" s="1">
        <f t="shared" si="11"/>
        <v>-2474</v>
      </c>
      <c r="D346">
        <v>0</v>
      </c>
      <c r="E346">
        <v>2302.4499999999998</v>
      </c>
      <c r="F346">
        <v>0.40629999999999999</v>
      </c>
      <c r="G346">
        <v>2.8380000000000001</v>
      </c>
      <c r="H346">
        <v>6.3174999999999999</v>
      </c>
      <c r="I346">
        <v>0.92759999999999998</v>
      </c>
      <c r="J346">
        <v>7.8215000000000003</v>
      </c>
      <c r="K346">
        <v>2302.4499999999998</v>
      </c>
      <c r="L346">
        <v>0</v>
      </c>
    </row>
    <row r="347" spans="1:12" x14ac:dyDescent="0.35">
      <c r="A347" s="3" t="s">
        <v>362</v>
      </c>
      <c r="B347" s="1" t="str">
        <f t="shared" si="10"/>
        <v>Corumba IV</v>
      </c>
      <c r="C347" s="1">
        <f t="shared" si="11"/>
        <v>-2473</v>
      </c>
      <c r="D347">
        <v>0</v>
      </c>
      <c r="E347">
        <v>0</v>
      </c>
      <c r="F347">
        <v>0</v>
      </c>
      <c r="G347">
        <v>0.3629</v>
      </c>
      <c r="H347">
        <v>56.719099999999997</v>
      </c>
      <c r="I347">
        <v>4.4095000000000004</v>
      </c>
      <c r="J347">
        <v>52.672499999999999</v>
      </c>
      <c r="K347">
        <v>0</v>
      </c>
      <c r="L347">
        <v>0</v>
      </c>
    </row>
    <row r="348" spans="1:12" x14ac:dyDescent="0.35">
      <c r="A348" s="3" t="s">
        <v>363</v>
      </c>
      <c r="B348" s="1" t="str">
        <f t="shared" si="10"/>
        <v>Lago Paranoa</v>
      </c>
      <c r="C348" s="1">
        <f t="shared" si="11"/>
        <v>-2473</v>
      </c>
      <c r="D348">
        <v>0</v>
      </c>
      <c r="E348">
        <v>2302.4499999999998</v>
      </c>
      <c r="F348">
        <v>0.40670000000000001</v>
      </c>
      <c r="G348">
        <v>2.7999000000000001</v>
      </c>
      <c r="H348">
        <v>6.1311</v>
      </c>
      <c r="I348">
        <v>0.86799999999999999</v>
      </c>
      <c r="J348">
        <v>7.6562999999999999</v>
      </c>
      <c r="K348">
        <v>2302.4499999999998</v>
      </c>
      <c r="L348">
        <v>0</v>
      </c>
    </row>
    <row r="349" spans="1:12" x14ac:dyDescent="0.35">
      <c r="A349" s="3" t="s">
        <v>364</v>
      </c>
      <c r="B349" s="1" t="str">
        <f t="shared" si="10"/>
        <v>Corumba IV</v>
      </c>
      <c r="C349" s="1">
        <f t="shared" si="11"/>
        <v>-2472</v>
      </c>
      <c r="D349">
        <v>0</v>
      </c>
      <c r="E349">
        <v>0</v>
      </c>
      <c r="F349">
        <v>0</v>
      </c>
      <c r="G349">
        <v>0.3629</v>
      </c>
      <c r="H349">
        <v>53.790999999999997</v>
      </c>
      <c r="I349">
        <v>4.4095000000000004</v>
      </c>
      <c r="J349">
        <v>49.744399999999999</v>
      </c>
      <c r="K349">
        <v>0</v>
      </c>
      <c r="L349">
        <v>0</v>
      </c>
    </row>
    <row r="350" spans="1:12" x14ac:dyDescent="0.35">
      <c r="A350" s="3" t="s">
        <v>365</v>
      </c>
      <c r="B350" s="1" t="str">
        <f t="shared" si="10"/>
        <v>Lago Paranoa</v>
      </c>
      <c r="C350" s="1">
        <f t="shared" si="11"/>
        <v>-2472</v>
      </c>
      <c r="D350">
        <v>0</v>
      </c>
      <c r="E350">
        <v>2302.4499999999998</v>
      </c>
      <c r="F350">
        <v>0.40699999999999997</v>
      </c>
      <c r="G350">
        <v>2.73</v>
      </c>
      <c r="H350">
        <v>5.9333</v>
      </c>
      <c r="I350">
        <v>0.86799999999999999</v>
      </c>
      <c r="J350">
        <v>7.3882000000000003</v>
      </c>
      <c r="K350">
        <v>2302.4499999999998</v>
      </c>
      <c r="L350">
        <v>0</v>
      </c>
    </row>
    <row r="351" spans="1:12" x14ac:dyDescent="0.35">
      <c r="A351" s="3" t="s">
        <v>366</v>
      </c>
      <c r="B351" s="1" t="str">
        <f t="shared" si="10"/>
        <v>Corumba IV</v>
      </c>
      <c r="C351" s="1">
        <f t="shared" si="11"/>
        <v>-2471</v>
      </c>
      <c r="D351">
        <v>0</v>
      </c>
      <c r="E351">
        <v>0</v>
      </c>
      <c r="F351">
        <v>0</v>
      </c>
      <c r="G351">
        <v>0.3629</v>
      </c>
      <c r="H351">
        <v>56.298200000000001</v>
      </c>
      <c r="I351">
        <v>4.0750000000000002</v>
      </c>
      <c r="J351">
        <v>52.586100000000002</v>
      </c>
      <c r="K351">
        <v>0</v>
      </c>
      <c r="L351">
        <v>0</v>
      </c>
    </row>
    <row r="352" spans="1:12" x14ac:dyDescent="0.35">
      <c r="A352" s="3" t="s">
        <v>367</v>
      </c>
      <c r="B352" s="1" t="str">
        <f t="shared" si="10"/>
        <v>Lago Paranoa</v>
      </c>
      <c r="C352" s="1">
        <f t="shared" si="11"/>
        <v>-2471</v>
      </c>
      <c r="D352">
        <v>0</v>
      </c>
      <c r="E352">
        <v>2302.4499999999998</v>
      </c>
      <c r="F352">
        <v>0.4073</v>
      </c>
      <c r="G352">
        <v>2.9287999999999998</v>
      </c>
      <c r="H352">
        <v>6.9198000000000004</v>
      </c>
      <c r="I352">
        <v>0.84130000000000005</v>
      </c>
      <c r="J352">
        <v>8.5998999999999999</v>
      </c>
      <c r="K352">
        <v>2302.4499999999998</v>
      </c>
      <c r="L352">
        <v>0</v>
      </c>
    </row>
    <row r="353" spans="1:12" x14ac:dyDescent="0.35">
      <c r="A353" s="3" t="s">
        <v>368</v>
      </c>
      <c r="B353" s="1" t="str">
        <f t="shared" si="10"/>
        <v>Corumba IV</v>
      </c>
      <c r="C353" s="1">
        <f t="shared" si="11"/>
        <v>-2470</v>
      </c>
      <c r="D353">
        <v>0</v>
      </c>
      <c r="E353">
        <v>0</v>
      </c>
      <c r="F353">
        <v>0</v>
      </c>
      <c r="G353">
        <v>0.3629</v>
      </c>
      <c r="H353">
        <v>50.552199999999999</v>
      </c>
      <c r="I353">
        <v>3.4424999999999999</v>
      </c>
      <c r="J353">
        <v>47.4726</v>
      </c>
      <c r="K353">
        <v>0</v>
      </c>
      <c r="L353">
        <v>0</v>
      </c>
    </row>
    <row r="354" spans="1:12" x14ac:dyDescent="0.35">
      <c r="A354" s="3" t="s">
        <v>369</v>
      </c>
      <c r="B354" s="1" t="str">
        <f t="shared" si="10"/>
        <v>Lago Paranoa</v>
      </c>
      <c r="C354" s="1">
        <f t="shared" si="11"/>
        <v>-2470</v>
      </c>
      <c r="D354">
        <v>0</v>
      </c>
      <c r="E354">
        <v>2302.4499999999998</v>
      </c>
      <c r="F354">
        <v>0.4234</v>
      </c>
      <c r="G354">
        <v>2.9516</v>
      </c>
      <c r="H354">
        <v>6.4268000000000001</v>
      </c>
      <c r="I354">
        <v>0.82899999999999996</v>
      </c>
      <c r="J354">
        <v>8.1258999999999997</v>
      </c>
      <c r="K354">
        <v>2302.4499999999998</v>
      </c>
      <c r="L354">
        <v>0</v>
      </c>
    </row>
    <row r="355" spans="1:12" x14ac:dyDescent="0.35">
      <c r="A355" s="3" t="s">
        <v>370</v>
      </c>
      <c r="B355" s="1" t="str">
        <f t="shared" si="10"/>
        <v>Corumba IV</v>
      </c>
      <c r="C355" s="1">
        <f t="shared" si="11"/>
        <v>-2469</v>
      </c>
      <c r="D355">
        <v>0</v>
      </c>
      <c r="E355">
        <v>0</v>
      </c>
      <c r="F355">
        <v>0</v>
      </c>
      <c r="G355">
        <v>0.3629</v>
      </c>
      <c r="H355">
        <v>46.207599999999999</v>
      </c>
      <c r="I355">
        <v>4.6647999999999996</v>
      </c>
      <c r="J355">
        <v>41.9056</v>
      </c>
      <c r="K355">
        <v>0</v>
      </c>
      <c r="L355">
        <v>0</v>
      </c>
    </row>
    <row r="356" spans="1:12" x14ac:dyDescent="0.35">
      <c r="A356" s="3" t="s">
        <v>371</v>
      </c>
      <c r="B356" s="1" t="str">
        <f t="shared" si="10"/>
        <v>Lago Paranoa</v>
      </c>
      <c r="C356" s="1">
        <f t="shared" si="11"/>
        <v>-2469</v>
      </c>
      <c r="D356">
        <v>0</v>
      </c>
      <c r="E356">
        <v>2302.4499999999998</v>
      </c>
      <c r="F356">
        <v>0.4234</v>
      </c>
      <c r="G356">
        <v>2.9024000000000001</v>
      </c>
      <c r="H356">
        <v>6.2332000000000001</v>
      </c>
      <c r="I356">
        <v>1.1564000000000001</v>
      </c>
      <c r="J356">
        <v>7.5557999999999996</v>
      </c>
      <c r="K356">
        <v>2302.4499999999998</v>
      </c>
      <c r="L356">
        <v>0</v>
      </c>
    </row>
    <row r="357" spans="1:12" x14ac:dyDescent="0.35">
      <c r="A357" s="3" t="s">
        <v>372</v>
      </c>
      <c r="B357" s="1" t="str">
        <f t="shared" si="10"/>
        <v>Corumba IV</v>
      </c>
      <c r="C357" s="1">
        <f t="shared" si="11"/>
        <v>-2468</v>
      </c>
      <c r="D357">
        <v>0</v>
      </c>
      <c r="E357">
        <v>0</v>
      </c>
      <c r="F357">
        <v>0</v>
      </c>
      <c r="G357">
        <v>0.3629</v>
      </c>
      <c r="H357">
        <v>43.167700000000004</v>
      </c>
      <c r="I357">
        <v>4.6647999999999996</v>
      </c>
      <c r="J357">
        <v>38.865699999999997</v>
      </c>
      <c r="K357">
        <v>0</v>
      </c>
      <c r="L357">
        <v>0</v>
      </c>
    </row>
    <row r="358" spans="1:12" x14ac:dyDescent="0.35">
      <c r="A358" s="3" t="s">
        <v>373</v>
      </c>
      <c r="B358" s="1" t="str">
        <f t="shared" si="10"/>
        <v>Lago Paranoa</v>
      </c>
      <c r="C358" s="1">
        <f t="shared" si="11"/>
        <v>-2468</v>
      </c>
      <c r="D358">
        <v>0</v>
      </c>
      <c r="E358">
        <v>2302.4499999999998</v>
      </c>
      <c r="F358">
        <v>0.4234</v>
      </c>
      <c r="G358">
        <v>2.6737000000000002</v>
      </c>
      <c r="H358">
        <v>5.6604999999999999</v>
      </c>
      <c r="I358">
        <v>1.1564000000000001</v>
      </c>
      <c r="J358">
        <v>6.7545000000000002</v>
      </c>
      <c r="K358">
        <v>2302.4499999999998</v>
      </c>
      <c r="L358">
        <v>0</v>
      </c>
    </row>
    <row r="359" spans="1:12" x14ac:dyDescent="0.35">
      <c r="A359" s="3" t="s">
        <v>374</v>
      </c>
      <c r="B359" s="1" t="str">
        <f t="shared" si="10"/>
        <v>Corumba IV</v>
      </c>
      <c r="C359" s="1">
        <f t="shared" si="11"/>
        <v>-2467</v>
      </c>
      <c r="D359">
        <v>0</v>
      </c>
      <c r="E359">
        <v>0</v>
      </c>
      <c r="F359">
        <v>0</v>
      </c>
      <c r="G359">
        <v>0.3629</v>
      </c>
      <c r="H359">
        <v>41.049300000000002</v>
      </c>
      <c r="I359">
        <v>4.6647999999999996</v>
      </c>
      <c r="J359">
        <v>36.747399999999999</v>
      </c>
      <c r="K359">
        <v>0</v>
      </c>
      <c r="L359">
        <v>0</v>
      </c>
    </row>
    <row r="360" spans="1:12" x14ac:dyDescent="0.35">
      <c r="A360" s="3" t="s">
        <v>375</v>
      </c>
      <c r="B360" s="1" t="str">
        <f t="shared" si="10"/>
        <v>Lago Paranoa</v>
      </c>
      <c r="C360" s="1">
        <f t="shared" si="11"/>
        <v>-2467</v>
      </c>
      <c r="D360">
        <v>0</v>
      </c>
      <c r="E360">
        <v>2302.4499999999998</v>
      </c>
      <c r="F360">
        <v>0.4234</v>
      </c>
      <c r="G360">
        <v>2.3485999999999998</v>
      </c>
      <c r="H360">
        <v>5.5815000000000001</v>
      </c>
      <c r="I360">
        <v>1.1564000000000001</v>
      </c>
      <c r="J360">
        <v>6.3503999999999996</v>
      </c>
      <c r="K360">
        <v>2302.4499999999998</v>
      </c>
      <c r="L360">
        <v>0</v>
      </c>
    </row>
    <row r="361" spans="1:12" x14ac:dyDescent="0.35">
      <c r="A361" s="3" t="s">
        <v>376</v>
      </c>
      <c r="B361" s="1" t="str">
        <f t="shared" si="10"/>
        <v>Corumba IV</v>
      </c>
      <c r="C361" s="1">
        <f t="shared" si="11"/>
        <v>-2466</v>
      </c>
      <c r="D361">
        <v>0</v>
      </c>
      <c r="E361">
        <v>0</v>
      </c>
      <c r="F361">
        <v>0</v>
      </c>
      <c r="G361">
        <v>0.3629</v>
      </c>
      <c r="H361">
        <v>38.033999999999999</v>
      </c>
      <c r="I361">
        <v>5.8029000000000002</v>
      </c>
      <c r="J361">
        <v>32.594000000000001</v>
      </c>
      <c r="K361">
        <v>0</v>
      </c>
      <c r="L361">
        <v>0</v>
      </c>
    </row>
    <row r="362" spans="1:12" x14ac:dyDescent="0.35">
      <c r="A362" s="3" t="s">
        <v>377</v>
      </c>
      <c r="B362" s="1" t="str">
        <f t="shared" si="10"/>
        <v>Lago Paranoa</v>
      </c>
      <c r="C362" s="1">
        <f t="shared" si="11"/>
        <v>-2466</v>
      </c>
      <c r="D362">
        <v>0</v>
      </c>
      <c r="E362">
        <v>2302.4499999999998</v>
      </c>
      <c r="F362">
        <v>0.4234</v>
      </c>
      <c r="G362">
        <v>2.2385999999999999</v>
      </c>
      <c r="H362">
        <v>5.5239000000000003</v>
      </c>
      <c r="I362">
        <v>1.4234</v>
      </c>
      <c r="J362">
        <v>5.9157999999999999</v>
      </c>
      <c r="K362">
        <v>2302.4499999999998</v>
      </c>
      <c r="L362">
        <v>0</v>
      </c>
    </row>
    <row r="363" spans="1:12" x14ac:dyDescent="0.35">
      <c r="A363" s="3" t="s">
        <v>378</v>
      </c>
      <c r="B363" s="1" t="str">
        <f t="shared" si="10"/>
        <v>Corumba IV</v>
      </c>
      <c r="C363" s="1">
        <f t="shared" si="11"/>
        <v>-2465</v>
      </c>
      <c r="D363">
        <v>0</v>
      </c>
      <c r="E363">
        <v>0</v>
      </c>
      <c r="F363">
        <v>0</v>
      </c>
      <c r="G363">
        <v>0.3629</v>
      </c>
      <c r="H363">
        <v>35.522500000000001</v>
      </c>
      <c r="I363">
        <v>5.9926000000000004</v>
      </c>
      <c r="J363">
        <v>29.892800000000001</v>
      </c>
      <c r="K363">
        <v>0</v>
      </c>
      <c r="L363">
        <v>0</v>
      </c>
    </row>
    <row r="364" spans="1:12" x14ac:dyDescent="0.35">
      <c r="A364" s="3" t="s">
        <v>379</v>
      </c>
      <c r="B364" s="1" t="str">
        <f t="shared" si="10"/>
        <v>Lago Paranoa</v>
      </c>
      <c r="C364" s="1">
        <f t="shared" si="11"/>
        <v>-2465</v>
      </c>
      <c r="D364">
        <v>0</v>
      </c>
      <c r="E364">
        <v>2302.4499999999998</v>
      </c>
      <c r="F364">
        <v>0.4234</v>
      </c>
      <c r="G364">
        <v>2.4123000000000001</v>
      </c>
      <c r="H364">
        <v>5.3757000000000001</v>
      </c>
      <c r="I364">
        <v>1.4679</v>
      </c>
      <c r="J364">
        <v>5.8967000000000001</v>
      </c>
      <c r="K364">
        <v>2302.4499999999998</v>
      </c>
      <c r="L364">
        <v>0</v>
      </c>
    </row>
    <row r="365" spans="1:12" x14ac:dyDescent="0.35">
      <c r="A365" s="3" t="s">
        <v>380</v>
      </c>
      <c r="B365" s="1" t="str">
        <f t="shared" si="10"/>
        <v>Corumba IV</v>
      </c>
      <c r="C365" s="1">
        <f t="shared" si="11"/>
        <v>-2464</v>
      </c>
      <c r="D365">
        <v>0</v>
      </c>
      <c r="E365">
        <v>0</v>
      </c>
      <c r="F365">
        <v>0</v>
      </c>
      <c r="G365">
        <v>0.3629</v>
      </c>
      <c r="H365">
        <v>33.424700000000001</v>
      </c>
      <c r="I365">
        <v>5.9926000000000004</v>
      </c>
      <c r="J365">
        <v>27.795000000000002</v>
      </c>
      <c r="K365">
        <v>0</v>
      </c>
      <c r="L365">
        <v>0</v>
      </c>
    </row>
    <row r="366" spans="1:12" x14ac:dyDescent="0.35">
      <c r="A366" s="3" t="s">
        <v>381</v>
      </c>
      <c r="B366" s="1" t="str">
        <f t="shared" si="10"/>
        <v>Lago Paranoa</v>
      </c>
      <c r="C366" s="1">
        <f t="shared" si="11"/>
        <v>-2464</v>
      </c>
      <c r="D366">
        <v>0</v>
      </c>
      <c r="E366">
        <v>2302.4499999999998</v>
      </c>
      <c r="F366">
        <v>0.4234</v>
      </c>
      <c r="G366">
        <v>2.4563000000000001</v>
      </c>
      <c r="H366">
        <v>5.2343000000000002</v>
      </c>
      <c r="I366">
        <v>1.4679</v>
      </c>
      <c r="J366">
        <v>5.7992999999999997</v>
      </c>
      <c r="K366">
        <v>2302.4499999999998</v>
      </c>
      <c r="L366">
        <v>0</v>
      </c>
    </row>
    <row r="367" spans="1:12" x14ac:dyDescent="0.35">
      <c r="A367" s="3" t="s">
        <v>382</v>
      </c>
      <c r="B367" s="1" t="str">
        <f t="shared" si="10"/>
        <v>Corumba IV</v>
      </c>
      <c r="C367" s="1">
        <f t="shared" si="11"/>
        <v>-2463</v>
      </c>
      <c r="D367">
        <v>0</v>
      </c>
      <c r="E367">
        <v>0</v>
      </c>
      <c r="F367">
        <v>0</v>
      </c>
      <c r="G367">
        <v>0.3629</v>
      </c>
      <c r="H367">
        <v>31.653500000000001</v>
      </c>
      <c r="I367">
        <v>5.9926000000000004</v>
      </c>
      <c r="J367">
        <v>26.023800000000001</v>
      </c>
      <c r="K367">
        <v>0</v>
      </c>
      <c r="L367">
        <v>0</v>
      </c>
    </row>
    <row r="368" spans="1:12" x14ac:dyDescent="0.35">
      <c r="A368" s="3" t="s">
        <v>383</v>
      </c>
      <c r="B368" s="1" t="str">
        <f t="shared" si="10"/>
        <v>Lago Paranoa</v>
      </c>
      <c r="C368" s="1">
        <f t="shared" si="11"/>
        <v>-2463</v>
      </c>
      <c r="D368">
        <v>0</v>
      </c>
      <c r="E368">
        <v>2302.4499999999998</v>
      </c>
      <c r="F368">
        <v>0.4234</v>
      </c>
      <c r="G368">
        <v>2.4329999999999998</v>
      </c>
      <c r="H368">
        <v>5.1520000000000001</v>
      </c>
      <c r="I368">
        <v>1.4679</v>
      </c>
      <c r="J368">
        <v>5.6936999999999998</v>
      </c>
      <c r="K368">
        <v>2302.4499999999998</v>
      </c>
      <c r="L368">
        <v>0</v>
      </c>
    </row>
    <row r="369" spans="1:12" x14ac:dyDescent="0.35">
      <c r="A369" s="3" t="s">
        <v>384</v>
      </c>
      <c r="B369" s="1" t="str">
        <f t="shared" si="10"/>
        <v>Corumba IV</v>
      </c>
      <c r="C369" s="1">
        <f t="shared" si="11"/>
        <v>-2462</v>
      </c>
      <c r="D369">
        <v>0</v>
      </c>
      <c r="E369">
        <v>0</v>
      </c>
      <c r="F369">
        <v>0</v>
      </c>
      <c r="G369">
        <v>0.3629</v>
      </c>
      <c r="H369">
        <v>30.264199999999999</v>
      </c>
      <c r="I369">
        <v>6.1775000000000002</v>
      </c>
      <c r="J369">
        <v>24.4496</v>
      </c>
      <c r="K369">
        <v>0</v>
      </c>
      <c r="L369">
        <v>0</v>
      </c>
    </row>
    <row r="370" spans="1:12" x14ac:dyDescent="0.35">
      <c r="A370" s="3" t="s">
        <v>385</v>
      </c>
      <c r="B370" s="1" t="str">
        <f t="shared" si="10"/>
        <v>Lago Paranoa</v>
      </c>
      <c r="C370" s="1">
        <f t="shared" si="11"/>
        <v>-2462</v>
      </c>
      <c r="D370">
        <v>0</v>
      </c>
      <c r="E370">
        <v>2302.4499999999998</v>
      </c>
      <c r="F370">
        <v>0.4234</v>
      </c>
      <c r="G370">
        <v>2.4691000000000001</v>
      </c>
      <c r="H370">
        <v>5.2054999999999998</v>
      </c>
      <c r="I370">
        <v>1.4944</v>
      </c>
      <c r="J370">
        <v>5.7568000000000001</v>
      </c>
      <c r="K370">
        <v>2302.4499999999998</v>
      </c>
      <c r="L370">
        <v>0</v>
      </c>
    </row>
    <row r="371" spans="1:12" x14ac:dyDescent="0.35">
      <c r="A371" s="3" t="s">
        <v>386</v>
      </c>
      <c r="B371" s="1" t="str">
        <f t="shared" si="10"/>
        <v>Corumba IV</v>
      </c>
      <c r="C371" s="1">
        <f t="shared" si="11"/>
        <v>-2461</v>
      </c>
      <c r="D371">
        <v>0</v>
      </c>
      <c r="E371">
        <v>0</v>
      </c>
      <c r="F371">
        <v>0</v>
      </c>
      <c r="G371">
        <v>0.3629</v>
      </c>
      <c r="H371">
        <v>32.764600000000002</v>
      </c>
      <c r="I371">
        <v>6.5984999999999996</v>
      </c>
      <c r="J371">
        <v>26.529</v>
      </c>
      <c r="K371">
        <v>0</v>
      </c>
      <c r="L371">
        <v>0</v>
      </c>
    </row>
    <row r="372" spans="1:12" x14ac:dyDescent="0.35">
      <c r="A372" s="3" t="s">
        <v>387</v>
      </c>
      <c r="B372" s="1" t="str">
        <f t="shared" si="10"/>
        <v>Lago Paranoa</v>
      </c>
      <c r="C372" s="1">
        <f t="shared" si="11"/>
        <v>-2461</v>
      </c>
      <c r="D372">
        <v>0</v>
      </c>
      <c r="E372">
        <v>2302.4499999999998</v>
      </c>
      <c r="F372">
        <v>0.4234</v>
      </c>
      <c r="G372">
        <v>2.4020999999999999</v>
      </c>
      <c r="H372">
        <v>5.3224</v>
      </c>
      <c r="I372">
        <v>1.5647</v>
      </c>
      <c r="J372">
        <v>5.7363999999999997</v>
      </c>
      <c r="K372">
        <v>2302.4499999999998</v>
      </c>
      <c r="L372">
        <v>0</v>
      </c>
    </row>
    <row r="373" spans="1:12" x14ac:dyDescent="0.35">
      <c r="A373" s="3" t="s">
        <v>388</v>
      </c>
      <c r="B373" s="1" t="str">
        <f t="shared" si="10"/>
        <v>Corumba IV</v>
      </c>
      <c r="C373" s="1">
        <f t="shared" si="11"/>
        <v>-2460</v>
      </c>
      <c r="D373">
        <v>0</v>
      </c>
      <c r="E373">
        <v>0</v>
      </c>
      <c r="F373">
        <v>0</v>
      </c>
      <c r="G373">
        <v>0.3629</v>
      </c>
      <c r="H373">
        <v>29.026900000000001</v>
      </c>
      <c r="I373">
        <v>6.5984999999999996</v>
      </c>
      <c r="J373">
        <v>22.7913</v>
      </c>
      <c r="K373">
        <v>0</v>
      </c>
      <c r="L373">
        <v>0</v>
      </c>
    </row>
    <row r="374" spans="1:12" x14ac:dyDescent="0.35">
      <c r="A374" s="3" t="s">
        <v>389</v>
      </c>
      <c r="B374" s="1" t="str">
        <f t="shared" si="10"/>
        <v>Lago Paranoa</v>
      </c>
      <c r="C374" s="1">
        <f t="shared" si="11"/>
        <v>-2460</v>
      </c>
      <c r="D374">
        <v>0</v>
      </c>
      <c r="E374">
        <v>2302.4499999999998</v>
      </c>
      <c r="F374">
        <v>0.4234</v>
      </c>
      <c r="G374">
        <v>2.1941999999999999</v>
      </c>
      <c r="H374">
        <v>4.8056000000000001</v>
      </c>
      <c r="I374">
        <v>1.5647</v>
      </c>
      <c r="J374">
        <v>5.0118</v>
      </c>
      <c r="K374">
        <v>2302.4499999999998</v>
      </c>
      <c r="L374">
        <v>0</v>
      </c>
    </row>
    <row r="375" spans="1:12" x14ac:dyDescent="0.35">
      <c r="A375" s="3" t="s">
        <v>390</v>
      </c>
      <c r="B375" s="1" t="str">
        <f t="shared" si="10"/>
        <v>Corumba IV</v>
      </c>
      <c r="C375" s="1">
        <f t="shared" si="11"/>
        <v>-2459</v>
      </c>
      <c r="D375">
        <v>0</v>
      </c>
      <c r="E375">
        <v>0</v>
      </c>
      <c r="F375">
        <v>0</v>
      </c>
      <c r="G375">
        <v>0.3629</v>
      </c>
      <c r="H375">
        <v>26.802099999999999</v>
      </c>
      <c r="I375">
        <v>6.5984999999999996</v>
      </c>
      <c r="J375">
        <v>20.566500000000001</v>
      </c>
      <c r="K375">
        <v>0</v>
      </c>
      <c r="L375">
        <v>0</v>
      </c>
    </row>
    <row r="376" spans="1:12" x14ac:dyDescent="0.35">
      <c r="A376" s="3" t="s">
        <v>391</v>
      </c>
      <c r="B376" s="1" t="str">
        <f t="shared" si="10"/>
        <v>Lago Paranoa</v>
      </c>
      <c r="C376" s="1">
        <f t="shared" si="11"/>
        <v>-2459</v>
      </c>
      <c r="D376">
        <v>0</v>
      </c>
      <c r="E376">
        <v>2302.4499999999998</v>
      </c>
      <c r="F376">
        <v>0.4234</v>
      </c>
      <c r="G376">
        <v>2.2012999999999998</v>
      </c>
      <c r="H376">
        <v>4.4212999999999996</v>
      </c>
      <c r="I376">
        <v>1.5647</v>
      </c>
      <c r="J376">
        <v>4.6345000000000001</v>
      </c>
      <c r="K376">
        <v>2302.4499999999998</v>
      </c>
      <c r="L376">
        <v>0</v>
      </c>
    </row>
    <row r="377" spans="1:12" x14ac:dyDescent="0.35">
      <c r="A377" s="3" t="s">
        <v>392</v>
      </c>
      <c r="B377" s="1" t="str">
        <f t="shared" si="10"/>
        <v>Corumba IV</v>
      </c>
      <c r="C377" s="1">
        <f t="shared" si="11"/>
        <v>-2458</v>
      </c>
      <c r="D377">
        <v>0</v>
      </c>
      <c r="E377">
        <v>0</v>
      </c>
      <c r="F377">
        <v>0</v>
      </c>
      <c r="G377">
        <v>0.3629</v>
      </c>
      <c r="H377">
        <v>31.7866</v>
      </c>
      <c r="I377">
        <v>6.5670000000000002</v>
      </c>
      <c r="J377">
        <v>25.5825</v>
      </c>
      <c r="K377">
        <v>0</v>
      </c>
      <c r="L377">
        <v>0</v>
      </c>
    </row>
    <row r="378" spans="1:12" x14ac:dyDescent="0.35">
      <c r="A378" s="3" t="s">
        <v>393</v>
      </c>
      <c r="B378" s="1" t="str">
        <f t="shared" si="10"/>
        <v>Lago Paranoa</v>
      </c>
      <c r="C378" s="1">
        <f t="shared" si="11"/>
        <v>-2458</v>
      </c>
      <c r="D378">
        <v>0</v>
      </c>
      <c r="E378">
        <v>2302.4499999999998</v>
      </c>
      <c r="F378">
        <v>0.4234</v>
      </c>
      <c r="G378">
        <v>3.7831999999999999</v>
      </c>
      <c r="H378">
        <v>6.6471999999999998</v>
      </c>
      <c r="I378">
        <v>1.5672999999999999</v>
      </c>
      <c r="J378">
        <v>8.4397000000000002</v>
      </c>
      <c r="K378">
        <v>2302.4499999999998</v>
      </c>
      <c r="L378">
        <v>0</v>
      </c>
    </row>
    <row r="379" spans="1:12" x14ac:dyDescent="0.35">
      <c r="A379" s="3" t="s">
        <v>394</v>
      </c>
      <c r="B379" s="1" t="str">
        <f t="shared" si="10"/>
        <v>Corumba IV</v>
      </c>
      <c r="C379" s="1">
        <f t="shared" si="11"/>
        <v>-2457</v>
      </c>
      <c r="D379">
        <v>0</v>
      </c>
      <c r="E379">
        <v>0</v>
      </c>
      <c r="F379">
        <v>0</v>
      </c>
      <c r="G379">
        <v>0.3629</v>
      </c>
      <c r="H379">
        <v>44.6342</v>
      </c>
      <c r="I379">
        <v>6.3776999999999999</v>
      </c>
      <c r="J379">
        <v>38.619399999999999</v>
      </c>
      <c r="K379">
        <v>0</v>
      </c>
      <c r="L379">
        <v>0</v>
      </c>
    </row>
    <row r="380" spans="1:12" x14ac:dyDescent="0.35">
      <c r="A380" s="3" t="s">
        <v>395</v>
      </c>
      <c r="B380" s="1" t="str">
        <f t="shared" si="10"/>
        <v>Lago Paranoa</v>
      </c>
      <c r="C380" s="1">
        <f t="shared" si="11"/>
        <v>-2457</v>
      </c>
      <c r="D380">
        <v>0</v>
      </c>
      <c r="E380">
        <v>2302.4499999999998</v>
      </c>
      <c r="F380">
        <v>0.4234</v>
      </c>
      <c r="G380">
        <v>4.0404999999999998</v>
      </c>
      <c r="H380">
        <v>6.9542000000000002</v>
      </c>
      <c r="I380">
        <v>1.583</v>
      </c>
      <c r="J380">
        <v>8.9884000000000004</v>
      </c>
      <c r="K380">
        <v>2302.4499999999998</v>
      </c>
      <c r="L380">
        <v>0</v>
      </c>
    </row>
    <row r="381" spans="1:12" x14ac:dyDescent="0.35">
      <c r="A381" s="3" t="s">
        <v>396</v>
      </c>
      <c r="B381" s="1" t="str">
        <f t="shared" si="10"/>
        <v>Corumba IV</v>
      </c>
      <c r="C381" s="1">
        <f t="shared" si="11"/>
        <v>-2456</v>
      </c>
      <c r="D381">
        <v>0</v>
      </c>
      <c r="E381">
        <v>0</v>
      </c>
      <c r="F381">
        <v>0</v>
      </c>
      <c r="G381">
        <v>0.3629</v>
      </c>
      <c r="H381">
        <v>45.118099999999998</v>
      </c>
      <c r="I381">
        <v>6.3776999999999999</v>
      </c>
      <c r="J381">
        <v>39.103299999999997</v>
      </c>
      <c r="K381">
        <v>0</v>
      </c>
      <c r="L381">
        <v>0</v>
      </c>
    </row>
    <row r="382" spans="1:12" x14ac:dyDescent="0.35">
      <c r="A382" s="3" t="s">
        <v>397</v>
      </c>
      <c r="B382" s="1" t="str">
        <f t="shared" si="10"/>
        <v>Lago Paranoa</v>
      </c>
      <c r="C382" s="1">
        <f t="shared" si="11"/>
        <v>-2456</v>
      </c>
      <c r="D382">
        <v>0</v>
      </c>
      <c r="E382">
        <v>2302.4499999999998</v>
      </c>
      <c r="F382">
        <v>0.4234</v>
      </c>
      <c r="G382">
        <v>4.3715000000000002</v>
      </c>
      <c r="H382">
        <v>7.7925000000000004</v>
      </c>
      <c r="I382">
        <v>1.583</v>
      </c>
      <c r="J382">
        <v>10.1577</v>
      </c>
      <c r="K382">
        <v>2302.4499999999998</v>
      </c>
      <c r="L382">
        <v>0</v>
      </c>
    </row>
    <row r="383" spans="1:12" x14ac:dyDescent="0.35">
      <c r="A383" s="3" t="s">
        <v>398</v>
      </c>
      <c r="B383" s="1" t="str">
        <f t="shared" si="10"/>
        <v>Corumba IV</v>
      </c>
      <c r="C383" s="1">
        <f t="shared" si="11"/>
        <v>-2455</v>
      </c>
      <c r="D383">
        <v>0</v>
      </c>
      <c r="E383">
        <v>0</v>
      </c>
      <c r="F383">
        <v>0</v>
      </c>
      <c r="G383">
        <v>0.3629</v>
      </c>
      <c r="H383">
        <v>93.260199999999998</v>
      </c>
      <c r="I383">
        <v>6.3776999999999999</v>
      </c>
      <c r="J383">
        <v>87.2453</v>
      </c>
      <c r="K383">
        <v>0</v>
      </c>
      <c r="L383">
        <v>0</v>
      </c>
    </row>
    <row r="384" spans="1:12" x14ac:dyDescent="0.35">
      <c r="A384" s="3" t="s">
        <v>399</v>
      </c>
      <c r="B384" s="1" t="str">
        <f t="shared" si="10"/>
        <v>Lago Paranoa</v>
      </c>
      <c r="C384" s="1">
        <f t="shared" si="11"/>
        <v>-2455</v>
      </c>
      <c r="D384">
        <v>0</v>
      </c>
      <c r="E384">
        <v>2302.4499999999998</v>
      </c>
      <c r="F384">
        <v>0.4234</v>
      </c>
      <c r="G384">
        <v>5.4751000000000003</v>
      </c>
      <c r="H384">
        <v>13.4543</v>
      </c>
      <c r="I384">
        <v>1.583</v>
      </c>
      <c r="J384">
        <v>16.922999999999998</v>
      </c>
      <c r="K384">
        <v>2302.4499999999998</v>
      </c>
      <c r="L384">
        <v>0</v>
      </c>
    </row>
    <row r="385" spans="1:12" x14ac:dyDescent="0.35">
      <c r="A385" s="3" t="s">
        <v>400</v>
      </c>
      <c r="B385" s="1" t="str">
        <f t="shared" si="10"/>
        <v>Corumba IV</v>
      </c>
      <c r="C385" s="1">
        <f t="shared" si="11"/>
        <v>-2454</v>
      </c>
      <c r="D385">
        <v>0</v>
      </c>
      <c r="E385">
        <v>0</v>
      </c>
      <c r="F385">
        <v>0</v>
      </c>
      <c r="G385">
        <v>0.3629</v>
      </c>
      <c r="H385">
        <v>95.869399999999999</v>
      </c>
      <c r="I385">
        <v>6.3776999999999999</v>
      </c>
      <c r="J385">
        <v>89.854600000000005</v>
      </c>
      <c r="K385">
        <v>0</v>
      </c>
      <c r="L385">
        <v>0</v>
      </c>
    </row>
    <row r="386" spans="1:12" x14ac:dyDescent="0.35">
      <c r="A386" s="3" t="s">
        <v>401</v>
      </c>
      <c r="B386" s="1" t="str">
        <f t="shared" si="10"/>
        <v>Lago Paranoa</v>
      </c>
      <c r="C386" s="1">
        <f t="shared" si="11"/>
        <v>-2454</v>
      </c>
      <c r="D386">
        <v>0</v>
      </c>
      <c r="E386">
        <v>2302.4499999999998</v>
      </c>
      <c r="F386">
        <v>0.4234</v>
      </c>
      <c r="G386">
        <v>7.7104999999999997</v>
      </c>
      <c r="H386">
        <v>10.7395</v>
      </c>
      <c r="I386">
        <v>1.583</v>
      </c>
      <c r="J386">
        <v>16.4437</v>
      </c>
      <c r="K386">
        <v>2302.4499999999998</v>
      </c>
      <c r="L386">
        <v>0</v>
      </c>
    </row>
    <row r="387" spans="1:12" x14ac:dyDescent="0.35">
      <c r="A387" s="3" t="s">
        <v>402</v>
      </c>
      <c r="B387" s="1" t="str">
        <f t="shared" ref="B387:B450" si="12">_xlfn.TEXTBEFORE(_xlfn.TEXTAFTER(A387,"["),"]")</f>
        <v>Corumba IV</v>
      </c>
      <c r="C387" s="1">
        <f t="shared" si="11"/>
        <v>-2453</v>
      </c>
      <c r="D387">
        <v>0</v>
      </c>
      <c r="E387">
        <v>0</v>
      </c>
      <c r="F387">
        <v>0</v>
      </c>
      <c r="G387">
        <v>0.3629</v>
      </c>
      <c r="H387">
        <v>103.1054</v>
      </c>
      <c r="I387">
        <v>5.0914000000000001</v>
      </c>
      <c r="J387">
        <v>98.376999999999995</v>
      </c>
      <c r="K387">
        <v>0</v>
      </c>
      <c r="L387">
        <v>0</v>
      </c>
    </row>
    <row r="388" spans="1:12" x14ac:dyDescent="0.35">
      <c r="A388" s="3" t="s">
        <v>403</v>
      </c>
      <c r="B388" s="1" t="str">
        <f t="shared" si="12"/>
        <v>Lago Paranoa</v>
      </c>
      <c r="C388" s="1">
        <f t="shared" ref="C388:C451" si="13">--_xlfn.TEXTBEFORE(_xlfn.TEXTAFTER(A388,"Week "),":")</f>
        <v>-2453</v>
      </c>
      <c r="D388">
        <v>0</v>
      </c>
      <c r="E388">
        <v>2302.4499999999998</v>
      </c>
      <c r="F388">
        <v>0.4234</v>
      </c>
      <c r="G388">
        <v>4.3993000000000002</v>
      </c>
      <c r="H388">
        <v>11.201499999999999</v>
      </c>
      <c r="I388">
        <v>1.4177999999999999</v>
      </c>
      <c r="J388">
        <v>13.759600000000001</v>
      </c>
      <c r="K388">
        <v>2302.4499999999998</v>
      </c>
      <c r="L388">
        <v>0</v>
      </c>
    </row>
    <row r="389" spans="1:12" x14ac:dyDescent="0.35">
      <c r="A389" s="3" t="s">
        <v>404</v>
      </c>
      <c r="B389" s="1" t="str">
        <f t="shared" si="12"/>
        <v>Corumba IV</v>
      </c>
      <c r="C389" s="1">
        <f t="shared" si="13"/>
        <v>-2452</v>
      </c>
      <c r="D389">
        <v>0</v>
      </c>
      <c r="E389">
        <v>0</v>
      </c>
      <c r="F389">
        <v>0</v>
      </c>
      <c r="G389">
        <v>0.3629</v>
      </c>
      <c r="H389">
        <v>93.685199999999995</v>
      </c>
      <c r="I389">
        <v>3.7183999999999999</v>
      </c>
      <c r="J389">
        <v>90.329800000000006</v>
      </c>
      <c r="K389">
        <v>0</v>
      </c>
      <c r="L389">
        <v>0</v>
      </c>
    </row>
    <row r="390" spans="1:12" x14ac:dyDescent="0.35">
      <c r="A390" s="3" t="s">
        <v>405</v>
      </c>
      <c r="B390" s="1" t="str">
        <f t="shared" si="12"/>
        <v>Lago Paranoa</v>
      </c>
      <c r="C390" s="1">
        <f t="shared" si="13"/>
        <v>-2452</v>
      </c>
      <c r="D390">
        <v>0</v>
      </c>
      <c r="E390">
        <v>2302.4499999999998</v>
      </c>
      <c r="F390">
        <v>0.4234</v>
      </c>
      <c r="G390">
        <v>4.9034000000000004</v>
      </c>
      <c r="H390">
        <v>11.351599999999999</v>
      </c>
      <c r="I390">
        <v>1.0725</v>
      </c>
      <c r="J390">
        <v>14.7592</v>
      </c>
      <c r="K390">
        <v>2302.4499999999998</v>
      </c>
      <c r="L390">
        <v>0</v>
      </c>
    </row>
    <row r="391" spans="1:12" x14ac:dyDescent="0.35">
      <c r="A391" s="3" t="s">
        <v>406</v>
      </c>
      <c r="B391" s="1" t="str">
        <f t="shared" si="12"/>
        <v>Corumba IV</v>
      </c>
      <c r="C391" s="1">
        <f t="shared" si="13"/>
        <v>-2451</v>
      </c>
      <c r="D391">
        <v>0</v>
      </c>
      <c r="E391">
        <v>0</v>
      </c>
      <c r="F391">
        <v>0</v>
      </c>
      <c r="G391">
        <v>0.3629</v>
      </c>
      <c r="H391">
        <v>76.384500000000003</v>
      </c>
      <c r="I391">
        <v>3.5360999999999998</v>
      </c>
      <c r="J391">
        <v>73.211299999999994</v>
      </c>
      <c r="K391">
        <v>0</v>
      </c>
      <c r="L391">
        <v>0</v>
      </c>
    </row>
    <row r="392" spans="1:12" x14ac:dyDescent="0.35">
      <c r="A392" s="3" t="s">
        <v>407</v>
      </c>
      <c r="B392" s="1" t="str">
        <f t="shared" si="12"/>
        <v>Lago Paranoa</v>
      </c>
      <c r="C392" s="1">
        <f t="shared" si="13"/>
        <v>-2451</v>
      </c>
      <c r="D392">
        <v>0</v>
      </c>
      <c r="E392">
        <v>2302.4499999999998</v>
      </c>
      <c r="F392">
        <v>0.4234</v>
      </c>
      <c r="G392">
        <v>6.8612000000000002</v>
      </c>
      <c r="H392">
        <v>13.285500000000001</v>
      </c>
      <c r="I392">
        <v>1.0158</v>
      </c>
      <c r="J392">
        <v>18.707599999999999</v>
      </c>
      <c r="K392">
        <v>2302.4499999999998</v>
      </c>
      <c r="L392">
        <v>0</v>
      </c>
    </row>
    <row r="393" spans="1:12" x14ac:dyDescent="0.35">
      <c r="A393" s="3" t="s">
        <v>408</v>
      </c>
      <c r="B393" s="1" t="str">
        <f t="shared" si="12"/>
        <v>Corumba IV</v>
      </c>
      <c r="C393" s="1">
        <f t="shared" si="13"/>
        <v>-2450</v>
      </c>
      <c r="D393">
        <v>0</v>
      </c>
      <c r="E393">
        <v>0</v>
      </c>
      <c r="F393">
        <v>0</v>
      </c>
      <c r="G393">
        <v>0.3629</v>
      </c>
      <c r="H393">
        <v>107.479</v>
      </c>
      <c r="I393">
        <v>3.5360999999999998</v>
      </c>
      <c r="J393">
        <v>104.3058</v>
      </c>
      <c r="K393">
        <v>0</v>
      </c>
      <c r="L393">
        <v>0</v>
      </c>
    </row>
    <row r="394" spans="1:12" x14ac:dyDescent="0.35">
      <c r="A394" s="3" t="s">
        <v>409</v>
      </c>
      <c r="B394" s="1" t="str">
        <f t="shared" si="12"/>
        <v>Lago Paranoa</v>
      </c>
      <c r="C394" s="1">
        <f t="shared" si="13"/>
        <v>-2450</v>
      </c>
      <c r="D394">
        <v>0</v>
      </c>
      <c r="E394">
        <v>2302.4499999999998</v>
      </c>
      <c r="F394">
        <v>0.4234</v>
      </c>
      <c r="G394">
        <v>5.9634999999999998</v>
      </c>
      <c r="H394">
        <v>17.95</v>
      </c>
      <c r="I394">
        <v>1.0158</v>
      </c>
      <c r="J394">
        <v>22.474399999999999</v>
      </c>
      <c r="K394">
        <v>2302.4499999999998</v>
      </c>
      <c r="L394">
        <v>0</v>
      </c>
    </row>
    <row r="395" spans="1:12" x14ac:dyDescent="0.35">
      <c r="A395" s="3" t="s">
        <v>410</v>
      </c>
      <c r="B395" s="1" t="str">
        <f t="shared" si="12"/>
        <v>Corumba IV</v>
      </c>
      <c r="C395" s="1">
        <f t="shared" si="13"/>
        <v>-2449</v>
      </c>
      <c r="D395">
        <v>0</v>
      </c>
      <c r="E395">
        <v>0</v>
      </c>
      <c r="F395">
        <v>0</v>
      </c>
      <c r="G395">
        <v>0.3629</v>
      </c>
      <c r="H395">
        <v>127.9731</v>
      </c>
      <c r="I395">
        <v>3.9268000000000001</v>
      </c>
      <c r="J395">
        <v>124.4092</v>
      </c>
      <c r="K395">
        <v>0</v>
      </c>
      <c r="L395">
        <v>0</v>
      </c>
    </row>
    <row r="396" spans="1:12" x14ac:dyDescent="0.35">
      <c r="A396" s="3" t="s">
        <v>411</v>
      </c>
      <c r="B396" s="1" t="str">
        <f t="shared" si="12"/>
        <v>Lago Paranoa</v>
      </c>
      <c r="C396" s="1">
        <f t="shared" si="13"/>
        <v>-2449</v>
      </c>
      <c r="D396">
        <v>0</v>
      </c>
      <c r="E396">
        <v>2302.4499999999998</v>
      </c>
      <c r="F396">
        <v>0.32869999999999999</v>
      </c>
      <c r="G396">
        <v>3.5802</v>
      </c>
      <c r="H396">
        <v>17.818000000000001</v>
      </c>
      <c r="I396">
        <v>1.0381</v>
      </c>
      <c r="J396">
        <v>20.031400000000001</v>
      </c>
      <c r="K396">
        <v>2302.4499999999998</v>
      </c>
      <c r="L396">
        <v>0</v>
      </c>
    </row>
    <row r="397" spans="1:12" x14ac:dyDescent="0.35">
      <c r="A397" s="3" t="s">
        <v>412</v>
      </c>
      <c r="B397" s="1" t="str">
        <f t="shared" si="12"/>
        <v>Corumba IV</v>
      </c>
      <c r="C397" s="1">
        <f t="shared" si="13"/>
        <v>-2448</v>
      </c>
      <c r="D397">
        <v>0</v>
      </c>
      <c r="E397">
        <v>0</v>
      </c>
      <c r="F397">
        <v>0</v>
      </c>
      <c r="G397">
        <v>0.3629</v>
      </c>
      <c r="H397">
        <v>117.5403</v>
      </c>
      <c r="I397">
        <v>4.4478</v>
      </c>
      <c r="J397">
        <v>113.4554</v>
      </c>
      <c r="K397">
        <v>0</v>
      </c>
      <c r="L397">
        <v>0</v>
      </c>
    </row>
    <row r="398" spans="1:12" x14ac:dyDescent="0.35">
      <c r="A398" s="3" t="s">
        <v>413</v>
      </c>
      <c r="B398" s="1" t="str">
        <f t="shared" si="12"/>
        <v>Lago Paranoa</v>
      </c>
      <c r="C398" s="1">
        <f t="shared" si="13"/>
        <v>-2448</v>
      </c>
      <c r="D398">
        <v>0</v>
      </c>
      <c r="E398">
        <v>2302.4499999999998</v>
      </c>
      <c r="F398">
        <v>0.32900000000000001</v>
      </c>
      <c r="G398">
        <v>4.8299000000000003</v>
      </c>
      <c r="H398">
        <v>13.423299999999999</v>
      </c>
      <c r="I398">
        <v>1.0680000000000001</v>
      </c>
      <c r="J398">
        <v>16.856300000000001</v>
      </c>
      <c r="K398">
        <v>2302.4499999999998</v>
      </c>
      <c r="L398">
        <v>0</v>
      </c>
    </row>
    <row r="399" spans="1:12" x14ac:dyDescent="0.35">
      <c r="A399" s="3" t="s">
        <v>414</v>
      </c>
      <c r="B399" s="1" t="str">
        <f t="shared" si="12"/>
        <v>Corumba IV</v>
      </c>
      <c r="C399" s="1">
        <f t="shared" si="13"/>
        <v>-2551</v>
      </c>
      <c r="D399">
        <v>0</v>
      </c>
      <c r="E399">
        <v>0</v>
      </c>
      <c r="F399">
        <v>0</v>
      </c>
      <c r="G399">
        <v>0.3629</v>
      </c>
      <c r="H399">
        <v>144.59129999999999</v>
      </c>
      <c r="I399">
        <v>4.3529</v>
      </c>
      <c r="J399">
        <v>140.60130000000001</v>
      </c>
      <c r="K399">
        <v>0</v>
      </c>
      <c r="L399">
        <v>0</v>
      </c>
    </row>
    <row r="400" spans="1:12" x14ac:dyDescent="0.35">
      <c r="A400" s="3" t="s">
        <v>415</v>
      </c>
      <c r="B400" s="1" t="str">
        <f t="shared" si="12"/>
        <v>Lago Paranoa</v>
      </c>
      <c r="C400" s="1">
        <f t="shared" si="13"/>
        <v>-2551</v>
      </c>
      <c r="D400">
        <v>0</v>
      </c>
      <c r="E400">
        <v>2302.4499999999998</v>
      </c>
      <c r="F400">
        <v>0.32929999999999998</v>
      </c>
      <c r="G400">
        <v>4.8914</v>
      </c>
      <c r="H400">
        <v>13.8253</v>
      </c>
      <c r="I400">
        <v>1.0916999999999999</v>
      </c>
      <c r="J400">
        <v>17.2957</v>
      </c>
      <c r="K400">
        <v>2302.4499999999998</v>
      </c>
      <c r="L400">
        <v>0</v>
      </c>
    </row>
    <row r="401" spans="1:12" x14ac:dyDescent="0.35">
      <c r="A401" s="3" t="s">
        <v>416</v>
      </c>
      <c r="B401" s="1" t="str">
        <f t="shared" si="12"/>
        <v>Corumba IV</v>
      </c>
      <c r="C401" s="1">
        <f t="shared" si="13"/>
        <v>-2550</v>
      </c>
      <c r="D401">
        <v>0</v>
      </c>
      <c r="E401">
        <v>0</v>
      </c>
      <c r="F401">
        <v>0</v>
      </c>
      <c r="G401">
        <v>0.3629</v>
      </c>
      <c r="H401">
        <v>180.74529999999999</v>
      </c>
      <c r="I401">
        <v>4.3529</v>
      </c>
      <c r="J401">
        <v>176.75530000000001</v>
      </c>
      <c r="K401">
        <v>0</v>
      </c>
      <c r="L401">
        <v>0</v>
      </c>
    </row>
    <row r="402" spans="1:12" x14ac:dyDescent="0.35">
      <c r="A402" s="3" t="s">
        <v>417</v>
      </c>
      <c r="B402" s="1" t="str">
        <f t="shared" si="12"/>
        <v>Lago Paranoa</v>
      </c>
      <c r="C402" s="1">
        <f t="shared" si="13"/>
        <v>-2550</v>
      </c>
      <c r="D402">
        <v>0</v>
      </c>
      <c r="E402">
        <v>2302.4499999999998</v>
      </c>
      <c r="F402">
        <v>0.3296</v>
      </c>
      <c r="G402">
        <v>4.6974999999999998</v>
      </c>
      <c r="H402">
        <v>14.159700000000001</v>
      </c>
      <c r="I402">
        <v>1.0916999999999999</v>
      </c>
      <c r="J402">
        <v>17.4359</v>
      </c>
      <c r="K402">
        <v>2302.4499999999998</v>
      </c>
      <c r="L402">
        <v>0</v>
      </c>
    </row>
    <row r="403" spans="1:12" x14ac:dyDescent="0.35">
      <c r="A403" s="3" t="s">
        <v>418</v>
      </c>
      <c r="B403" s="1" t="str">
        <f t="shared" si="12"/>
        <v>Corumba IV</v>
      </c>
      <c r="C403" s="1">
        <f t="shared" si="13"/>
        <v>-2549</v>
      </c>
      <c r="D403">
        <v>0</v>
      </c>
      <c r="E403">
        <v>0</v>
      </c>
      <c r="F403">
        <v>0</v>
      </c>
      <c r="G403">
        <v>0.3629</v>
      </c>
      <c r="H403">
        <v>161.11529999999999</v>
      </c>
      <c r="I403">
        <v>4.3529</v>
      </c>
      <c r="J403">
        <v>157.12530000000001</v>
      </c>
      <c r="K403">
        <v>0</v>
      </c>
      <c r="L403">
        <v>0</v>
      </c>
    </row>
    <row r="404" spans="1:12" x14ac:dyDescent="0.35">
      <c r="A404" s="3" t="s">
        <v>419</v>
      </c>
      <c r="B404" s="1" t="str">
        <f t="shared" si="12"/>
        <v>Lago Paranoa</v>
      </c>
      <c r="C404" s="1">
        <f t="shared" si="13"/>
        <v>-2549</v>
      </c>
      <c r="D404">
        <v>0</v>
      </c>
      <c r="E404">
        <v>2302.4499999999998</v>
      </c>
      <c r="F404">
        <v>0.32990000000000003</v>
      </c>
      <c r="G404">
        <v>6.2035</v>
      </c>
      <c r="H404">
        <v>17.078800000000001</v>
      </c>
      <c r="I404">
        <v>1.0916999999999999</v>
      </c>
      <c r="J404">
        <v>21.860600000000002</v>
      </c>
      <c r="K404">
        <v>2302.4499999999998</v>
      </c>
      <c r="L404">
        <v>0</v>
      </c>
    </row>
    <row r="405" spans="1:12" x14ac:dyDescent="0.35">
      <c r="A405" s="3" t="s">
        <v>420</v>
      </c>
      <c r="B405" s="1" t="str">
        <f t="shared" si="12"/>
        <v>Corumba IV</v>
      </c>
      <c r="C405" s="1">
        <f t="shared" si="13"/>
        <v>-2548</v>
      </c>
      <c r="D405">
        <v>0</v>
      </c>
      <c r="E405">
        <v>0</v>
      </c>
      <c r="F405">
        <v>0</v>
      </c>
      <c r="G405">
        <v>0.3629</v>
      </c>
      <c r="H405">
        <v>104.82389999999999</v>
      </c>
      <c r="I405">
        <v>3.9243000000000001</v>
      </c>
      <c r="J405">
        <v>101.2625</v>
      </c>
      <c r="K405">
        <v>0</v>
      </c>
      <c r="L405">
        <v>0</v>
      </c>
    </row>
    <row r="406" spans="1:12" x14ac:dyDescent="0.35">
      <c r="A406" s="3" t="s">
        <v>421</v>
      </c>
      <c r="B406" s="1" t="str">
        <f t="shared" si="12"/>
        <v>Lago Paranoa</v>
      </c>
      <c r="C406" s="1">
        <f t="shared" si="13"/>
        <v>-2548</v>
      </c>
      <c r="D406">
        <v>0</v>
      </c>
      <c r="E406">
        <v>2302.4499999999998</v>
      </c>
      <c r="F406">
        <v>0.36990000000000001</v>
      </c>
      <c r="G406">
        <v>3.9348999999999998</v>
      </c>
      <c r="H406">
        <v>9.6780000000000008</v>
      </c>
      <c r="I406">
        <v>0.78280000000000005</v>
      </c>
      <c r="J406">
        <v>12.460100000000001</v>
      </c>
      <c r="K406">
        <v>2302.4499999999998</v>
      </c>
      <c r="L406">
        <v>0</v>
      </c>
    </row>
    <row r="407" spans="1:12" x14ac:dyDescent="0.35">
      <c r="A407" s="3" t="s">
        <v>422</v>
      </c>
      <c r="B407" s="1" t="str">
        <f t="shared" si="12"/>
        <v>Corumba IV</v>
      </c>
      <c r="C407" s="1">
        <f t="shared" si="13"/>
        <v>-2547</v>
      </c>
      <c r="D407">
        <v>0</v>
      </c>
      <c r="E407">
        <v>0</v>
      </c>
      <c r="F407">
        <v>0</v>
      </c>
      <c r="G407">
        <v>0.3629</v>
      </c>
      <c r="H407">
        <v>90.459900000000005</v>
      </c>
      <c r="I407">
        <v>3.9243000000000001</v>
      </c>
      <c r="J407">
        <v>86.898499999999999</v>
      </c>
      <c r="K407">
        <v>0</v>
      </c>
      <c r="L407">
        <v>0</v>
      </c>
    </row>
    <row r="408" spans="1:12" x14ac:dyDescent="0.35">
      <c r="A408" s="3" t="s">
        <v>423</v>
      </c>
      <c r="B408" s="1" t="str">
        <f t="shared" si="12"/>
        <v>Lago Paranoa</v>
      </c>
      <c r="C408" s="1">
        <f t="shared" si="13"/>
        <v>-2547</v>
      </c>
      <c r="D408">
        <v>0</v>
      </c>
      <c r="E408">
        <v>2302.4499999999998</v>
      </c>
      <c r="F408">
        <v>0.35360000000000003</v>
      </c>
      <c r="G408">
        <v>3.6635</v>
      </c>
      <c r="H408">
        <v>8.8400999999999996</v>
      </c>
      <c r="I408">
        <v>0.78280000000000005</v>
      </c>
      <c r="J408">
        <v>11.367100000000001</v>
      </c>
      <c r="K408">
        <v>2302.4499999999998</v>
      </c>
      <c r="L408">
        <v>0</v>
      </c>
    </row>
    <row r="409" spans="1:12" x14ac:dyDescent="0.35">
      <c r="A409" s="3" t="s">
        <v>424</v>
      </c>
      <c r="B409" s="1" t="str">
        <f t="shared" si="12"/>
        <v>Corumba IV</v>
      </c>
      <c r="C409" s="1">
        <f t="shared" si="13"/>
        <v>-2546</v>
      </c>
      <c r="D409">
        <v>0</v>
      </c>
      <c r="E409">
        <v>0</v>
      </c>
      <c r="F409">
        <v>0</v>
      </c>
      <c r="G409">
        <v>0.3629</v>
      </c>
      <c r="H409">
        <v>81.807000000000002</v>
      </c>
      <c r="I409">
        <v>3.9243000000000001</v>
      </c>
      <c r="J409">
        <v>78.245599999999996</v>
      </c>
      <c r="K409">
        <v>0</v>
      </c>
      <c r="L409">
        <v>0</v>
      </c>
    </row>
    <row r="410" spans="1:12" x14ac:dyDescent="0.35">
      <c r="A410" s="3" t="s">
        <v>425</v>
      </c>
      <c r="B410" s="1" t="str">
        <f t="shared" si="12"/>
        <v>Lago Paranoa</v>
      </c>
      <c r="C410" s="1">
        <f t="shared" si="13"/>
        <v>-2546</v>
      </c>
      <c r="D410">
        <v>0</v>
      </c>
      <c r="E410">
        <v>2302.4499999999998</v>
      </c>
      <c r="F410">
        <v>0.35389999999999999</v>
      </c>
      <c r="G410">
        <v>3.419</v>
      </c>
      <c r="H410">
        <v>8.4146999999999998</v>
      </c>
      <c r="I410">
        <v>0.78280000000000005</v>
      </c>
      <c r="J410">
        <v>10.696899999999999</v>
      </c>
      <c r="K410">
        <v>2302.4499999999998</v>
      </c>
      <c r="L410">
        <v>0</v>
      </c>
    </row>
    <row r="411" spans="1:12" x14ac:dyDescent="0.35">
      <c r="A411" s="3" t="s">
        <v>426</v>
      </c>
      <c r="B411" s="1" t="str">
        <f t="shared" si="12"/>
        <v>Corumba IV</v>
      </c>
      <c r="C411" s="1">
        <f t="shared" si="13"/>
        <v>-2545</v>
      </c>
      <c r="D411">
        <v>0</v>
      </c>
      <c r="E411">
        <v>0</v>
      </c>
      <c r="F411">
        <v>0</v>
      </c>
      <c r="G411">
        <v>0.3629</v>
      </c>
      <c r="H411">
        <v>82.620900000000006</v>
      </c>
      <c r="I411">
        <v>4.1264000000000003</v>
      </c>
      <c r="J411">
        <v>78.857299999999995</v>
      </c>
      <c r="K411">
        <v>0</v>
      </c>
      <c r="L411">
        <v>0</v>
      </c>
    </row>
    <row r="412" spans="1:12" x14ac:dyDescent="0.35">
      <c r="A412" s="3" t="s">
        <v>427</v>
      </c>
      <c r="B412" s="1" t="str">
        <f t="shared" si="12"/>
        <v>Lago Paranoa</v>
      </c>
      <c r="C412" s="1">
        <f t="shared" si="13"/>
        <v>-2545</v>
      </c>
      <c r="D412">
        <v>0</v>
      </c>
      <c r="E412">
        <v>2302.4499999999998</v>
      </c>
      <c r="F412">
        <v>0.3543</v>
      </c>
      <c r="G412">
        <v>3.4666999999999999</v>
      </c>
      <c r="H412">
        <v>8.7835999999999999</v>
      </c>
      <c r="I412">
        <v>0.89590000000000003</v>
      </c>
      <c r="J412">
        <v>11.0001</v>
      </c>
      <c r="K412">
        <v>2302.4499999999998</v>
      </c>
      <c r="L412">
        <v>0</v>
      </c>
    </row>
    <row r="413" spans="1:12" x14ac:dyDescent="0.35">
      <c r="A413" s="3" t="s">
        <v>428</v>
      </c>
      <c r="B413" s="1" t="str">
        <f t="shared" si="12"/>
        <v>Corumba IV</v>
      </c>
      <c r="C413" s="1">
        <f t="shared" si="13"/>
        <v>-2544</v>
      </c>
      <c r="D413">
        <v>0</v>
      </c>
      <c r="E413">
        <v>0</v>
      </c>
      <c r="F413">
        <v>0</v>
      </c>
      <c r="G413">
        <v>0.3629</v>
      </c>
      <c r="H413">
        <v>86.111400000000003</v>
      </c>
      <c r="I413">
        <v>4.8048000000000002</v>
      </c>
      <c r="J413">
        <v>81.669499999999999</v>
      </c>
      <c r="K413">
        <v>0</v>
      </c>
      <c r="L413">
        <v>0</v>
      </c>
    </row>
    <row r="414" spans="1:12" x14ac:dyDescent="0.35">
      <c r="A414" s="3" t="s">
        <v>429</v>
      </c>
      <c r="B414" s="1" t="str">
        <f t="shared" si="12"/>
        <v>Lago Paranoa</v>
      </c>
      <c r="C414" s="1">
        <f t="shared" si="13"/>
        <v>-2544</v>
      </c>
      <c r="D414">
        <v>0</v>
      </c>
      <c r="E414">
        <v>2302.4499999999998</v>
      </c>
      <c r="F414">
        <v>0.4234</v>
      </c>
      <c r="G414">
        <v>3.6311</v>
      </c>
      <c r="H414">
        <v>8.9026999999999994</v>
      </c>
      <c r="I414">
        <v>1.3026</v>
      </c>
      <c r="J414">
        <v>10.8079</v>
      </c>
      <c r="K414">
        <v>2302.4499999999998</v>
      </c>
      <c r="L414">
        <v>0</v>
      </c>
    </row>
    <row r="415" spans="1:12" x14ac:dyDescent="0.35">
      <c r="A415" s="3" t="s">
        <v>430</v>
      </c>
      <c r="B415" s="1" t="str">
        <f t="shared" si="12"/>
        <v>Corumba IV</v>
      </c>
      <c r="C415" s="1">
        <f t="shared" si="13"/>
        <v>-2543</v>
      </c>
      <c r="D415">
        <v>0</v>
      </c>
      <c r="E415">
        <v>0</v>
      </c>
      <c r="F415">
        <v>0</v>
      </c>
      <c r="G415">
        <v>0.3629</v>
      </c>
      <c r="H415">
        <v>78.589399999999998</v>
      </c>
      <c r="I415">
        <v>4.9683999999999999</v>
      </c>
      <c r="J415">
        <v>73.983900000000006</v>
      </c>
      <c r="K415">
        <v>0</v>
      </c>
      <c r="L415">
        <v>0</v>
      </c>
    </row>
    <row r="416" spans="1:12" x14ac:dyDescent="0.35">
      <c r="A416" s="3" t="s">
        <v>431</v>
      </c>
      <c r="B416" s="1" t="str">
        <f t="shared" si="12"/>
        <v>Lago Paranoa</v>
      </c>
      <c r="C416" s="1">
        <f t="shared" si="13"/>
        <v>-2543</v>
      </c>
      <c r="D416">
        <v>0</v>
      </c>
      <c r="E416">
        <v>2302.4499999999998</v>
      </c>
      <c r="F416">
        <v>0.4234</v>
      </c>
      <c r="G416">
        <v>3.6122000000000001</v>
      </c>
      <c r="H416">
        <v>8.2210000000000001</v>
      </c>
      <c r="I416">
        <v>1.405</v>
      </c>
      <c r="J416">
        <v>10.004799999999999</v>
      </c>
      <c r="K416">
        <v>2302.4499999999998</v>
      </c>
      <c r="L416">
        <v>0</v>
      </c>
    </row>
    <row r="417" spans="1:12" x14ac:dyDescent="0.35">
      <c r="A417" s="3" t="s">
        <v>432</v>
      </c>
      <c r="B417" s="1" t="str">
        <f t="shared" si="12"/>
        <v>Corumba IV</v>
      </c>
      <c r="C417" s="1">
        <f t="shared" si="13"/>
        <v>-2542</v>
      </c>
      <c r="D417">
        <v>0</v>
      </c>
      <c r="E417">
        <v>0</v>
      </c>
      <c r="F417">
        <v>0</v>
      </c>
      <c r="G417">
        <v>0.3629</v>
      </c>
      <c r="H417">
        <v>89.200199999999995</v>
      </c>
      <c r="I417">
        <v>4.9683999999999999</v>
      </c>
      <c r="J417">
        <v>84.594700000000003</v>
      </c>
      <c r="K417">
        <v>0</v>
      </c>
      <c r="L417">
        <v>0</v>
      </c>
    </row>
    <row r="418" spans="1:12" x14ac:dyDescent="0.35">
      <c r="A418" s="3" t="s">
        <v>433</v>
      </c>
      <c r="B418" s="1" t="str">
        <f t="shared" si="12"/>
        <v>Lago Paranoa</v>
      </c>
      <c r="C418" s="1">
        <f t="shared" si="13"/>
        <v>-2542</v>
      </c>
      <c r="D418">
        <v>0</v>
      </c>
      <c r="E418">
        <v>2302.4499999999998</v>
      </c>
      <c r="F418">
        <v>0.4234</v>
      </c>
      <c r="G418">
        <v>4.0473999999999997</v>
      </c>
      <c r="H418">
        <v>9.0984999999999996</v>
      </c>
      <c r="I418">
        <v>1.405</v>
      </c>
      <c r="J418">
        <v>11.317600000000001</v>
      </c>
      <c r="K418">
        <v>2302.4499999999998</v>
      </c>
      <c r="L418">
        <v>0</v>
      </c>
    </row>
    <row r="419" spans="1:12" x14ac:dyDescent="0.35">
      <c r="A419" s="3" t="s">
        <v>434</v>
      </c>
      <c r="B419" s="1" t="str">
        <f t="shared" si="12"/>
        <v>Corumba IV</v>
      </c>
      <c r="C419" s="1">
        <f t="shared" si="13"/>
        <v>-2541</v>
      </c>
      <c r="D419">
        <v>0</v>
      </c>
      <c r="E419">
        <v>0</v>
      </c>
      <c r="F419">
        <v>0</v>
      </c>
      <c r="G419">
        <v>0.3629</v>
      </c>
      <c r="H419">
        <v>91.042299999999997</v>
      </c>
      <c r="I419">
        <v>4.9683999999999999</v>
      </c>
      <c r="J419">
        <v>86.436800000000005</v>
      </c>
      <c r="K419">
        <v>0</v>
      </c>
      <c r="L419">
        <v>0</v>
      </c>
    </row>
    <row r="420" spans="1:12" x14ac:dyDescent="0.35">
      <c r="A420" s="3" t="s">
        <v>435</v>
      </c>
      <c r="B420" s="1" t="str">
        <f t="shared" si="12"/>
        <v>Lago Paranoa</v>
      </c>
      <c r="C420" s="1">
        <f t="shared" si="13"/>
        <v>-2541</v>
      </c>
      <c r="D420">
        <v>0</v>
      </c>
      <c r="E420">
        <v>2302.4499999999998</v>
      </c>
      <c r="F420">
        <v>0.4234</v>
      </c>
      <c r="G420">
        <v>3.6150000000000002</v>
      </c>
      <c r="H420">
        <v>8.9509000000000007</v>
      </c>
      <c r="I420">
        <v>1.405</v>
      </c>
      <c r="J420">
        <v>10.737500000000001</v>
      </c>
      <c r="K420">
        <v>2302.4499999999998</v>
      </c>
      <c r="L420">
        <v>0</v>
      </c>
    </row>
    <row r="421" spans="1:12" x14ac:dyDescent="0.35">
      <c r="A421" s="3" t="s">
        <v>436</v>
      </c>
      <c r="B421" s="1" t="str">
        <f t="shared" si="12"/>
        <v>Corumba IV</v>
      </c>
      <c r="C421" s="1">
        <f t="shared" si="13"/>
        <v>-2540</v>
      </c>
      <c r="D421">
        <v>0</v>
      </c>
      <c r="E421">
        <v>0</v>
      </c>
      <c r="F421">
        <v>0</v>
      </c>
      <c r="G421">
        <v>0.3629</v>
      </c>
      <c r="H421">
        <v>96.420699999999997</v>
      </c>
      <c r="I421">
        <v>4.5151000000000003</v>
      </c>
      <c r="J421">
        <v>92.268500000000003</v>
      </c>
      <c r="K421">
        <v>0</v>
      </c>
      <c r="L421">
        <v>0</v>
      </c>
    </row>
    <row r="422" spans="1:12" x14ac:dyDescent="0.35">
      <c r="A422" s="3" t="s">
        <v>437</v>
      </c>
      <c r="B422" s="1" t="str">
        <f t="shared" si="12"/>
        <v>Lago Paranoa</v>
      </c>
      <c r="C422" s="1">
        <f t="shared" si="13"/>
        <v>-2540</v>
      </c>
      <c r="D422">
        <v>0</v>
      </c>
      <c r="E422">
        <v>2302.4499999999998</v>
      </c>
      <c r="F422">
        <v>0.3054</v>
      </c>
      <c r="G422">
        <v>4.5296000000000003</v>
      </c>
      <c r="H422">
        <v>9.9754000000000005</v>
      </c>
      <c r="I422">
        <v>1.2390000000000001</v>
      </c>
      <c r="J422">
        <v>12.960599999999999</v>
      </c>
      <c r="K422">
        <v>2302.4499999999998</v>
      </c>
      <c r="L422">
        <v>0</v>
      </c>
    </row>
    <row r="423" spans="1:12" x14ac:dyDescent="0.35">
      <c r="A423" s="3" t="s">
        <v>438</v>
      </c>
      <c r="B423" s="1" t="str">
        <f t="shared" si="12"/>
        <v>Corumba IV</v>
      </c>
      <c r="C423" s="1">
        <f t="shared" si="13"/>
        <v>-2539</v>
      </c>
      <c r="D423">
        <v>0</v>
      </c>
      <c r="E423">
        <v>0</v>
      </c>
      <c r="F423">
        <v>0</v>
      </c>
      <c r="G423">
        <v>0.3629</v>
      </c>
      <c r="H423">
        <v>103.4796</v>
      </c>
      <c r="I423">
        <v>4.3304999999999998</v>
      </c>
      <c r="J423">
        <v>99.511899999999997</v>
      </c>
      <c r="K423">
        <v>0</v>
      </c>
      <c r="L423">
        <v>0</v>
      </c>
    </row>
    <row r="424" spans="1:12" x14ac:dyDescent="0.35">
      <c r="A424" s="3" t="s">
        <v>439</v>
      </c>
      <c r="B424" s="1" t="str">
        <f t="shared" si="12"/>
        <v>Lago Paranoa</v>
      </c>
      <c r="C424" s="1">
        <f t="shared" si="13"/>
        <v>-2539</v>
      </c>
      <c r="D424">
        <v>0</v>
      </c>
      <c r="E424">
        <v>2302.4499999999998</v>
      </c>
      <c r="F424">
        <v>0.30570000000000003</v>
      </c>
      <c r="G424">
        <v>3.7856000000000001</v>
      </c>
      <c r="H424">
        <v>9.5404999999999998</v>
      </c>
      <c r="I424">
        <v>1.1223000000000001</v>
      </c>
      <c r="J424">
        <v>11.898099999999999</v>
      </c>
      <c r="K424">
        <v>2302.4499999999998</v>
      </c>
      <c r="L424">
        <v>0</v>
      </c>
    </row>
    <row r="425" spans="1:12" x14ac:dyDescent="0.35">
      <c r="A425" s="3" t="s">
        <v>440</v>
      </c>
      <c r="B425" s="1" t="str">
        <f t="shared" si="12"/>
        <v>Corumba IV</v>
      </c>
      <c r="C425" s="1">
        <f t="shared" si="13"/>
        <v>-2538</v>
      </c>
      <c r="D425">
        <v>0</v>
      </c>
      <c r="E425">
        <v>0</v>
      </c>
      <c r="F425">
        <v>0</v>
      </c>
      <c r="G425">
        <v>0.3629</v>
      </c>
      <c r="H425">
        <v>90.842699999999994</v>
      </c>
      <c r="I425">
        <v>4.133</v>
      </c>
      <c r="J425">
        <v>87.072599999999994</v>
      </c>
      <c r="K425">
        <v>0</v>
      </c>
      <c r="L425">
        <v>0</v>
      </c>
    </row>
    <row r="426" spans="1:12" x14ac:dyDescent="0.35">
      <c r="A426" s="3" t="s">
        <v>441</v>
      </c>
      <c r="B426" s="1" t="str">
        <f t="shared" si="12"/>
        <v>Lago Paranoa</v>
      </c>
      <c r="C426" s="1">
        <f t="shared" si="13"/>
        <v>-2538</v>
      </c>
      <c r="D426">
        <v>0</v>
      </c>
      <c r="E426">
        <v>2302.4499999999998</v>
      </c>
      <c r="F426">
        <v>0.30599999999999999</v>
      </c>
      <c r="G426">
        <v>3.7357999999999998</v>
      </c>
      <c r="H426">
        <v>9.4727999999999994</v>
      </c>
      <c r="I426">
        <v>1.0269999999999999</v>
      </c>
      <c r="J426">
        <v>11.8756</v>
      </c>
      <c r="K426">
        <v>2302.4499999999998</v>
      </c>
      <c r="L426">
        <v>0</v>
      </c>
    </row>
    <row r="427" spans="1:12" x14ac:dyDescent="0.35">
      <c r="A427" s="3" t="s">
        <v>442</v>
      </c>
      <c r="B427" s="1" t="str">
        <f t="shared" si="12"/>
        <v>Corumba IV</v>
      </c>
      <c r="C427" s="1">
        <f t="shared" si="13"/>
        <v>-2537</v>
      </c>
      <c r="D427">
        <v>0</v>
      </c>
      <c r="E427">
        <v>0</v>
      </c>
      <c r="F427">
        <v>0</v>
      </c>
      <c r="G427">
        <v>0.3629</v>
      </c>
      <c r="H427">
        <v>111.88200000000001</v>
      </c>
      <c r="I427">
        <v>4.133</v>
      </c>
      <c r="J427">
        <v>108.1118</v>
      </c>
      <c r="K427">
        <v>0</v>
      </c>
      <c r="L427">
        <v>0</v>
      </c>
    </row>
    <row r="428" spans="1:12" x14ac:dyDescent="0.35">
      <c r="A428" s="3" t="s">
        <v>443</v>
      </c>
      <c r="B428" s="1" t="str">
        <f t="shared" si="12"/>
        <v>Lago Paranoa</v>
      </c>
      <c r="C428" s="1">
        <f t="shared" si="13"/>
        <v>-2537</v>
      </c>
      <c r="D428">
        <v>0</v>
      </c>
      <c r="E428">
        <v>2302.4499999999998</v>
      </c>
      <c r="F428">
        <v>0.30630000000000002</v>
      </c>
      <c r="G428">
        <v>3.4314</v>
      </c>
      <c r="H428">
        <v>9.3539999999999992</v>
      </c>
      <c r="I428">
        <v>1.0269999999999999</v>
      </c>
      <c r="J428">
        <v>11.4521</v>
      </c>
      <c r="K428">
        <v>2302.4499999999998</v>
      </c>
      <c r="L428">
        <v>0</v>
      </c>
    </row>
    <row r="429" spans="1:12" x14ac:dyDescent="0.35">
      <c r="A429" s="3" t="s">
        <v>444</v>
      </c>
      <c r="B429" s="1" t="str">
        <f t="shared" si="12"/>
        <v>Corumba IV</v>
      </c>
      <c r="C429" s="1">
        <f t="shared" si="13"/>
        <v>-2536</v>
      </c>
      <c r="D429">
        <v>0</v>
      </c>
      <c r="E429">
        <v>0</v>
      </c>
      <c r="F429">
        <v>0</v>
      </c>
      <c r="G429">
        <v>0.3629</v>
      </c>
      <c r="H429">
        <v>88.947900000000004</v>
      </c>
      <c r="I429">
        <v>3.948</v>
      </c>
      <c r="J429">
        <v>85.362799999999993</v>
      </c>
      <c r="K429">
        <v>0</v>
      </c>
      <c r="L429">
        <v>0</v>
      </c>
    </row>
    <row r="430" spans="1:12" x14ac:dyDescent="0.35">
      <c r="A430" s="3" t="s">
        <v>445</v>
      </c>
      <c r="B430" s="1" t="str">
        <f t="shared" si="12"/>
        <v>Lago Paranoa</v>
      </c>
      <c r="C430" s="1">
        <f t="shared" si="13"/>
        <v>-2536</v>
      </c>
      <c r="D430">
        <v>0</v>
      </c>
      <c r="E430">
        <v>2302.4499999999998</v>
      </c>
      <c r="F430">
        <v>0.30669999999999997</v>
      </c>
      <c r="G430">
        <v>2.9719000000000002</v>
      </c>
      <c r="H430">
        <v>7.9157999999999999</v>
      </c>
      <c r="I430">
        <v>1.0266</v>
      </c>
      <c r="J430">
        <v>9.5543999999999993</v>
      </c>
      <c r="K430">
        <v>2302.4499999999998</v>
      </c>
      <c r="L430">
        <v>0</v>
      </c>
    </row>
    <row r="431" spans="1:12" x14ac:dyDescent="0.35">
      <c r="A431" s="3" t="s">
        <v>446</v>
      </c>
      <c r="B431" s="1" t="str">
        <f t="shared" si="12"/>
        <v>Corumba IV</v>
      </c>
      <c r="C431" s="1">
        <f t="shared" si="13"/>
        <v>-2535</v>
      </c>
      <c r="D431">
        <v>0</v>
      </c>
      <c r="E431">
        <v>0</v>
      </c>
      <c r="F431">
        <v>0</v>
      </c>
      <c r="G431">
        <v>0.3629</v>
      </c>
      <c r="H431">
        <v>109.6183</v>
      </c>
      <c r="I431">
        <v>3.4855</v>
      </c>
      <c r="J431">
        <v>106.4957</v>
      </c>
      <c r="K431">
        <v>0</v>
      </c>
      <c r="L431">
        <v>0</v>
      </c>
    </row>
    <row r="432" spans="1:12" x14ac:dyDescent="0.35">
      <c r="A432" s="3" t="s">
        <v>447</v>
      </c>
      <c r="B432" s="1" t="str">
        <f t="shared" si="12"/>
        <v>Lago Paranoa</v>
      </c>
      <c r="C432" s="1">
        <f t="shared" si="13"/>
        <v>-2535</v>
      </c>
      <c r="D432">
        <v>0</v>
      </c>
      <c r="E432">
        <v>2302.4499999999998</v>
      </c>
      <c r="F432">
        <v>0.35539999999999999</v>
      </c>
      <c r="G432">
        <v>3.6006</v>
      </c>
      <c r="H432">
        <v>9.8231000000000002</v>
      </c>
      <c r="I432">
        <v>1.0259</v>
      </c>
      <c r="J432">
        <v>12.042299999999999</v>
      </c>
      <c r="K432">
        <v>2302.4499999999998</v>
      </c>
      <c r="L432">
        <v>0</v>
      </c>
    </row>
    <row r="433" spans="1:12" x14ac:dyDescent="0.35">
      <c r="A433" s="3" t="s">
        <v>448</v>
      </c>
      <c r="B433" s="1" t="str">
        <f t="shared" si="12"/>
        <v>Corumba IV</v>
      </c>
      <c r="C433" s="1">
        <f t="shared" si="13"/>
        <v>-2534</v>
      </c>
      <c r="D433">
        <v>0</v>
      </c>
      <c r="E433">
        <v>0</v>
      </c>
      <c r="F433">
        <v>0</v>
      </c>
      <c r="G433">
        <v>0.3629</v>
      </c>
      <c r="H433">
        <v>142.1885</v>
      </c>
      <c r="I433">
        <v>3.4855</v>
      </c>
      <c r="J433">
        <v>139.0659</v>
      </c>
      <c r="K433">
        <v>0</v>
      </c>
      <c r="L433">
        <v>0</v>
      </c>
    </row>
    <row r="434" spans="1:12" x14ac:dyDescent="0.35">
      <c r="A434" s="3" t="s">
        <v>449</v>
      </c>
      <c r="B434" s="1" t="str">
        <f t="shared" si="12"/>
        <v>Lago Paranoa</v>
      </c>
      <c r="C434" s="1">
        <f t="shared" si="13"/>
        <v>-2534</v>
      </c>
      <c r="D434">
        <v>0</v>
      </c>
      <c r="E434">
        <v>2302.4499999999998</v>
      </c>
      <c r="F434">
        <v>0.35570000000000002</v>
      </c>
      <c r="G434">
        <v>5.2995000000000001</v>
      </c>
      <c r="H434">
        <v>12.8348</v>
      </c>
      <c r="I434">
        <v>1.0259</v>
      </c>
      <c r="J434">
        <v>16.752700000000001</v>
      </c>
      <c r="K434">
        <v>2302.4499999999998</v>
      </c>
      <c r="L434">
        <v>0</v>
      </c>
    </row>
    <row r="435" spans="1:12" x14ac:dyDescent="0.35">
      <c r="A435" s="3" t="s">
        <v>450</v>
      </c>
      <c r="B435" s="1" t="str">
        <f t="shared" si="12"/>
        <v>Corumba IV</v>
      </c>
      <c r="C435" s="1">
        <f t="shared" si="13"/>
        <v>-2533</v>
      </c>
      <c r="D435">
        <v>0</v>
      </c>
      <c r="E435">
        <v>0</v>
      </c>
      <c r="F435">
        <v>0</v>
      </c>
      <c r="G435">
        <v>0.3629</v>
      </c>
      <c r="H435">
        <v>98.579800000000006</v>
      </c>
      <c r="I435">
        <v>3.4855</v>
      </c>
      <c r="J435">
        <v>95.4572</v>
      </c>
      <c r="K435">
        <v>0</v>
      </c>
      <c r="L435">
        <v>0</v>
      </c>
    </row>
    <row r="436" spans="1:12" x14ac:dyDescent="0.35">
      <c r="A436" s="3" t="s">
        <v>451</v>
      </c>
      <c r="B436" s="1" t="str">
        <f t="shared" si="12"/>
        <v>Lago Paranoa</v>
      </c>
      <c r="C436" s="1">
        <f t="shared" si="13"/>
        <v>-2533</v>
      </c>
      <c r="D436">
        <v>0</v>
      </c>
      <c r="E436">
        <v>2302.4499999999998</v>
      </c>
      <c r="F436">
        <v>0.35610000000000003</v>
      </c>
      <c r="G436">
        <v>3.5790000000000002</v>
      </c>
      <c r="H436">
        <v>9.7362000000000002</v>
      </c>
      <c r="I436">
        <v>1.0259</v>
      </c>
      <c r="J436">
        <v>11.933199999999999</v>
      </c>
      <c r="K436">
        <v>2302.4499999999998</v>
      </c>
      <c r="L436">
        <v>0</v>
      </c>
    </row>
    <row r="437" spans="1:12" x14ac:dyDescent="0.35">
      <c r="A437" s="3" t="s">
        <v>452</v>
      </c>
      <c r="B437" s="1" t="str">
        <f t="shared" si="12"/>
        <v>Corumba IV</v>
      </c>
      <c r="C437" s="1">
        <f t="shared" si="13"/>
        <v>-2532</v>
      </c>
      <c r="D437">
        <v>0</v>
      </c>
      <c r="E437">
        <v>0</v>
      </c>
      <c r="F437">
        <v>0</v>
      </c>
      <c r="G437">
        <v>0.3629</v>
      </c>
      <c r="H437">
        <v>83.566100000000006</v>
      </c>
      <c r="I437">
        <v>3.4954999999999998</v>
      </c>
      <c r="J437">
        <v>80.433400000000006</v>
      </c>
      <c r="K437">
        <v>0</v>
      </c>
      <c r="L437">
        <v>0</v>
      </c>
    </row>
    <row r="438" spans="1:12" x14ac:dyDescent="0.35">
      <c r="A438" s="3" t="s">
        <v>453</v>
      </c>
      <c r="B438" s="1" t="str">
        <f t="shared" si="12"/>
        <v>Lago Paranoa</v>
      </c>
      <c r="C438" s="1">
        <f t="shared" si="13"/>
        <v>-2532</v>
      </c>
      <c r="D438">
        <v>0</v>
      </c>
      <c r="E438">
        <v>2302.4499999999998</v>
      </c>
      <c r="F438">
        <v>0.35639999999999999</v>
      </c>
      <c r="G438">
        <v>3.2195</v>
      </c>
      <c r="H438">
        <v>7.7812000000000001</v>
      </c>
      <c r="I438">
        <v>1.0389999999999999</v>
      </c>
      <c r="J438">
        <v>9.6052999999999997</v>
      </c>
      <c r="K438">
        <v>2302.4499999999998</v>
      </c>
      <c r="L438">
        <v>0</v>
      </c>
    </row>
    <row r="439" spans="1:12" x14ac:dyDescent="0.35">
      <c r="A439" s="3" t="s">
        <v>454</v>
      </c>
      <c r="B439" s="1" t="str">
        <f t="shared" si="12"/>
        <v>Corumba IV</v>
      </c>
      <c r="C439" s="1">
        <f t="shared" si="13"/>
        <v>-2531</v>
      </c>
      <c r="D439">
        <v>0</v>
      </c>
      <c r="E439">
        <v>0</v>
      </c>
      <c r="F439">
        <v>0</v>
      </c>
      <c r="G439">
        <v>0.3629</v>
      </c>
      <c r="H439">
        <v>75.445300000000003</v>
      </c>
      <c r="I439">
        <v>3.8708</v>
      </c>
      <c r="J439">
        <v>71.937399999999997</v>
      </c>
      <c r="K439">
        <v>0</v>
      </c>
      <c r="L439">
        <v>0</v>
      </c>
    </row>
    <row r="440" spans="1:12" x14ac:dyDescent="0.35">
      <c r="A440" s="3" t="s">
        <v>455</v>
      </c>
      <c r="B440" s="1" t="str">
        <f t="shared" si="12"/>
        <v>Lago Paranoa</v>
      </c>
      <c r="C440" s="1">
        <f t="shared" si="13"/>
        <v>-2531</v>
      </c>
      <c r="D440">
        <v>0</v>
      </c>
      <c r="E440">
        <v>2302.4499999999998</v>
      </c>
      <c r="F440">
        <v>0.33789999999999998</v>
      </c>
      <c r="G440">
        <v>3.0255999999999998</v>
      </c>
      <c r="H440">
        <v>7.2518000000000002</v>
      </c>
      <c r="I440">
        <v>1.0315000000000001</v>
      </c>
      <c r="J440">
        <v>8.9080999999999992</v>
      </c>
      <c r="K440">
        <v>2302.4499999999998</v>
      </c>
      <c r="L440">
        <v>0</v>
      </c>
    </row>
    <row r="441" spans="1:12" x14ac:dyDescent="0.35">
      <c r="A441" s="3" t="s">
        <v>456</v>
      </c>
      <c r="B441" s="1" t="str">
        <f t="shared" si="12"/>
        <v>Corumba IV</v>
      </c>
      <c r="C441" s="1">
        <f t="shared" si="13"/>
        <v>-2530</v>
      </c>
      <c r="D441">
        <v>0</v>
      </c>
      <c r="E441">
        <v>0</v>
      </c>
      <c r="F441">
        <v>0</v>
      </c>
      <c r="G441">
        <v>0.3629</v>
      </c>
      <c r="H441">
        <v>67.227000000000004</v>
      </c>
      <c r="I441">
        <v>4.0376000000000003</v>
      </c>
      <c r="J441">
        <v>63.552300000000002</v>
      </c>
      <c r="K441">
        <v>0</v>
      </c>
      <c r="L441">
        <v>0</v>
      </c>
    </row>
    <row r="442" spans="1:12" x14ac:dyDescent="0.35">
      <c r="A442" s="3" t="s">
        <v>457</v>
      </c>
      <c r="B442" s="1" t="str">
        <f t="shared" si="12"/>
        <v>Lago Paranoa</v>
      </c>
      <c r="C442" s="1">
        <f t="shared" si="13"/>
        <v>-2530</v>
      </c>
      <c r="D442">
        <v>0</v>
      </c>
      <c r="E442">
        <v>2302.4499999999998</v>
      </c>
      <c r="F442">
        <v>0.3382</v>
      </c>
      <c r="G442">
        <v>3.113</v>
      </c>
      <c r="H442">
        <v>6.5195999999999996</v>
      </c>
      <c r="I442">
        <v>1.0430999999999999</v>
      </c>
      <c r="J442">
        <v>8.2513000000000005</v>
      </c>
      <c r="K442">
        <v>2302.4499999999998</v>
      </c>
      <c r="L442">
        <v>0</v>
      </c>
    </row>
    <row r="443" spans="1:12" x14ac:dyDescent="0.35">
      <c r="A443" s="3" t="s">
        <v>458</v>
      </c>
      <c r="B443" s="1" t="str">
        <f t="shared" si="12"/>
        <v>Corumba IV</v>
      </c>
      <c r="C443" s="1">
        <f t="shared" si="13"/>
        <v>-2529</v>
      </c>
      <c r="D443">
        <v>0</v>
      </c>
      <c r="E443">
        <v>0</v>
      </c>
      <c r="F443">
        <v>0</v>
      </c>
      <c r="G443">
        <v>0.3629</v>
      </c>
      <c r="H443">
        <v>62.894599999999997</v>
      </c>
      <c r="I443">
        <v>4.0376000000000003</v>
      </c>
      <c r="J443">
        <v>59.219900000000003</v>
      </c>
      <c r="K443">
        <v>0</v>
      </c>
      <c r="L443">
        <v>0</v>
      </c>
    </row>
    <row r="444" spans="1:12" x14ac:dyDescent="0.35">
      <c r="A444" s="3" t="s">
        <v>459</v>
      </c>
      <c r="B444" s="1" t="str">
        <f t="shared" si="12"/>
        <v>Lago Paranoa</v>
      </c>
      <c r="C444" s="1">
        <f t="shared" si="13"/>
        <v>-2529</v>
      </c>
      <c r="D444">
        <v>0</v>
      </c>
      <c r="E444">
        <v>2302.4499999999998</v>
      </c>
      <c r="F444">
        <v>0.33850000000000002</v>
      </c>
      <c r="G444">
        <v>2.9922</v>
      </c>
      <c r="H444">
        <v>6.1520999999999999</v>
      </c>
      <c r="I444">
        <v>1.0430999999999999</v>
      </c>
      <c r="J444">
        <v>7.7626999999999997</v>
      </c>
      <c r="K444">
        <v>2302.4499999999998</v>
      </c>
      <c r="L444">
        <v>0</v>
      </c>
    </row>
    <row r="445" spans="1:12" x14ac:dyDescent="0.35">
      <c r="A445" s="3" t="s">
        <v>460</v>
      </c>
      <c r="B445" s="1" t="str">
        <f t="shared" si="12"/>
        <v>Corumba IV</v>
      </c>
      <c r="C445" s="1">
        <f t="shared" si="13"/>
        <v>-2528</v>
      </c>
      <c r="D445">
        <v>0</v>
      </c>
      <c r="E445">
        <v>0</v>
      </c>
      <c r="F445">
        <v>0</v>
      </c>
      <c r="G445">
        <v>0.3629</v>
      </c>
      <c r="H445">
        <v>58.2515</v>
      </c>
      <c r="I445">
        <v>4.0376000000000003</v>
      </c>
      <c r="J445">
        <v>54.576799999999999</v>
      </c>
      <c r="K445">
        <v>0</v>
      </c>
      <c r="L445">
        <v>0</v>
      </c>
    </row>
    <row r="446" spans="1:12" x14ac:dyDescent="0.35">
      <c r="A446" s="3" t="s">
        <v>461</v>
      </c>
      <c r="B446" s="1" t="str">
        <f t="shared" si="12"/>
        <v>Lago Paranoa</v>
      </c>
      <c r="C446" s="1">
        <f t="shared" si="13"/>
        <v>-2528</v>
      </c>
      <c r="D446">
        <v>0</v>
      </c>
      <c r="E446">
        <v>2302.4499999999998</v>
      </c>
      <c r="F446">
        <v>0.33879999999999999</v>
      </c>
      <c r="G446">
        <v>3.4394</v>
      </c>
      <c r="H446">
        <v>7.0225999999999997</v>
      </c>
      <c r="I446">
        <v>1.0430999999999999</v>
      </c>
      <c r="J446">
        <v>9.08</v>
      </c>
      <c r="K446">
        <v>2302.4499999999998</v>
      </c>
      <c r="L446">
        <v>0</v>
      </c>
    </row>
    <row r="447" spans="1:12" x14ac:dyDescent="0.35">
      <c r="A447" s="3" t="s">
        <v>462</v>
      </c>
      <c r="B447" s="1" t="str">
        <f t="shared" si="12"/>
        <v>Corumba IV</v>
      </c>
      <c r="C447" s="1">
        <f t="shared" si="13"/>
        <v>-2527</v>
      </c>
      <c r="D447">
        <v>0</v>
      </c>
      <c r="E447">
        <v>0</v>
      </c>
      <c r="F447">
        <v>0</v>
      </c>
      <c r="G447">
        <v>0.3629</v>
      </c>
      <c r="H447">
        <v>52.870800000000003</v>
      </c>
      <c r="I447">
        <v>3.5949</v>
      </c>
      <c r="J447">
        <v>49.6387</v>
      </c>
      <c r="K447">
        <v>0</v>
      </c>
      <c r="L447">
        <v>0</v>
      </c>
    </row>
    <row r="448" spans="1:12" x14ac:dyDescent="0.35">
      <c r="A448" s="3" t="s">
        <v>463</v>
      </c>
      <c r="B448" s="1" t="str">
        <f t="shared" si="12"/>
        <v>Lago Paranoa</v>
      </c>
      <c r="C448" s="1">
        <f t="shared" si="13"/>
        <v>-2527</v>
      </c>
      <c r="D448">
        <v>0</v>
      </c>
      <c r="E448">
        <v>2302.4499999999998</v>
      </c>
      <c r="F448">
        <v>0.40600000000000003</v>
      </c>
      <c r="G448">
        <v>3.1107999999999998</v>
      </c>
      <c r="H448">
        <v>6.3967999999999998</v>
      </c>
      <c r="I448">
        <v>0.87890000000000001</v>
      </c>
      <c r="J448">
        <v>8.2226999999999997</v>
      </c>
      <c r="K448">
        <v>2302.4499999999998</v>
      </c>
      <c r="L448">
        <v>0</v>
      </c>
    </row>
    <row r="449" spans="1:12" x14ac:dyDescent="0.35">
      <c r="A449" s="3" t="s">
        <v>464</v>
      </c>
      <c r="B449" s="1" t="str">
        <f t="shared" si="12"/>
        <v>Corumba IV</v>
      </c>
      <c r="C449" s="1">
        <f t="shared" si="13"/>
        <v>-2526</v>
      </c>
      <c r="D449">
        <v>0</v>
      </c>
      <c r="E449">
        <v>0</v>
      </c>
      <c r="F449">
        <v>0</v>
      </c>
      <c r="G449">
        <v>0.3629</v>
      </c>
      <c r="H449">
        <v>47.6858</v>
      </c>
      <c r="I449">
        <v>3.7919</v>
      </c>
      <c r="J449">
        <v>44.256799999999998</v>
      </c>
      <c r="K449">
        <v>0</v>
      </c>
      <c r="L449">
        <v>0</v>
      </c>
    </row>
    <row r="450" spans="1:12" x14ac:dyDescent="0.35">
      <c r="A450" s="3" t="s">
        <v>465</v>
      </c>
      <c r="B450" s="1" t="str">
        <f t="shared" si="12"/>
        <v>Lago Paranoa</v>
      </c>
      <c r="C450" s="1">
        <f t="shared" si="13"/>
        <v>-2526</v>
      </c>
      <c r="D450">
        <v>0</v>
      </c>
      <c r="E450">
        <v>2302.4499999999998</v>
      </c>
      <c r="F450">
        <v>0.40629999999999999</v>
      </c>
      <c r="G450">
        <v>2.9146000000000001</v>
      </c>
      <c r="H450">
        <v>5.7542</v>
      </c>
      <c r="I450">
        <v>0.86219999999999997</v>
      </c>
      <c r="J450">
        <v>7.4002999999999997</v>
      </c>
      <c r="K450">
        <v>2302.4499999999998</v>
      </c>
      <c r="L450">
        <v>0</v>
      </c>
    </row>
    <row r="451" spans="1:12" x14ac:dyDescent="0.35">
      <c r="A451" s="3" t="s">
        <v>466</v>
      </c>
      <c r="B451" s="1" t="str">
        <f t="shared" ref="B451:B505" si="14">_xlfn.TEXTBEFORE(_xlfn.TEXTAFTER(A451,"["),"]")</f>
        <v>Corumba IV</v>
      </c>
      <c r="C451" s="1">
        <f t="shared" si="13"/>
        <v>-2525</v>
      </c>
      <c r="D451">
        <v>0</v>
      </c>
      <c r="E451">
        <v>0</v>
      </c>
      <c r="F451">
        <v>0</v>
      </c>
      <c r="G451">
        <v>0.3629</v>
      </c>
      <c r="H451">
        <v>43.394300000000001</v>
      </c>
      <c r="I451">
        <v>3.7919</v>
      </c>
      <c r="J451">
        <v>39.965299999999999</v>
      </c>
      <c r="K451">
        <v>0</v>
      </c>
      <c r="L451">
        <v>0</v>
      </c>
    </row>
    <row r="452" spans="1:12" x14ac:dyDescent="0.35">
      <c r="A452" s="3" t="s">
        <v>467</v>
      </c>
      <c r="B452" s="1" t="str">
        <f t="shared" si="14"/>
        <v>Lago Paranoa</v>
      </c>
      <c r="C452" s="1">
        <f t="shared" ref="C452:C505" si="15">--_xlfn.TEXTBEFORE(_xlfn.TEXTAFTER(A452,"Week "),":")</f>
        <v>-2525</v>
      </c>
      <c r="D452">
        <v>0</v>
      </c>
      <c r="E452">
        <v>2302.4499999999998</v>
      </c>
      <c r="F452">
        <v>0.40670000000000001</v>
      </c>
      <c r="G452">
        <v>2.7673000000000001</v>
      </c>
      <c r="H452">
        <v>5.5251999999999999</v>
      </c>
      <c r="I452">
        <v>0.86219999999999997</v>
      </c>
      <c r="J452">
        <v>7.0236999999999998</v>
      </c>
      <c r="K452">
        <v>2302.4499999999998</v>
      </c>
      <c r="L452">
        <v>0</v>
      </c>
    </row>
    <row r="453" spans="1:12" x14ac:dyDescent="0.35">
      <c r="A453" s="3" t="s">
        <v>468</v>
      </c>
      <c r="B453" s="1" t="str">
        <f t="shared" si="14"/>
        <v>Corumba IV</v>
      </c>
      <c r="C453" s="1">
        <f t="shared" si="15"/>
        <v>-2524</v>
      </c>
      <c r="D453">
        <v>0</v>
      </c>
      <c r="E453">
        <v>0</v>
      </c>
      <c r="F453">
        <v>0</v>
      </c>
      <c r="G453">
        <v>0.3629</v>
      </c>
      <c r="H453">
        <v>40.496299999999998</v>
      </c>
      <c r="I453">
        <v>3.7919</v>
      </c>
      <c r="J453">
        <v>37.067300000000003</v>
      </c>
      <c r="K453">
        <v>0</v>
      </c>
      <c r="L453">
        <v>0</v>
      </c>
    </row>
    <row r="454" spans="1:12" x14ac:dyDescent="0.35">
      <c r="A454" s="3" t="s">
        <v>469</v>
      </c>
      <c r="B454" s="1" t="str">
        <f t="shared" si="14"/>
        <v>Lago Paranoa</v>
      </c>
      <c r="C454" s="1">
        <f t="shared" si="15"/>
        <v>-2524</v>
      </c>
      <c r="D454">
        <v>0</v>
      </c>
      <c r="E454">
        <v>2302.4499999999998</v>
      </c>
      <c r="F454">
        <v>0.40699999999999997</v>
      </c>
      <c r="G454">
        <v>2.6680999999999999</v>
      </c>
      <c r="H454">
        <v>5.3844000000000003</v>
      </c>
      <c r="I454">
        <v>0.86219999999999997</v>
      </c>
      <c r="J454">
        <v>6.7834000000000003</v>
      </c>
      <c r="K454">
        <v>2302.4499999999998</v>
      </c>
      <c r="L454">
        <v>0</v>
      </c>
    </row>
    <row r="455" spans="1:12" x14ac:dyDescent="0.35">
      <c r="A455" s="3" t="s">
        <v>470</v>
      </c>
      <c r="B455" s="1" t="str">
        <f t="shared" si="14"/>
        <v>Corumba IV</v>
      </c>
      <c r="C455" s="1">
        <f t="shared" si="15"/>
        <v>-2523</v>
      </c>
      <c r="D455">
        <v>0</v>
      </c>
      <c r="E455">
        <v>0</v>
      </c>
      <c r="F455">
        <v>0</v>
      </c>
      <c r="G455">
        <v>0.3629</v>
      </c>
      <c r="H455">
        <v>38.078899999999997</v>
      </c>
      <c r="I455">
        <v>4.1079999999999997</v>
      </c>
      <c r="J455">
        <v>34.333799999999997</v>
      </c>
      <c r="K455">
        <v>0</v>
      </c>
      <c r="L455">
        <v>0</v>
      </c>
    </row>
    <row r="456" spans="1:12" x14ac:dyDescent="0.35">
      <c r="A456" s="3" t="s">
        <v>471</v>
      </c>
      <c r="B456" s="1" t="str">
        <f t="shared" si="14"/>
        <v>Lago Paranoa</v>
      </c>
      <c r="C456" s="1">
        <f t="shared" si="15"/>
        <v>-2523</v>
      </c>
      <c r="D456">
        <v>0</v>
      </c>
      <c r="E456">
        <v>2302.4499999999998</v>
      </c>
      <c r="F456">
        <v>0.4073</v>
      </c>
      <c r="G456">
        <v>2.5981999999999998</v>
      </c>
      <c r="H456">
        <v>5.3038999999999996</v>
      </c>
      <c r="I456">
        <v>0.95650000000000002</v>
      </c>
      <c r="J456">
        <v>6.5381999999999998</v>
      </c>
      <c r="K456">
        <v>2302.4499999999998</v>
      </c>
      <c r="L456">
        <v>0</v>
      </c>
    </row>
    <row r="457" spans="1:12" x14ac:dyDescent="0.35">
      <c r="A457" s="3" t="s">
        <v>472</v>
      </c>
      <c r="B457" s="1" t="str">
        <f t="shared" si="14"/>
        <v>Corumba IV</v>
      </c>
      <c r="C457" s="1">
        <f t="shared" si="15"/>
        <v>-2522</v>
      </c>
      <c r="D457">
        <v>0</v>
      </c>
      <c r="E457">
        <v>0</v>
      </c>
      <c r="F457">
        <v>0</v>
      </c>
      <c r="G457">
        <v>0.3629</v>
      </c>
      <c r="H457">
        <v>34.604799999999997</v>
      </c>
      <c r="I457">
        <v>5.0331999999999999</v>
      </c>
      <c r="J457">
        <v>29.9345</v>
      </c>
      <c r="K457">
        <v>0</v>
      </c>
      <c r="L457">
        <v>0</v>
      </c>
    </row>
    <row r="458" spans="1:12" x14ac:dyDescent="0.35">
      <c r="A458" s="3" t="s">
        <v>473</v>
      </c>
      <c r="B458" s="1" t="str">
        <f t="shared" si="14"/>
        <v>Lago Paranoa</v>
      </c>
      <c r="C458" s="1">
        <f t="shared" si="15"/>
        <v>-2522</v>
      </c>
      <c r="D458">
        <v>0</v>
      </c>
      <c r="E458">
        <v>2302.4499999999998</v>
      </c>
      <c r="F458">
        <v>0.4234</v>
      </c>
      <c r="G458">
        <v>2.5705</v>
      </c>
      <c r="H458">
        <v>5.1289999999999996</v>
      </c>
      <c r="I458">
        <v>1.2343999999999999</v>
      </c>
      <c r="J458">
        <v>6.0418000000000003</v>
      </c>
      <c r="K458">
        <v>2302.4499999999998</v>
      </c>
      <c r="L458">
        <v>0</v>
      </c>
    </row>
    <row r="459" spans="1:12" x14ac:dyDescent="0.35">
      <c r="A459" s="3" t="s">
        <v>474</v>
      </c>
      <c r="B459" s="1" t="str">
        <f t="shared" si="14"/>
        <v>Corumba IV</v>
      </c>
      <c r="C459" s="1">
        <f t="shared" si="15"/>
        <v>-2521</v>
      </c>
      <c r="D459">
        <v>0</v>
      </c>
      <c r="E459">
        <v>0</v>
      </c>
      <c r="F459">
        <v>0</v>
      </c>
      <c r="G459">
        <v>0.3629</v>
      </c>
      <c r="H459">
        <v>35.252299999999998</v>
      </c>
      <c r="I459">
        <v>5.0331999999999999</v>
      </c>
      <c r="J459">
        <v>30.582000000000001</v>
      </c>
      <c r="K459">
        <v>0</v>
      </c>
      <c r="L459">
        <v>0</v>
      </c>
    </row>
    <row r="460" spans="1:12" x14ac:dyDescent="0.35">
      <c r="A460" s="3" t="s">
        <v>475</v>
      </c>
      <c r="B460" s="1" t="str">
        <f t="shared" si="14"/>
        <v>Lago Paranoa</v>
      </c>
      <c r="C460" s="1">
        <f t="shared" si="15"/>
        <v>-2521</v>
      </c>
      <c r="D460">
        <v>0</v>
      </c>
      <c r="E460">
        <v>2302.4499999999998</v>
      </c>
      <c r="F460">
        <v>0.4234</v>
      </c>
      <c r="G460">
        <v>2.8209</v>
      </c>
      <c r="H460">
        <v>5.2415000000000003</v>
      </c>
      <c r="I460">
        <v>1.2343999999999999</v>
      </c>
      <c r="J460">
        <v>6.4047000000000001</v>
      </c>
      <c r="K460">
        <v>2302.4499999999998</v>
      </c>
      <c r="L460">
        <v>0</v>
      </c>
    </row>
    <row r="461" spans="1:12" x14ac:dyDescent="0.35">
      <c r="A461" s="3" t="s">
        <v>476</v>
      </c>
      <c r="B461" s="1" t="str">
        <f t="shared" si="14"/>
        <v>Corumba IV</v>
      </c>
      <c r="C461" s="1">
        <f t="shared" si="15"/>
        <v>-2520</v>
      </c>
      <c r="D461">
        <v>0</v>
      </c>
      <c r="E461">
        <v>0</v>
      </c>
      <c r="F461">
        <v>0</v>
      </c>
      <c r="G461">
        <v>0.3629</v>
      </c>
      <c r="H461">
        <v>32.8932</v>
      </c>
      <c r="I461">
        <v>5.0331999999999999</v>
      </c>
      <c r="J461">
        <v>28.222899999999999</v>
      </c>
      <c r="K461">
        <v>0</v>
      </c>
      <c r="L461">
        <v>0</v>
      </c>
    </row>
    <row r="462" spans="1:12" x14ac:dyDescent="0.35">
      <c r="A462" s="3" t="s">
        <v>477</v>
      </c>
      <c r="B462" s="1" t="str">
        <f t="shared" si="14"/>
        <v>Lago Paranoa</v>
      </c>
      <c r="C462" s="1">
        <f t="shared" si="15"/>
        <v>-2520</v>
      </c>
      <c r="D462">
        <v>0</v>
      </c>
      <c r="E462">
        <v>2302.4499999999998</v>
      </c>
      <c r="F462">
        <v>0.4234</v>
      </c>
      <c r="G462">
        <v>2.6111</v>
      </c>
      <c r="H462">
        <v>5.1281999999999996</v>
      </c>
      <c r="I462">
        <v>1.2343999999999999</v>
      </c>
      <c r="J462">
        <v>6.0815000000000001</v>
      </c>
      <c r="K462">
        <v>2302.4499999999998</v>
      </c>
      <c r="L462">
        <v>0</v>
      </c>
    </row>
    <row r="463" spans="1:12" x14ac:dyDescent="0.35">
      <c r="A463" s="3" t="s">
        <v>478</v>
      </c>
      <c r="B463" s="1" t="str">
        <f t="shared" si="14"/>
        <v>Corumba IV</v>
      </c>
      <c r="C463" s="1">
        <f t="shared" si="15"/>
        <v>-2519</v>
      </c>
      <c r="D463">
        <v>0</v>
      </c>
      <c r="E463">
        <v>0</v>
      </c>
      <c r="F463">
        <v>0</v>
      </c>
      <c r="G463">
        <v>0.3629</v>
      </c>
      <c r="H463">
        <v>30.775600000000001</v>
      </c>
      <c r="I463">
        <v>5.0331999999999999</v>
      </c>
      <c r="J463">
        <v>26.1053</v>
      </c>
      <c r="K463">
        <v>0</v>
      </c>
      <c r="L463">
        <v>0</v>
      </c>
    </row>
    <row r="464" spans="1:12" x14ac:dyDescent="0.35">
      <c r="A464" s="3" t="s">
        <v>479</v>
      </c>
      <c r="B464" s="1" t="str">
        <f t="shared" si="14"/>
        <v>Lago Paranoa</v>
      </c>
      <c r="C464" s="1">
        <f t="shared" si="15"/>
        <v>-2519</v>
      </c>
      <c r="D464">
        <v>0</v>
      </c>
      <c r="E464">
        <v>2302.4499999999998</v>
      </c>
      <c r="F464">
        <v>0.4234</v>
      </c>
      <c r="G464">
        <v>2.5009000000000001</v>
      </c>
      <c r="H464">
        <v>4.8662999999999998</v>
      </c>
      <c r="I464">
        <v>1.2343999999999999</v>
      </c>
      <c r="J464">
        <v>5.7093999999999996</v>
      </c>
      <c r="K464">
        <v>2302.4499999999998</v>
      </c>
      <c r="L464">
        <v>0</v>
      </c>
    </row>
    <row r="465" spans="1:12" x14ac:dyDescent="0.35">
      <c r="A465" s="3" t="s">
        <v>480</v>
      </c>
      <c r="B465" s="1" t="str">
        <f t="shared" si="14"/>
        <v>Corumba IV</v>
      </c>
      <c r="C465" s="1">
        <f t="shared" si="15"/>
        <v>-2518</v>
      </c>
      <c r="D465">
        <v>0</v>
      </c>
      <c r="E465">
        <v>0</v>
      </c>
      <c r="F465">
        <v>0</v>
      </c>
      <c r="G465">
        <v>0.3629</v>
      </c>
      <c r="H465">
        <v>29.621300000000002</v>
      </c>
      <c r="I465">
        <v>5.8121</v>
      </c>
      <c r="J465">
        <v>24.172000000000001</v>
      </c>
      <c r="K465">
        <v>0</v>
      </c>
      <c r="L465">
        <v>0</v>
      </c>
    </row>
    <row r="466" spans="1:12" x14ac:dyDescent="0.35">
      <c r="A466" s="3" t="s">
        <v>481</v>
      </c>
      <c r="B466" s="1" t="str">
        <f t="shared" si="14"/>
        <v>Lago Paranoa</v>
      </c>
      <c r="C466" s="1">
        <f t="shared" si="15"/>
        <v>-2518</v>
      </c>
      <c r="D466">
        <v>0</v>
      </c>
      <c r="E466">
        <v>2302.4499999999998</v>
      </c>
      <c r="F466">
        <v>0.4234</v>
      </c>
      <c r="G466">
        <v>2.4931000000000001</v>
      </c>
      <c r="H466">
        <v>4.8353999999999999</v>
      </c>
      <c r="I466">
        <v>1.4512</v>
      </c>
      <c r="J466">
        <v>5.4539</v>
      </c>
      <c r="K466">
        <v>2302.4499999999998</v>
      </c>
      <c r="L466">
        <v>0</v>
      </c>
    </row>
    <row r="467" spans="1:12" x14ac:dyDescent="0.35">
      <c r="A467" s="3" t="s">
        <v>482</v>
      </c>
      <c r="B467" s="1" t="str">
        <f t="shared" si="14"/>
        <v>Corumba IV</v>
      </c>
      <c r="C467" s="1">
        <f t="shared" si="15"/>
        <v>-2517</v>
      </c>
      <c r="D467">
        <v>0</v>
      </c>
      <c r="E467">
        <v>0</v>
      </c>
      <c r="F467">
        <v>0</v>
      </c>
      <c r="G467">
        <v>0.3629</v>
      </c>
      <c r="H467">
        <v>27.8551</v>
      </c>
      <c r="I467">
        <v>5.9419000000000004</v>
      </c>
      <c r="J467">
        <v>22.276</v>
      </c>
      <c r="K467">
        <v>0</v>
      </c>
      <c r="L467">
        <v>0</v>
      </c>
    </row>
    <row r="468" spans="1:12" x14ac:dyDescent="0.35">
      <c r="A468" s="3" t="s">
        <v>483</v>
      </c>
      <c r="B468" s="1" t="str">
        <f t="shared" si="14"/>
        <v>Lago Paranoa</v>
      </c>
      <c r="C468" s="1">
        <f t="shared" si="15"/>
        <v>-2517</v>
      </c>
      <c r="D468">
        <v>0</v>
      </c>
      <c r="E468">
        <v>2302.4499999999998</v>
      </c>
      <c r="F468">
        <v>0.4234</v>
      </c>
      <c r="G468">
        <v>2.4540999999999999</v>
      </c>
      <c r="H468">
        <v>4.6283000000000003</v>
      </c>
      <c r="I468">
        <v>1.4873000000000001</v>
      </c>
      <c r="J468">
        <v>5.1717000000000004</v>
      </c>
      <c r="K468">
        <v>2302.4499999999998</v>
      </c>
      <c r="L468">
        <v>0</v>
      </c>
    </row>
    <row r="469" spans="1:12" x14ac:dyDescent="0.35">
      <c r="A469" s="3" t="s">
        <v>484</v>
      </c>
      <c r="B469" s="1" t="str">
        <f t="shared" si="14"/>
        <v>Corumba IV</v>
      </c>
      <c r="C469" s="1">
        <f t="shared" si="15"/>
        <v>-2516</v>
      </c>
      <c r="D469">
        <v>0</v>
      </c>
      <c r="E469">
        <v>0</v>
      </c>
      <c r="F469">
        <v>0</v>
      </c>
      <c r="G469">
        <v>0.3629</v>
      </c>
      <c r="H469">
        <v>26.208600000000001</v>
      </c>
      <c r="I469">
        <v>5.9419000000000004</v>
      </c>
      <c r="J469">
        <v>20.6295</v>
      </c>
      <c r="K469">
        <v>0</v>
      </c>
      <c r="L469">
        <v>0</v>
      </c>
    </row>
    <row r="470" spans="1:12" x14ac:dyDescent="0.35">
      <c r="A470" s="3" t="s">
        <v>485</v>
      </c>
      <c r="B470" s="1" t="str">
        <f t="shared" si="14"/>
        <v>Lago Paranoa</v>
      </c>
      <c r="C470" s="1">
        <f t="shared" si="15"/>
        <v>-2516</v>
      </c>
      <c r="D470">
        <v>0</v>
      </c>
      <c r="E470">
        <v>2302.4499999999998</v>
      </c>
      <c r="F470">
        <v>0.4234</v>
      </c>
      <c r="G470">
        <v>2.3327</v>
      </c>
      <c r="H470">
        <v>4.4547999999999996</v>
      </c>
      <c r="I470">
        <v>1.4873000000000001</v>
      </c>
      <c r="J470">
        <v>4.8769</v>
      </c>
      <c r="K470">
        <v>2302.4499999999998</v>
      </c>
      <c r="L470">
        <v>0</v>
      </c>
    </row>
    <row r="471" spans="1:12" x14ac:dyDescent="0.35">
      <c r="A471" s="3" t="s">
        <v>486</v>
      </c>
      <c r="B471" s="1" t="str">
        <f t="shared" si="14"/>
        <v>Corumba IV</v>
      </c>
      <c r="C471" s="1">
        <f t="shared" si="15"/>
        <v>-2515</v>
      </c>
      <c r="D471">
        <v>0</v>
      </c>
      <c r="E471">
        <v>0</v>
      </c>
      <c r="F471">
        <v>0</v>
      </c>
      <c r="G471">
        <v>0.3629</v>
      </c>
      <c r="H471">
        <v>24.583600000000001</v>
      </c>
      <c r="I471">
        <v>5.9419000000000004</v>
      </c>
      <c r="J471">
        <v>19.0045</v>
      </c>
      <c r="K471">
        <v>0</v>
      </c>
      <c r="L471">
        <v>0</v>
      </c>
    </row>
    <row r="472" spans="1:12" x14ac:dyDescent="0.35">
      <c r="A472" s="3" t="s">
        <v>487</v>
      </c>
      <c r="B472" s="1" t="str">
        <f t="shared" si="14"/>
        <v>Lago Paranoa</v>
      </c>
      <c r="C472" s="1">
        <f t="shared" si="15"/>
        <v>-2515</v>
      </c>
      <c r="D472">
        <v>0</v>
      </c>
      <c r="E472">
        <v>2302.4499999999998</v>
      </c>
      <c r="F472">
        <v>0.4234</v>
      </c>
      <c r="G472">
        <v>2.101</v>
      </c>
      <c r="H472">
        <v>4.1475999999999997</v>
      </c>
      <c r="I472">
        <v>1.4873000000000001</v>
      </c>
      <c r="J472">
        <v>4.3380000000000001</v>
      </c>
      <c r="K472">
        <v>2302.4499999999998</v>
      </c>
      <c r="L472">
        <v>0</v>
      </c>
    </row>
    <row r="473" spans="1:12" x14ac:dyDescent="0.35">
      <c r="A473" s="3" t="s">
        <v>488</v>
      </c>
      <c r="B473" s="1" t="str">
        <f t="shared" si="14"/>
        <v>Corumba IV</v>
      </c>
      <c r="C473" s="1">
        <f t="shared" si="15"/>
        <v>-2514</v>
      </c>
      <c r="D473">
        <v>0</v>
      </c>
      <c r="E473">
        <v>0</v>
      </c>
      <c r="F473">
        <v>0</v>
      </c>
      <c r="G473">
        <v>0.3629</v>
      </c>
      <c r="H473">
        <v>22.5761</v>
      </c>
      <c r="I473">
        <v>5.9767000000000001</v>
      </c>
      <c r="J473">
        <v>16.962299999999999</v>
      </c>
      <c r="K473">
        <v>0</v>
      </c>
      <c r="L473">
        <v>0</v>
      </c>
    </row>
    <row r="474" spans="1:12" x14ac:dyDescent="0.35">
      <c r="A474" s="3" t="s">
        <v>489</v>
      </c>
      <c r="B474" s="1" t="str">
        <f t="shared" si="14"/>
        <v>Lago Paranoa</v>
      </c>
      <c r="C474" s="1">
        <f t="shared" si="15"/>
        <v>-2514</v>
      </c>
      <c r="D474">
        <v>0</v>
      </c>
      <c r="E474">
        <v>2302.4499999999998</v>
      </c>
      <c r="F474">
        <v>0.4234</v>
      </c>
      <c r="G474">
        <v>2.2429000000000001</v>
      </c>
      <c r="H474">
        <v>4.2358000000000002</v>
      </c>
      <c r="I474">
        <v>1.4398</v>
      </c>
      <c r="J474">
        <v>4.6154999999999999</v>
      </c>
      <c r="K474">
        <v>2302.4499999999998</v>
      </c>
      <c r="L474">
        <v>0</v>
      </c>
    </row>
    <row r="475" spans="1:12" x14ac:dyDescent="0.35">
      <c r="A475" s="3" t="s">
        <v>490</v>
      </c>
      <c r="B475" s="1" t="str">
        <f t="shared" si="14"/>
        <v>Corumba IV</v>
      </c>
      <c r="C475" s="1">
        <f t="shared" si="15"/>
        <v>-2513</v>
      </c>
      <c r="D475">
        <v>0</v>
      </c>
      <c r="E475">
        <v>0</v>
      </c>
      <c r="F475">
        <v>0</v>
      </c>
      <c r="G475">
        <v>0.3629</v>
      </c>
      <c r="H475">
        <v>23.483000000000001</v>
      </c>
      <c r="I475">
        <v>6.0231000000000003</v>
      </c>
      <c r="J475">
        <v>17.822800000000001</v>
      </c>
      <c r="K475">
        <v>0</v>
      </c>
      <c r="L475">
        <v>0</v>
      </c>
    </row>
    <row r="476" spans="1:12" x14ac:dyDescent="0.35">
      <c r="A476" s="3" t="s">
        <v>491</v>
      </c>
      <c r="B476" s="1" t="str">
        <f t="shared" si="14"/>
        <v>Lago Paranoa</v>
      </c>
      <c r="C476" s="1">
        <f t="shared" si="15"/>
        <v>-2513</v>
      </c>
      <c r="D476">
        <v>0</v>
      </c>
      <c r="E476">
        <v>2302.4499999999998</v>
      </c>
      <c r="F476">
        <v>0.4234</v>
      </c>
      <c r="G476">
        <v>2.3252999999999999</v>
      </c>
      <c r="H476">
        <v>3.8898000000000001</v>
      </c>
      <c r="I476">
        <v>1.3765000000000001</v>
      </c>
      <c r="J476">
        <v>4.4151999999999996</v>
      </c>
      <c r="K476">
        <v>2302.4499999999998</v>
      </c>
      <c r="L476">
        <v>0</v>
      </c>
    </row>
    <row r="477" spans="1:12" x14ac:dyDescent="0.35">
      <c r="A477" s="3" t="s">
        <v>492</v>
      </c>
      <c r="B477" s="1" t="str">
        <f t="shared" si="14"/>
        <v>Corumba IV</v>
      </c>
      <c r="C477" s="1">
        <f t="shared" si="15"/>
        <v>-2512</v>
      </c>
      <c r="D477">
        <v>0</v>
      </c>
      <c r="E477">
        <v>0</v>
      </c>
      <c r="F477">
        <v>0</v>
      </c>
      <c r="G477">
        <v>0.3629</v>
      </c>
      <c r="H477">
        <v>24.495999999999999</v>
      </c>
      <c r="I477">
        <v>6.0231000000000003</v>
      </c>
      <c r="J477">
        <v>18.835799999999999</v>
      </c>
      <c r="K477">
        <v>0</v>
      </c>
      <c r="L477">
        <v>0</v>
      </c>
    </row>
    <row r="478" spans="1:12" x14ac:dyDescent="0.35">
      <c r="A478" s="3" t="s">
        <v>493</v>
      </c>
      <c r="B478" s="1" t="str">
        <f t="shared" si="14"/>
        <v>Lago Paranoa</v>
      </c>
      <c r="C478" s="1">
        <f t="shared" si="15"/>
        <v>-2512</v>
      </c>
      <c r="D478">
        <v>0</v>
      </c>
      <c r="E478">
        <v>2302.4499999999998</v>
      </c>
      <c r="F478">
        <v>0.4234</v>
      </c>
      <c r="G478">
        <v>2.5129000000000001</v>
      </c>
      <c r="H478">
        <v>4.1372999999999998</v>
      </c>
      <c r="I478">
        <v>1.3765000000000001</v>
      </c>
      <c r="J478">
        <v>4.8502999999999998</v>
      </c>
      <c r="K478">
        <v>2302.4499999999998</v>
      </c>
      <c r="L478">
        <v>0</v>
      </c>
    </row>
    <row r="479" spans="1:12" x14ac:dyDescent="0.35">
      <c r="A479" s="3" t="s">
        <v>494</v>
      </c>
      <c r="B479" s="1" t="str">
        <f t="shared" si="14"/>
        <v>Corumba IV</v>
      </c>
      <c r="C479" s="1">
        <f t="shared" si="15"/>
        <v>-2511</v>
      </c>
      <c r="D479">
        <v>0</v>
      </c>
      <c r="E479">
        <v>0</v>
      </c>
      <c r="F479">
        <v>0</v>
      </c>
      <c r="G479">
        <v>0.3629</v>
      </c>
      <c r="H479">
        <v>21.2971</v>
      </c>
      <c r="I479">
        <v>6.0231000000000003</v>
      </c>
      <c r="J479">
        <v>15.636799999999999</v>
      </c>
      <c r="K479">
        <v>0</v>
      </c>
      <c r="L479">
        <v>0</v>
      </c>
    </row>
    <row r="480" spans="1:12" x14ac:dyDescent="0.35">
      <c r="A480" s="3" t="s">
        <v>495</v>
      </c>
      <c r="B480" s="1" t="str">
        <f t="shared" si="14"/>
        <v>Lago Paranoa</v>
      </c>
      <c r="C480" s="1">
        <f t="shared" si="15"/>
        <v>-2511</v>
      </c>
      <c r="D480">
        <v>0</v>
      </c>
      <c r="E480">
        <v>2302.4499999999998</v>
      </c>
      <c r="F480">
        <v>0.4234</v>
      </c>
      <c r="G480">
        <v>2.2429999999999999</v>
      </c>
      <c r="H480">
        <v>3.7301000000000002</v>
      </c>
      <c r="I480">
        <v>1.3765000000000001</v>
      </c>
      <c r="J480">
        <v>4.1731999999999996</v>
      </c>
      <c r="K480">
        <v>2302.4499999999998</v>
      </c>
      <c r="L480">
        <v>0</v>
      </c>
    </row>
    <row r="481" spans="1:12" x14ac:dyDescent="0.35">
      <c r="A481" s="3" t="s">
        <v>496</v>
      </c>
      <c r="B481" s="1" t="str">
        <f t="shared" si="14"/>
        <v>Corumba IV</v>
      </c>
      <c r="C481" s="1">
        <f t="shared" si="15"/>
        <v>-2510</v>
      </c>
      <c r="D481">
        <v>0</v>
      </c>
      <c r="E481">
        <v>0</v>
      </c>
      <c r="F481">
        <v>0</v>
      </c>
      <c r="G481">
        <v>0.3629</v>
      </c>
      <c r="H481">
        <v>19.919599999999999</v>
      </c>
      <c r="I481">
        <v>5.9954000000000001</v>
      </c>
      <c r="J481">
        <v>14.287100000000001</v>
      </c>
      <c r="K481">
        <v>0</v>
      </c>
      <c r="L481">
        <v>0</v>
      </c>
    </row>
    <row r="482" spans="1:12" x14ac:dyDescent="0.35">
      <c r="A482" s="3" t="s">
        <v>497</v>
      </c>
      <c r="B482" s="1" t="str">
        <f t="shared" si="14"/>
        <v>Lago Paranoa</v>
      </c>
      <c r="C482" s="1">
        <f t="shared" si="15"/>
        <v>-2510</v>
      </c>
      <c r="D482">
        <v>0</v>
      </c>
      <c r="E482">
        <v>2302.4499999999998</v>
      </c>
      <c r="F482">
        <v>0.4234</v>
      </c>
      <c r="G482">
        <v>2.0480999999999998</v>
      </c>
      <c r="H482">
        <v>3.5689000000000002</v>
      </c>
      <c r="I482">
        <v>1.3605</v>
      </c>
      <c r="J482">
        <v>3.8330000000000002</v>
      </c>
      <c r="K482">
        <v>2302.4499999999998</v>
      </c>
      <c r="L482">
        <v>0</v>
      </c>
    </row>
    <row r="483" spans="1:12" x14ac:dyDescent="0.35">
      <c r="A483" s="3" t="s">
        <v>498</v>
      </c>
      <c r="B483" s="1" t="str">
        <f t="shared" si="14"/>
        <v>Corumba IV</v>
      </c>
      <c r="C483" s="1">
        <f t="shared" si="15"/>
        <v>-2509</v>
      </c>
      <c r="D483">
        <v>0</v>
      </c>
      <c r="E483">
        <v>0</v>
      </c>
      <c r="F483">
        <v>0</v>
      </c>
      <c r="G483">
        <v>0.3629</v>
      </c>
      <c r="H483">
        <v>38.080399999999997</v>
      </c>
      <c r="I483">
        <v>5.8292999999999999</v>
      </c>
      <c r="J483">
        <v>32.613999999999997</v>
      </c>
      <c r="K483">
        <v>0</v>
      </c>
      <c r="L483">
        <v>0</v>
      </c>
    </row>
    <row r="484" spans="1:12" x14ac:dyDescent="0.35">
      <c r="A484" s="3" t="s">
        <v>499</v>
      </c>
      <c r="B484" s="1" t="str">
        <f t="shared" si="14"/>
        <v>Lago Paranoa</v>
      </c>
      <c r="C484" s="1">
        <f t="shared" si="15"/>
        <v>-2509</v>
      </c>
      <c r="D484">
        <v>0</v>
      </c>
      <c r="E484">
        <v>2302.4499999999998</v>
      </c>
      <c r="F484">
        <v>0.4234</v>
      </c>
      <c r="G484">
        <v>2.8833000000000002</v>
      </c>
      <c r="H484">
        <v>4.4828999999999999</v>
      </c>
      <c r="I484">
        <v>1.2645</v>
      </c>
      <c r="J484">
        <v>5.6783000000000001</v>
      </c>
      <c r="K484">
        <v>2302.4499999999998</v>
      </c>
      <c r="L484">
        <v>0</v>
      </c>
    </row>
    <row r="485" spans="1:12" x14ac:dyDescent="0.35">
      <c r="A485" s="3" t="s">
        <v>500</v>
      </c>
      <c r="B485" s="1" t="str">
        <f t="shared" si="14"/>
        <v>Corumba IV</v>
      </c>
      <c r="C485" s="1">
        <f t="shared" si="15"/>
        <v>-2508</v>
      </c>
      <c r="D485">
        <v>0</v>
      </c>
      <c r="E485">
        <v>0</v>
      </c>
      <c r="F485">
        <v>0</v>
      </c>
      <c r="G485">
        <v>0.3629</v>
      </c>
      <c r="H485">
        <v>40.826999999999998</v>
      </c>
      <c r="I485">
        <v>5.8292999999999999</v>
      </c>
      <c r="J485">
        <v>35.360599999999998</v>
      </c>
      <c r="K485">
        <v>0</v>
      </c>
      <c r="L485">
        <v>0</v>
      </c>
    </row>
    <row r="486" spans="1:12" x14ac:dyDescent="0.35">
      <c r="A486" s="3" t="s">
        <v>501</v>
      </c>
      <c r="B486" s="1" t="str">
        <f t="shared" si="14"/>
        <v>Lago Paranoa</v>
      </c>
      <c r="C486" s="1">
        <f t="shared" si="15"/>
        <v>-2508</v>
      </c>
      <c r="D486">
        <v>0</v>
      </c>
      <c r="E486">
        <v>2302.4499999999998</v>
      </c>
      <c r="F486">
        <v>0.4234</v>
      </c>
      <c r="G486">
        <v>3.1835</v>
      </c>
      <c r="H486">
        <v>5.1623000000000001</v>
      </c>
      <c r="I486">
        <v>1.2645</v>
      </c>
      <c r="J486">
        <v>6.6580000000000004</v>
      </c>
      <c r="K486">
        <v>2302.4499999999998</v>
      </c>
      <c r="L486">
        <v>0</v>
      </c>
    </row>
    <row r="487" spans="1:12" x14ac:dyDescent="0.35">
      <c r="A487" s="3" t="s">
        <v>502</v>
      </c>
      <c r="B487" s="1" t="str">
        <f t="shared" si="14"/>
        <v>Corumba IV</v>
      </c>
      <c r="C487" s="1">
        <f t="shared" si="15"/>
        <v>-2507</v>
      </c>
      <c r="D487">
        <v>0</v>
      </c>
      <c r="E487">
        <v>0</v>
      </c>
      <c r="F487">
        <v>0</v>
      </c>
      <c r="G487">
        <v>0.3629</v>
      </c>
      <c r="H487">
        <v>61.194899999999997</v>
      </c>
      <c r="I487">
        <v>5.8292999999999999</v>
      </c>
      <c r="J487">
        <v>55.728499999999997</v>
      </c>
      <c r="K487">
        <v>0</v>
      </c>
      <c r="L487">
        <v>0</v>
      </c>
    </row>
    <row r="488" spans="1:12" x14ac:dyDescent="0.35">
      <c r="A488" s="3" t="s">
        <v>503</v>
      </c>
      <c r="B488" s="1" t="str">
        <f t="shared" si="14"/>
        <v>Lago Paranoa</v>
      </c>
      <c r="C488" s="1">
        <f t="shared" si="15"/>
        <v>-2507</v>
      </c>
      <c r="D488">
        <v>0</v>
      </c>
      <c r="E488">
        <v>2302.4499999999998</v>
      </c>
      <c r="F488">
        <v>0.4234</v>
      </c>
      <c r="G488">
        <v>3.2879999999999998</v>
      </c>
      <c r="H488">
        <v>7.1235999999999997</v>
      </c>
      <c r="I488">
        <v>1.2645</v>
      </c>
      <c r="J488">
        <v>8.7238000000000007</v>
      </c>
      <c r="K488">
        <v>2302.4499999999998</v>
      </c>
      <c r="L488">
        <v>0</v>
      </c>
    </row>
    <row r="489" spans="1:12" x14ac:dyDescent="0.35">
      <c r="A489" s="3" t="s">
        <v>504</v>
      </c>
      <c r="B489" s="1" t="str">
        <f t="shared" si="14"/>
        <v>Corumba IV</v>
      </c>
      <c r="C489" s="1">
        <f t="shared" si="15"/>
        <v>-2506</v>
      </c>
      <c r="D489">
        <v>0</v>
      </c>
      <c r="E489">
        <v>0</v>
      </c>
      <c r="F489">
        <v>0</v>
      </c>
      <c r="G489">
        <v>0.3629</v>
      </c>
      <c r="H489">
        <v>32.269599999999997</v>
      </c>
      <c r="I489">
        <v>5.8292999999999999</v>
      </c>
      <c r="J489">
        <v>26.8032</v>
      </c>
      <c r="K489">
        <v>0</v>
      </c>
      <c r="L489">
        <v>0</v>
      </c>
    </row>
    <row r="490" spans="1:12" x14ac:dyDescent="0.35">
      <c r="A490" s="3" t="s">
        <v>505</v>
      </c>
      <c r="B490" s="1" t="str">
        <f t="shared" si="14"/>
        <v>Lago Paranoa</v>
      </c>
      <c r="C490" s="1">
        <f t="shared" si="15"/>
        <v>-2506</v>
      </c>
      <c r="D490">
        <v>0</v>
      </c>
      <c r="E490">
        <v>2302.4499999999998</v>
      </c>
      <c r="F490">
        <v>0.4234</v>
      </c>
      <c r="G490">
        <v>2.6084999999999998</v>
      </c>
      <c r="H490">
        <v>5.2191000000000001</v>
      </c>
      <c r="I490">
        <v>1.2645</v>
      </c>
      <c r="J490">
        <v>6.1398000000000001</v>
      </c>
      <c r="K490">
        <v>2302.4499999999998</v>
      </c>
      <c r="L490">
        <v>0</v>
      </c>
    </row>
    <row r="491" spans="1:12" x14ac:dyDescent="0.35">
      <c r="A491" s="3" t="s">
        <v>506</v>
      </c>
      <c r="B491" s="1" t="str">
        <f t="shared" si="14"/>
        <v>Corumba IV</v>
      </c>
      <c r="C491" s="1">
        <f t="shared" si="15"/>
        <v>-2505</v>
      </c>
      <c r="D491">
        <v>0</v>
      </c>
      <c r="E491">
        <v>0</v>
      </c>
      <c r="F491">
        <v>0</v>
      </c>
      <c r="G491">
        <v>0.3629</v>
      </c>
      <c r="H491">
        <v>46.744700000000002</v>
      </c>
      <c r="I491">
        <v>4.8312999999999997</v>
      </c>
      <c r="J491">
        <v>42.276400000000002</v>
      </c>
      <c r="K491">
        <v>0</v>
      </c>
      <c r="L491">
        <v>0</v>
      </c>
    </row>
    <row r="492" spans="1:12" x14ac:dyDescent="0.35">
      <c r="A492" s="3" t="s">
        <v>507</v>
      </c>
      <c r="B492" s="1" t="str">
        <f t="shared" si="14"/>
        <v>Lago Paranoa</v>
      </c>
      <c r="C492" s="1">
        <f t="shared" si="15"/>
        <v>-2505</v>
      </c>
      <c r="D492">
        <v>0</v>
      </c>
      <c r="E492">
        <v>2302.4499999999998</v>
      </c>
      <c r="F492">
        <v>0.4234</v>
      </c>
      <c r="G492">
        <v>2.7321</v>
      </c>
      <c r="H492">
        <v>5.3319000000000001</v>
      </c>
      <c r="I492">
        <v>1.1728000000000001</v>
      </c>
      <c r="J492">
        <v>6.4678000000000004</v>
      </c>
      <c r="K492">
        <v>2302.4499999999998</v>
      </c>
      <c r="L492">
        <v>0</v>
      </c>
    </row>
    <row r="493" spans="1:12" x14ac:dyDescent="0.35">
      <c r="A493" s="3" t="s">
        <v>508</v>
      </c>
      <c r="B493" s="1" t="str">
        <f t="shared" si="14"/>
        <v>Corumba IV</v>
      </c>
      <c r="C493" s="1">
        <f t="shared" si="15"/>
        <v>-2504</v>
      </c>
      <c r="D493">
        <v>0</v>
      </c>
      <c r="E493">
        <v>0</v>
      </c>
      <c r="F493">
        <v>0</v>
      </c>
      <c r="G493">
        <v>0.3629</v>
      </c>
      <c r="H493">
        <v>45.500799999999998</v>
      </c>
      <c r="I493">
        <v>4.4321000000000002</v>
      </c>
      <c r="J493">
        <v>41.431699999999999</v>
      </c>
      <c r="K493">
        <v>0</v>
      </c>
      <c r="L493">
        <v>0</v>
      </c>
    </row>
    <row r="494" spans="1:12" x14ac:dyDescent="0.35">
      <c r="A494" s="3" t="s">
        <v>509</v>
      </c>
      <c r="B494" s="1" t="str">
        <f t="shared" si="14"/>
        <v>Lago Paranoa</v>
      </c>
      <c r="C494" s="1">
        <f t="shared" si="15"/>
        <v>-2504</v>
      </c>
      <c r="D494">
        <v>0</v>
      </c>
      <c r="E494">
        <v>2302.4499999999998</v>
      </c>
      <c r="F494">
        <v>0.4234</v>
      </c>
      <c r="G494">
        <v>3.1461000000000001</v>
      </c>
      <c r="H494">
        <v>6.4043000000000001</v>
      </c>
      <c r="I494">
        <v>1.1361000000000001</v>
      </c>
      <c r="J494">
        <v>7.9908999999999999</v>
      </c>
      <c r="K494">
        <v>2302.4499999999998</v>
      </c>
      <c r="L494">
        <v>0</v>
      </c>
    </row>
    <row r="495" spans="1:12" x14ac:dyDescent="0.35">
      <c r="A495" s="3" t="s">
        <v>510</v>
      </c>
      <c r="B495" s="1" t="str">
        <f t="shared" si="14"/>
        <v>Corumba IV</v>
      </c>
      <c r="C495" s="1">
        <f t="shared" si="15"/>
        <v>-2503</v>
      </c>
      <c r="D495">
        <v>0</v>
      </c>
      <c r="E495">
        <v>0</v>
      </c>
      <c r="F495">
        <v>0</v>
      </c>
      <c r="G495">
        <v>0.3629</v>
      </c>
      <c r="H495">
        <v>74.784999999999997</v>
      </c>
      <c r="I495">
        <v>4.4321000000000002</v>
      </c>
      <c r="J495">
        <v>70.715800000000002</v>
      </c>
      <c r="K495">
        <v>0</v>
      </c>
      <c r="L495">
        <v>0</v>
      </c>
    </row>
    <row r="496" spans="1:12" x14ac:dyDescent="0.35">
      <c r="A496" s="3" t="s">
        <v>511</v>
      </c>
      <c r="B496" s="1" t="str">
        <f t="shared" si="14"/>
        <v>Lago Paranoa</v>
      </c>
      <c r="C496" s="1">
        <f t="shared" si="15"/>
        <v>-2503</v>
      </c>
      <c r="D496">
        <v>0</v>
      </c>
      <c r="E496">
        <v>2302.4499999999998</v>
      </c>
      <c r="F496">
        <v>0.4234</v>
      </c>
      <c r="G496">
        <v>3.899</v>
      </c>
      <c r="H496">
        <v>8.3610000000000007</v>
      </c>
      <c r="I496">
        <v>1.1361000000000001</v>
      </c>
      <c r="J496">
        <v>10.7005</v>
      </c>
      <c r="K496">
        <v>2302.4499999999998</v>
      </c>
      <c r="L496">
        <v>0</v>
      </c>
    </row>
    <row r="497" spans="1:12" x14ac:dyDescent="0.35">
      <c r="A497" s="3" t="s">
        <v>512</v>
      </c>
      <c r="B497" s="1" t="str">
        <f t="shared" si="14"/>
        <v>Corumba IV</v>
      </c>
      <c r="C497" s="1">
        <f t="shared" si="15"/>
        <v>-2502</v>
      </c>
      <c r="D497">
        <v>0</v>
      </c>
      <c r="E497">
        <v>0</v>
      </c>
      <c r="F497">
        <v>0</v>
      </c>
      <c r="G497">
        <v>0.3629</v>
      </c>
      <c r="H497">
        <v>66.087699999999998</v>
      </c>
      <c r="I497">
        <v>4.4345999999999997</v>
      </c>
      <c r="J497">
        <v>62.015999999999998</v>
      </c>
      <c r="K497">
        <v>0</v>
      </c>
      <c r="L497">
        <v>0</v>
      </c>
    </row>
    <row r="498" spans="1:12" x14ac:dyDescent="0.35">
      <c r="A498" s="3" t="s">
        <v>513</v>
      </c>
      <c r="B498" s="1" t="str">
        <f t="shared" si="14"/>
        <v>Lago Paranoa</v>
      </c>
      <c r="C498" s="1">
        <f t="shared" si="15"/>
        <v>-2502</v>
      </c>
      <c r="D498">
        <v>0</v>
      </c>
      <c r="E498">
        <v>2302.4499999999998</v>
      </c>
      <c r="F498">
        <v>0.4234</v>
      </c>
      <c r="G498">
        <v>3.9792999999999998</v>
      </c>
      <c r="H498">
        <v>9.1478999999999999</v>
      </c>
      <c r="I498">
        <v>1.1518999999999999</v>
      </c>
      <c r="J498">
        <v>11.5519</v>
      </c>
      <c r="K498">
        <v>2302.4499999999998</v>
      </c>
      <c r="L498">
        <v>0</v>
      </c>
    </row>
    <row r="499" spans="1:12" x14ac:dyDescent="0.35">
      <c r="A499" s="3" t="s">
        <v>514</v>
      </c>
      <c r="B499" s="1" t="str">
        <f t="shared" si="14"/>
        <v>Corumba IV</v>
      </c>
      <c r="C499" s="1">
        <f t="shared" si="15"/>
        <v>-2501</v>
      </c>
      <c r="D499">
        <v>0</v>
      </c>
      <c r="E499">
        <v>0</v>
      </c>
      <c r="F499">
        <v>0</v>
      </c>
      <c r="G499">
        <v>0.3629</v>
      </c>
      <c r="H499">
        <v>59.3977</v>
      </c>
      <c r="I499">
        <v>4.5053999999999998</v>
      </c>
      <c r="J499">
        <v>55.255200000000002</v>
      </c>
      <c r="K499">
        <v>0</v>
      </c>
      <c r="L499">
        <v>0</v>
      </c>
    </row>
    <row r="500" spans="1:12" x14ac:dyDescent="0.35">
      <c r="A500" s="3" t="s">
        <v>515</v>
      </c>
      <c r="B500" s="1" t="str">
        <f t="shared" si="14"/>
        <v>Lago Paranoa</v>
      </c>
      <c r="C500" s="1">
        <f t="shared" si="15"/>
        <v>-2501</v>
      </c>
      <c r="D500">
        <v>0</v>
      </c>
      <c r="E500">
        <v>2302.4499999999998</v>
      </c>
      <c r="F500">
        <v>0.32869999999999999</v>
      </c>
      <c r="G500">
        <v>3.5236000000000001</v>
      </c>
      <c r="H500">
        <v>8.2283000000000008</v>
      </c>
      <c r="I500">
        <v>1.2030000000000001</v>
      </c>
      <c r="J500">
        <v>10.2203</v>
      </c>
      <c r="K500">
        <v>2302.4499999999998</v>
      </c>
      <c r="L500">
        <v>0</v>
      </c>
    </row>
    <row r="501" spans="1:12" x14ac:dyDescent="0.35">
      <c r="A501" s="3" t="s">
        <v>516</v>
      </c>
      <c r="B501" s="1" t="str">
        <f t="shared" si="14"/>
        <v>Corumba IV</v>
      </c>
      <c r="C501" s="1">
        <f t="shared" si="15"/>
        <v>-2500</v>
      </c>
      <c r="D501">
        <v>0</v>
      </c>
      <c r="E501">
        <v>0</v>
      </c>
      <c r="F501">
        <v>0</v>
      </c>
      <c r="G501">
        <v>0.3629</v>
      </c>
      <c r="H501">
        <v>45.087200000000003</v>
      </c>
      <c r="I501">
        <v>4.5795000000000003</v>
      </c>
      <c r="J501">
        <v>40.870600000000003</v>
      </c>
      <c r="K501">
        <v>0</v>
      </c>
      <c r="L501">
        <v>0</v>
      </c>
    </row>
    <row r="502" spans="1:12" x14ac:dyDescent="0.35">
      <c r="A502" s="3" t="s">
        <v>517</v>
      </c>
      <c r="B502" s="1" t="str">
        <f t="shared" si="14"/>
        <v>Lago Paranoa</v>
      </c>
      <c r="C502" s="1">
        <f t="shared" si="15"/>
        <v>-2500</v>
      </c>
      <c r="D502">
        <v>0</v>
      </c>
      <c r="E502">
        <v>2302.4499999999998</v>
      </c>
      <c r="F502">
        <v>0.32900000000000001</v>
      </c>
      <c r="G502">
        <v>3.2927</v>
      </c>
      <c r="H502">
        <v>7.4279999999999999</v>
      </c>
      <c r="I502">
        <v>1.1447000000000001</v>
      </c>
      <c r="J502">
        <v>9.2469999999999999</v>
      </c>
      <c r="K502">
        <v>2302.4499999999998</v>
      </c>
      <c r="L502">
        <v>0</v>
      </c>
    </row>
    <row r="503" spans="1:12" x14ac:dyDescent="0.35">
      <c r="A503" s="3" t="s">
        <v>9</v>
      </c>
      <c r="B503" s="1" t="str">
        <f t="shared" si="14"/>
        <v>Corumba IV</v>
      </c>
      <c r="C503" s="1">
        <f t="shared" si="15"/>
        <v>49</v>
      </c>
      <c r="D503">
        <v>0</v>
      </c>
      <c r="E503">
        <v>0</v>
      </c>
      <c r="F503">
        <v>0</v>
      </c>
      <c r="G503">
        <v>0.3629</v>
      </c>
      <c r="H503">
        <v>60.126100000000001</v>
      </c>
      <c r="I503">
        <v>3.7583000000000002</v>
      </c>
      <c r="J503">
        <v>56.730699999999999</v>
      </c>
      <c r="K503">
        <v>0</v>
      </c>
      <c r="L503">
        <v>0</v>
      </c>
    </row>
    <row r="504" spans="1:12" x14ac:dyDescent="0.35">
      <c r="A504" s="3" t="s">
        <v>10</v>
      </c>
      <c r="B504" s="1" t="str">
        <f t="shared" si="14"/>
        <v>Lago Paranoa</v>
      </c>
      <c r="C504" s="1">
        <f t="shared" si="15"/>
        <v>49</v>
      </c>
      <c r="D504">
        <v>0</v>
      </c>
      <c r="E504">
        <v>2302.4499999999998</v>
      </c>
      <c r="F504">
        <v>0.32929999999999998</v>
      </c>
      <c r="G504">
        <v>1.6524000000000001</v>
      </c>
      <c r="H504">
        <v>3.6309</v>
      </c>
      <c r="I504">
        <v>0.99850000000000005</v>
      </c>
      <c r="J504">
        <v>3.9556</v>
      </c>
      <c r="K504">
        <v>2302.4499999999998</v>
      </c>
      <c r="L504">
        <v>0</v>
      </c>
    </row>
    <row r="505" spans="1:12" x14ac:dyDescent="0.35">
      <c r="A505" s="3" t="s">
        <v>1350</v>
      </c>
      <c r="B505" s="1" t="e">
        <f t="shared" si="14"/>
        <v>#N/A</v>
      </c>
      <c r="C505" s="1" t="e">
        <f t="shared" si="15"/>
        <v>#N/A</v>
      </c>
    </row>
  </sheetData>
  <autoFilter ref="A1:L505" xr:uid="{F5374E1A-EE46-4571-BD57-E9F09C073EDB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6217C-D0CB-4B7D-97AF-1286D791C358}">
  <dimension ref="A1:L328"/>
  <sheetViews>
    <sheetView topLeftCell="B1" zoomScale="200" workbookViewId="0">
      <selection activeCell="C5" sqref="C5"/>
    </sheetView>
  </sheetViews>
  <sheetFormatPr defaultRowHeight="14.5" x14ac:dyDescent="0.35"/>
  <cols>
    <col min="1" max="1" width="8.7265625" style="3"/>
    <col min="2" max="2" width="13.90625" bestFit="1" customWidth="1"/>
  </cols>
  <sheetData>
    <row r="1" spans="1:12" x14ac:dyDescent="0.35">
      <c r="B1" s="8" t="s">
        <v>12</v>
      </c>
      <c r="C1" s="8" t="s">
        <v>11</v>
      </c>
    </row>
    <row r="2" spans="1:12" x14ac:dyDescent="0.35">
      <c r="A2" s="3" t="s">
        <v>193</v>
      </c>
      <c r="B2" s="1" t="str">
        <f>_xlfn.TEXTBEFORE(_xlfn.TEXTAFTER(A2,"["),"]")</f>
        <v>Lago Paranoa</v>
      </c>
      <c r="C2" s="1">
        <f>--_xlfn.TEXTBEFORE(_xlfn.TEXTAFTER(A2,"Week "),":")</f>
        <v>-2350</v>
      </c>
      <c r="D2">
        <v>0</v>
      </c>
      <c r="E2">
        <v>2302.4499999999998</v>
      </c>
      <c r="F2">
        <v>0.4234</v>
      </c>
      <c r="G2">
        <v>3.258</v>
      </c>
      <c r="H2">
        <v>5.2324999999999999</v>
      </c>
      <c r="I2">
        <v>1.1174999999999999</v>
      </c>
      <c r="J2">
        <v>6.9497</v>
      </c>
      <c r="K2">
        <v>2302.4499999999998</v>
      </c>
      <c r="L2">
        <v>0</v>
      </c>
    </row>
    <row r="3" spans="1:12" x14ac:dyDescent="0.35">
      <c r="A3" s="3" t="s">
        <v>194</v>
      </c>
      <c r="B3" s="1" t="str">
        <f t="shared" ref="B3:B66" si="0">_xlfn.TEXTBEFORE(_xlfn.TEXTAFTER(A3,"["),"]")</f>
        <v>Corumba IV</v>
      </c>
      <c r="C3" s="1">
        <f>--_xlfn.TEXTBEFORE(_xlfn.TEXTAFTER(A3,"Week "),":")</f>
        <v>-2349</v>
      </c>
      <c r="D3">
        <v>0</v>
      </c>
      <c r="E3">
        <v>0</v>
      </c>
      <c r="F3">
        <v>0</v>
      </c>
      <c r="G3">
        <v>0.3629</v>
      </c>
      <c r="H3">
        <v>35.7774</v>
      </c>
      <c r="I3">
        <v>5.0396999999999998</v>
      </c>
      <c r="J3">
        <v>31.1006</v>
      </c>
      <c r="K3">
        <v>0</v>
      </c>
      <c r="L3">
        <v>0</v>
      </c>
    </row>
    <row r="4" spans="1:12" x14ac:dyDescent="0.35">
      <c r="A4" s="3" t="s">
        <v>195</v>
      </c>
      <c r="B4" s="1" t="str">
        <f t="shared" si="0"/>
        <v>Lago Paranoa</v>
      </c>
      <c r="C4" s="1">
        <f t="shared" ref="C4:C67" si="1">--_xlfn.TEXTBEFORE(_xlfn.TEXTAFTER(A4,"Week "),":")</f>
        <v>-2349</v>
      </c>
      <c r="D4">
        <v>0</v>
      </c>
      <c r="E4">
        <v>2302.4499999999998</v>
      </c>
      <c r="F4">
        <v>0.4234</v>
      </c>
      <c r="G4">
        <v>3.6395</v>
      </c>
      <c r="H4">
        <v>7.2066999999999997</v>
      </c>
      <c r="I4">
        <v>1.1802999999999999</v>
      </c>
      <c r="J4">
        <v>9.2424999999999997</v>
      </c>
      <c r="K4">
        <v>2302.4499999999998</v>
      </c>
      <c r="L4">
        <v>0</v>
      </c>
    </row>
    <row r="5" spans="1:12" x14ac:dyDescent="0.35">
      <c r="A5" s="3" t="s">
        <v>196</v>
      </c>
      <c r="B5" s="1" t="str">
        <f t="shared" si="0"/>
        <v>Corumba IV</v>
      </c>
      <c r="C5" s="1">
        <f t="shared" si="1"/>
        <v>-2348</v>
      </c>
      <c r="D5">
        <v>0</v>
      </c>
      <c r="E5">
        <v>0</v>
      </c>
      <c r="F5">
        <v>0</v>
      </c>
      <c r="G5">
        <v>0.3629</v>
      </c>
      <c r="H5">
        <v>43.230200000000004</v>
      </c>
      <c r="I5">
        <v>3.7995000000000001</v>
      </c>
      <c r="J5">
        <v>39.793599999999998</v>
      </c>
      <c r="K5">
        <v>0</v>
      </c>
      <c r="L5">
        <v>0</v>
      </c>
    </row>
    <row r="6" spans="1:12" x14ac:dyDescent="0.35">
      <c r="A6" s="3" t="s">
        <v>197</v>
      </c>
      <c r="B6" s="1" t="str">
        <f t="shared" si="0"/>
        <v>Lago Paranoa</v>
      </c>
      <c r="C6" s="1">
        <f t="shared" si="1"/>
        <v>-2348</v>
      </c>
      <c r="D6">
        <v>0</v>
      </c>
      <c r="E6">
        <v>2302.4499999999998</v>
      </c>
      <c r="F6">
        <v>0.4234</v>
      </c>
      <c r="G6">
        <v>3.1372</v>
      </c>
      <c r="H6">
        <v>7.7824</v>
      </c>
      <c r="I6">
        <v>0.8266</v>
      </c>
      <c r="J6">
        <v>9.6697000000000006</v>
      </c>
      <c r="K6">
        <v>2302.4499999999998</v>
      </c>
      <c r="L6">
        <v>0</v>
      </c>
    </row>
    <row r="7" spans="1:12" x14ac:dyDescent="0.35">
      <c r="A7" s="3" t="s">
        <v>198</v>
      </c>
      <c r="B7" s="1" t="str">
        <f t="shared" si="0"/>
        <v>Corumba IV</v>
      </c>
      <c r="C7" s="1">
        <f t="shared" si="1"/>
        <v>-2347</v>
      </c>
      <c r="D7">
        <v>0</v>
      </c>
      <c r="E7">
        <v>0</v>
      </c>
      <c r="F7">
        <v>0</v>
      </c>
      <c r="G7">
        <v>0.3629</v>
      </c>
      <c r="H7">
        <v>43.254399999999997</v>
      </c>
      <c r="I7">
        <v>3.5588000000000002</v>
      </c>
      <c r="J7">
        <v>40.058500000000002</v>
      </c>
      <c r="K7">
        <v>0</v>
      </c>
      <c r="L7">
        <v>0</v>
      </c>
    </row>
    <row r="8" spans="1:12" x14ac:dyDescent="0.35">
      <c r="A8" s="3" t="s">
        <v>199</v>
      </c>
      <c r="B8" s="1" t="str">
        <f t="shared" si="0"/>
        <v>Lago Paranoa</v>
      </c>
      <c r="C8" s="1">
        <f t="shared" si="1"/>
        <v>-2347</v>
      </c>
      <c r="D8">
        <v>0</v>
      </c>
      <c r="E8">
        <v>2302.4499999999998</v>
      </c>
      <c r="F8">
        <v>0.4234</v>
      </c>
      <c r="G8">
        <v>2.9702000000000002</v>
      </c>
      <c r="H8">
        <v>7.8506999999999998</v>
      </c>
      <c r="I8">
        <v>0.76590000000000003</v>
      </c>
      <c r="J8">
        <v>9.6317000000000004</v>
      </c>
      <c r="K8">
        <v>2302.4499999999998</v>
      </c>
      <c r="L8">
        <v>0</v>
      </c>
    </row>
    <row r="9" spans="1:12" x14ac:dyDescent="0.35">
      <c r="A9" s="3" t="s">
        <v>200</v>
      </c>
      <c r="B9" s="1" t="str">
        <f t="shared" si="0"/>
        <v>Corumba IV</v>
      </c>
      <c r="C9" s="1">
        <f t="shared" si="1"/>
        <v>-2346</v>
      </c>
      <c r="D9">
        <v>0</v>
      </c>
      <c r="E9">
        <v>0</v>
      </c>
      <c r="F9">
        <v>0</v>
      </c>
      <c r="G9">
        <v>0.3629</v>
      </c>
      <c r="H9">
        <v>55.137900000000002</v>
      </c>
      <c r="I9">
        <v>3.5588000000000002</v>
      </c>
      <c r="J9">
        <v>51.942</v>
      </c>
      <c r="K9">
        <v>0</v>
      </c>
      <c r="L9">
        <v>0</v>
      </c>
    </row>
    <row r="10" spans="1:12" x14ac:dyDescent="0.35">
      <c r="A10" s="3" t="s">
        <v>201</v>
      </c>
      <c r="B10" s="1" t="str">
        <f t="shared" si="0"/>
        <v>Lago Paranoa</v>
      </c>
      <c r="C10" s="1">
        <f t="shared" si="1"/>
        <v>-2346</v>
      </c>
      <c r="D10">
        <v>0</v>
      </c>
      <c r="E10">
        <v>2302.4499999999998</v>
      </c>
      <c r="F10">
        <v>0.4234</v>
      </c>
      <c r="G10">
        <v>2.8003999999999998</v>
      </c>
      <c r="H10">
        <v>7.5278</v>
      </c>
      <c r="I10">
        <v>0.76590000000000003</v>
      </c>
      <c r="J10">
        <v>9.1388999999999996</v>
      </c>
      <c r="K10">
        <v>2302.4499999999998</v>
      </c>
      <c r="L10">
        <v>0</v>
      </c>
    </row>
    <row r="11" spans="1:12" x14ac:dyDescent="0.35">
      <c r="A11" s="3" t="s">
        <v>202</v>
      </c>
      <c r="B11" s="1" t="str">
        <f t="shared" si="0"/>
        <v>Corumba IV</v>
      </c>
      <c r="C11" s="1">
        <f t="shared" si="1"/>
        <v>-2345</v>
      </c>
      <c r="D11">
        <v>0</v>
      </c>
      <c r="E11">
        <v>0</v>
      </c>
      <c r="F11">
        <v>0</v>
      </c>
      <c r="G11">
        <v>0.3629</v>
      </c>
      <c r="H11">
        <v>42.4863</v>
      </c>
      <c r="I11">
        <v>4.3166000000000002</v>
      </c>
      <c r="J11">
        <v>38.532699999999998</v>
      </c>
      <c r="K11">
        <v>0</v>
      </c>
      <c r="L11">
        <v>0</v>
      </c>
    </row>
    <row r="12" spans="1:12" x14ac:dyDescent="0.35">
      <c r="A12" s="3" t="s">
        <v>203</v>
      </c>
      <c r="B12" s="1" t="str">
        <f t="shared" si="0"/>
        <v>Lago Paranoa</v>
      </c>
      <c r="C12" s="1">
        <f t="shared" si="1"/>
        <v>-2345</v>
      </c>
      <c r="D12">
        <v>0</v>
      </c>
      <c r="E12">
        <v>2302.4499999999998</v>
      </c>
      <c r="F12">
        <v>0.32869999999999999</v>
      </c>
      <c r="G12">
        <v>3.0076000000000001</v>
      </c>
      <c r="H12">
        <v>6.9122000000000003</v>
      </c>
      <c r="I12">
        <v>1.0779000000000001</v>
      </c>
      <c r="J12">
        <v>8.5131999999999994</v>
      </c>
      <c r="K12">
        <v>2302.4499999999998</v>
      </c>
      <c r="L12">
        <v>0</v>
      </c>
    </row>
    <row r="13" spans="1:12" x14ac:dyDescent="0.35">
      <c r="A13" s="3" t="s">
        <v>204</v>
      </c>
      <c r="B13" s="1" t="str">
        <f t="shared" si="0"/>
        <v>Corumba IV</v>
      </c>
      <c r="C13" s="1">
        <f t="shared" si="1"/>
        <v>-2344</v>
      </c>
      <c r="D13">
        <v>0</v>
      </c>
      <c r="E13">
        <v>0</v>
      </c>
      <c r="F13">
        <v>0</v>
      </c>
      <c r="G13">
        <v>0.3629</v>
      </c>
      <c r="H13">
        <v>33.098100000000002</v>
      </c>
      <c r="I13">
        <v>4.4560000000000004</v>
      </c>
      <c r="J13">
        <v>29.004999999999999</v>
      </c>
      <c r="K13">
        <v>0</v>
      </c>
      <c r="L13">
        <v>0</v>
      </c>
    </row>
    <row r="14" spans="1:12" x14ac:dyDescent="0.35">
      <c r="A14" s="3" t="s">
        <v>205</v>
      </c>
      <c r="B14" s="1" t="str">
        <f t="shared" si="0"/>
        <v>Lago Paranoa</v>
      </c>
      <c r="C14" s="1">
        <f t="shared" si="1"/>
        <v>-2344</v>
      </c>
      <c r="D14">
        <v>0</v>
      </c>
      <c r="E14">
        <v>2302.4499999999998</v>
      </c>
      <c r="F14">
        <v>0.32900000000000001</v>
      </c>
      <c r="G14">
        <v>2.9268000000000001</v>
      </c>
      <c r="H14">
        <v>6.0179999999999998</v>
      </c>
      <c r="I14">
        <v>1.2496</v>
      </c>
      <c r="J14">
        <v>7.3662000000000001</v>
      </c>
      <c r="K14">
        <v>2302.4499999999998</v>
      </c>
      <c r="L14">
        <v>0</v>
      </c>
    </row>
    <row r="15" spans="1:12" x14ac:dyDescent="0.35">
      <c r="A15" s="3" t="s">
        <v>206</v>
      </c>
      <c r="B15" s="1" t="str">
        <f t="shared" si="0"/>
        <v>Corumba IV</v>
      </c>
      <c r="C15" s="1">
        <f t="shared" si="1"/>
        <v>-2447</v>
      </c>
      <c r="D15">
        <v>0</v>
      </c>
      <c r="E15">
        <v>0</v>
      </c>
      <c r="F15">
        <v>0</v>
      </c>
      <c r="G15">
        <v>0.3629</v>
      </c>
      <c r="H15">
        <v>96.970200000000006</v>
      </c>
      <c r="I15">
        <v>4.4478</v>
      </c>
      <c r="J15">
        <v>92.885300000000001</v>
      </c>
      <c r="K15">
        <v>0</v>
      </c>
      <c r="L15">
        <v>0</v>
      </c>
    </row>
    <row r="16" spans="1:12" x14ac:dyDescent="0.35">
      <c r="A16" s="3" t="s">
        <v>207</v>
      </c>
      <c r="B16" s="1" t="str">
        <f t="shared" si="0"/>
        <v>Lago Paranoa</v>
      </c>
      <c r="C16" s="1">
        <f t="shared" si="1"/>
        <v>-2447</v>
      </c>
      <c r="D16">
        <v>0</v>
      </c>
      <c r="E16">
        <v>2302.4499999999998</v>
      </c>
      <c r="F16">
        <v>0.4234</v>
      </c>
      <c r="G16">
        <v>7.8834</v>
      </c>
      <c r="H16">
        <v>16.209199999999999</v>
      </c>
      <c r="I16">
        <v>1.0680000000000001</v>
      </c>
      <c r="J16">
        <v>22.601299999999998</v>
      </c>
      <c r="K16">
        <v>2302.4499999999998</v>
      </c>
      <c r="L16">
        <v>0</v>
      </c>
    </row>
    <row r="17" spans="1:12" x14ac:dyDescent="0.35">
      <c r="A17" s="3" t="s">
        <v>208</v>
      </c>
      <c r="B17" s="1" t="str">
        <f t="shared" si="0"/>
        <v>Corumba IV</v>
      </c>
      <c r="C17" s="1">
        <f t="shared" si="1"/>
        <v>-2446</v>
      </c>
      <c r="D17">
        <v>0</v>
      </c>
      <c r="E17">
        <v>0</v>
      </c>
      <c r="F17">
        <v>0</v>
      </c>
      <c r="G17">
        <v>0.3629</v>
      </c>
      <c r="H17">
        <v>104.131</v>
      </c>
      <c r="I17">
        <v>4.4478</v>
      </c>
      <c r="J17">
        <v>100.0461</v>
      </c>
      <c r="K17">
        <v>0</v>
      </c>
      <c r="L17">
        <v>0</v>
      </c>
    </row>
    <row r="18" spans="1:12" x14ac:dyDescent="0.35">
      <c r="A18" s="3" t="s">
        <v>209</v>
      </c>
      <c r="B18" s="1" t="str">
        <f t="shared" si="0"/>
        <v>Lago Paranoa</v>
      </c>
      <c r="C18" s="1">
        <f t="shared" si="1"/>
        <v>-2446</v>
      </c>
      <c r="D18">
        <v>0</v>
      </c>
      <c r="E18">
        <v>2302.4499999999998</v>
      </c>
      <c r="F18">
        <v>0.33069999999999999</v>
      </c>
      <c r="G18">
        <v>9.7119999999999997</v>
      </c>
      <c r="H18">
        <v>22.140899999999998</v>
      </c>
      <c r="I18">
        <v>1.0680000000000001</v>
      </c>
      <c r="J18">
        <v>30.4543</v>
      </c>
      <c r="K18">
        <v>2302.4499999999998</v>
      </c>
      <c r="L18">
        <v>0</v>
      </c>
    </row>
    <row r="19" spans="1:12" x14ac:dyDescent="0.35">
      <c r="A19" s="3" t="s">
        <v>210</v>
      </c>
      <c r="B19" s="1" t="str">
        <f t="shared" si="0"/>
        <v>Corumba IV</v>
      </c>
      <c r="C19" s="1">
        <f t="shared" si="1"/>
        <v>-2445</v>
      </c>
      <c r="D19">
        <v>0</v>
      </c>
      <c r="E19">
        <v>0</v>
      </c>
      <c r="F19">
        <v>0</v>
      </c>
      <c r="G19">
        <v>0.3629</v>
      </c>
      <c r="H19">
        <v>102.7668</v>
      </c>
      <c r="I19">
        <v>4.4478</v>
      </c>
      <c r="J19">
        <v>98.681799999999996</v>
      </c>
      <c r="K19">
        <v>0</v>
      </c>
      <c r="L19">
        <v>0</v>
      </c>
    </row>
    <row r="20" spans="1:12" x14ac:dyDescent="0.35">
      <c r="A20" s="3" t="s">
        <v>211</v>
      </c>
      <c r="B20" s="1" t="str">
        <f t="shared" si="0"/>
        <v>Lago Paranoa</v>
      </c>
      <c r="C20" s="1">
        <f t="shared" si="1"/>
        <v>-2445</v>
      </c>
      <c r="D20">
        <v>0</v>
      </c>
      <c r="E20">
        <v>2302.4499999999998</v>
      </c>
      <c r="F20">
        <v>0.33069999999999999</v>
      </c>
      <c r="G20">
        <v>6.7408999999999999</v>
      </c>
      <c r="H20">
        <v>15.6637</v>
      </c>
      <c r="I20">
        <v>1.0680000000000001</v>
      </c>
      <c r="J20">
        <v>21.006</v>
      </c>
      <c r="K20">
        <v>2302.4499999999998</v>
      </c>
      <c r="L20">
        <v>0</v>
      </c>
    </row>
    <row r="21" spans="1:12" x14ac:dyDescent="0.35">
      <c r="A21" s="3" t="s">
        <v>212</v>
      </c>
      <c r="B21" s="1" t="str">
        <f t="shared" si="0"/>
        <v>Corumba IV</v>
      </c>
      <c r="C21" s="1">
        <f t="shared" si="1"/>
        <v>-2444</v>
      </c>
      <c r="D21">
        <v>0</v>
      </c>
      <c r="E21">
        <v>0</v>
      </c>
      <c r="F21">
        <v>0</v>
      </c>
      <c r="G21">
        <v>0.3629</v>
      </c>
      <c r="H21">
        <v>81.507999999999996</v>
      </c>
      <c r="I21">
        <v>4.4995000000000003</v>
      </c>
      <c r="J21">
        <v>77.371499999999997</v>
      </c>
      <c r="K21">
        <v>0</v>
      </c>
      <c r="L21">
        <v>0</v>
      </c>
    </row>
    <row r="22" spans="1:12" x14ac:dyDescent="0.35">
      <c r="A22" s="3" t="s">
        <v>213</v>
      </c>
      <c r="B22" s="1" t="str">
        <f t="shared" si="0"/>
        <v>Lago Paranoa</v>
      </c>
      <c r="C22" s="1">
        <f t="shared" si="1"/>
        <v>-2444</v>
      </c>
      <c r="D22">
        <v>0</v>
      </c>
      <c r="E22">
        <v>2302.4499999999998</v>
      </c>
      <c r="F22">
        <v>0.3705</v>
      </c>
      <c r="G22">
        <v>5.1776</v>
      </c>
      <c r="H22">
        <v>10.1313</v>
      </c>
      <c r="I22">
        <v>1.3028999999999999</v>
      </c>
      <c r="J22">
        <v>13.635400000000001</v>
      </c>
      <c r="K22">
        <v>2302.4499999999998</v>
      </c>
      <c r="L22">
        <v>0</v>
      </c>
    </row>
    <row r="23" spans="1:12" x14ac:dyDescent="0.35">
      <c r="A23" s="3" t="s">
        <v>214</v>
      </c>
      <c r="B23" s="1" t="str">
        <f t="shared" si="0"/>
        <v>Corumba IV</v>
      </c>
      <c r="C23" s="1">
        <f t="shared" si="1"/>
        <v>-2443</v>
      </c>
      <c r="D23">
        <v>0</v>
      </c>
      <c r="E23">
        <v>0</v>
      </c>
      <c r="F23">
        <v>0</v>
      </c>
      <c r="G23">
        <v>0.3629</v>
      </c>
      <c r="H23">
        <v>89.371300000000005</v>
      </c>
      <c r="I23">
        <v>4.4995000000000003</v>
      </c>
      <c r="J23">
        <v>85.234700000000004</v>
      </c>
      <c r="K23">
        <v>0</v>
      </c>
      <c r="L23">
        <v>0</v>
      </c>
    </row>
    <row r="24" spans="1:12" x14ac:dyDescent="0.35">
      <c r="A24" s="3" t="s">
        <v>215</v>
      </c>
      <c r="B24" s="1" t="str">
        <f t="shared" si="0"/>
        <v>Lago Paranoa</v>
      </c>
      <c r="C24" s="1">
        <f t="shared" si="1"/>
        <v>-2443</v>
      </c>
      <c r="D24">
        <v>0</v>
      </c>
      <c r="E24">
        <v>2302.4499999999998</v>
      </c>
      <c r="F24">
        <v>0.3538</v>
      </c>
      <c r="G24">
        <v>4.5362</v>
      </c>
      <c r="H24">
        <v>10.479699999999999</v>
      </c>
      <c r="I24">
        <v>1.3028999999999999</v>
      </c>
      <c r="J24">
        <v>13.3591</v>
      </c>
      <c r="K24">
        <v>2302.4499999999998</v>
      </c>
      <c r="L24">
        <v>0</v>
      </c>
    </row>
    <row r="25" spans="1:12" x14ac:dyDescent="0.35">
      <c r="A25" s="3" t="s">
        <v>216</v>
      </c>
      <c r="B25" s="1" t="str">
        <f t="shared" si="0"/>
        <v>Corumba IV</v>
      </c>
      <c r="C25" s="1">
        <f t="shared" si="1"/>
        <v>-2442</v>
      </c>
      <c r="D25">
        <v>0</v>
      </c>
      <c r="E25">
        <v>0</v>
      </c>
      <c r="F25">
        <v>0</v>
      </c>
      <c r="G25">
        <v>0.3629</v>
      </c>
      <c r="H25">
        <v>103.02249999999999</v>
      </c>
      <c r="I25">
        <v>4.4995000000000003</v>
      </c>
      <c r="J25">
        <v>98.885900000000007</v>
      </c>
      <c r="K25">
        <v>0</v>
      </c>
      <c r="L25">
        <v>0</v>
      </c>
    </row>
    <row r="26" spans="1:12" x14ac:dyDescent="0.35">
      <c r="A26" s="3" t="s">
        <v>217</v>
      </c>
      <c r="B26" s="1" t="str">
        <f t="shared" si="0"/>
        <v>Lago Paranoa</v>
      </c>
      <c r="C26" s="1">
        <f t="shared" si="1"/>
        <v>-2442</v>
      </c>
      <c r="D26">
        <v>0</v>
      </c>
      <c r="E26">
        <v>2302.4499999999998</v>
      </c>
      <c r="F26">
        <v>0.35389999999999999</v>
      </c>
      <c r="G26">
        <v>4.3274999999999997</v>
      </c>
      <c r="H26">
        <v>10.7349</v>
      </c>
      <c r="I26">
        <v>1.3028999999999999</v>
      </c>
      <c r="J26">
        <v>13.4056</v>
      </c>
      <c r="K26">
        <v>2302.4499999999998</v>
      </c>
      <c r="L26">
        <v>0</v>
      </c>
    </row>
    <row r="27" spans="1:12" x14ac:dyDescent="0.35">
      <c r="A27" s="3" t="s">
        <v>218</v>
      </c>
      <c r="B27" s="1" t="str">
        <f t="shared" si="0"/>
        <v>Corumba IV</v>
      </c>
      <c r="C27" s="1">
        <f t="shared" si="1"/>
        <v>-2441</v>
      </c>
      <c r="D27">
        <v>0</v>
      </c>
      <c r="E27">
        <v>0</v>
      </c>
      <c r="F27">
        <v>0</v>
      </c>
      <c r="G27">
        <v>0.3629</v>
      </c>
      <c r="H27">
        <v>92.717600000000004</v>
      </c>
      <c r="I27">
        <v>4.0724</v>
      </c>
      <c r="J27">
        <v>89.008099999999999</v>
      </c>
      <c r="K27">
        <v>0</v>
      </c>
      <c r="L27">
        <v>0</v>
      </c>
    </row>
    <row r="28" spans="1:12" x14ac:dyDescent="0.35">
      <c r="A28" s="3" t="s">
        <v>219</v>
      </c>
      <c r="B28" s="1" t="str">
        <f t="shared" si="0"/>
        <v>Lago Paranoa</v>
      </c>
      <c r="C28" s="1">
        <f t="shared" si="1"/>
        <v>-2441</v>
      </c>
      <c r="D28">
        <v>0</v>
      </c>
      <c r="E28">
        <v>2302.4499999999998</v>
      </c>
      <c r="F28">
        <v>0.3543</v>
      </c>
      <c r="G28">
        <v>4.5217000000000001</v>
      </c>
      <c r="H28">
        <v>10.767200000000001</v>
      </c>
      <c r="I28">
        <v>1.2154</v>
      </c>
      <c r="J28">
        <v>13.719200000000001</v>
      </c>
      <c r="K28">
        <v>2302.4499999999998</v>
      </c>
      <c r="L28">
        <v>0</v>
      </c>
    </row>
    <row r="29" spans="1:12" x14ac:dyDescent="0.35">
      <c r="A29" s="3" t="s">
        <v>220</v>
      </c>
      <c r="B29" s="1" t="str">
        <f t="shared" si="0"/>
        <v>Corumba IV</v>
      </c>
      <c r="C29" s="1">
        <f t="shared" si="1"/>
        <v>-2440</v>
      </c>
      <c r="D29">
        <v>0</v>
      </c>
      <c r="E29">
        <v>0</v>
      </c>
      <c r="F29">
        <v>0</v>
      </c>
      <c r="G29">
        <v>0.3629</v>
      </c>
      <c r="H29">
        <v>90.863399999999999</v>
      </c>
      <c r="I29">
        <v>3.0911</v>
      </c>
      <c r="J29">
        <v>88.135199999999998</v>
      </c>
      <c r="K29">
        <v>0</v>
      </c>
      <c r="L29">
        <v>0</v>
      </c>
    </row>
    <row r="30" spans="1:12" x14ac:dyDescent="0.35">
      <c r="A30" s="3" t="s">
        <v>221</v>
      </c>
      <c r="B30" s="1" t="str">
        <f t="shared" si="0"/>
        <v>Lago Paranoa</v>
      </c>
      <c r="C30" s="1">
        <f t="shared" si="1"/>
        <v>-2440</v>
      </c>
      <c r="D30">
        <v>0</v>
      </c>
      <c r="E30">
        <v>2302.4499999999998</v>
      </c>
      <c r="F30">
        <v>0.4234</v>
      </c>
      <c r="G30">
        <v>6.8871000000000002</v>
      </c>
      <c r="H30">
        <v>12.461499999999999</v>
      </c>
      <c r="I30">
        <v>1.0004</v>
      </c>
      <c r="J30">
        <v>17.924800000000001</v>
      </c>
      <c r="K30">
        <v>2302.4499999999998</v>
      </c>
      <c r="L30">
        <v>0</v>
      </c>
    </row>
    <row r="31" spans="1:12" x14ac:dyDescent="0.35">
      <c r="A31" s="3" t="s">
        <v>222</v>
      </c>
      <c r="B31" s="1" t="str">
        <f t="shared" si="0"/>
        <v>Corumba IV</v>
      </c>
      <c r="C31" s="1">
        <f t="shared" si="1"/>
        <v>-2439</v>
      </c>
      <c r="D31">
        <v>0</v>
      </c>
      <c r="E31">
        <v>0</v>
      </c>
      <c r="F31">
        <v>0</v>
      </c>
      <c r="G31">
        <v>0.3629</v>
      </c>
      <c r="H31">
        <v>93.045000000000002</v>
      </c>
      <c r="I31">
        <v>2.9264000000000001</v>
      </c>
      <c r="J31">
        <v>90.4816</v>
      </c>
      <c r="K31">
        <v>0</v>
      </c>
      <c r="L31">
        <v>0</v>
      </c>
    </row>
    <row r="32" spans="1:12" x14ac:dyDescent="0.35">
      <c r="A32" s="3" t="s">
        <v>223</v>
      </c>
      <c r="B32" s="1" t="str">
        <f t="shared" si="0"/>
        <v>Lago Paranoa</v>
      </c>
      <c r="C32" s="1">
        <f t="shared" si="1"/>
        <v>-2439</v>
      </c>
      <c r="D32">
        <v>0</v>
      </c>
      <c r="E32">
        <v>2302.4499999999998</v>
      </c>
      <c r="F32">
        <v>0.4234</v>
      </c>
      <c r="G32">
        <v>5.1654999999999998</v>
      </c>
      <c r="H32">
        <v>10.0022</v>
      </c>
      <c r="I32">
        <v>0.96099999999999997</v>
      </c>
      <c r="J32">
        <v>13.783300000000001</v>
      </c>
      <c r="K32">
        <v>2302.4499999999998</v>
      </c>
      <c r="L32">
        <v>0</v>
      </c>
    </row>
    <row r="33" spans="1:12" x14ac:dyDescent="0.35">
      <c r="A33" s="3" t="s">
        <v>224</v>
      </c>
      <c r="B33" s="1" t="str">
        <f t="shared" si="0"/>
        <v>Corumba IV</v>
      </c>
      <c r="C33" s="1">
        <f t="shared" si="1"/>
        <v>-2438</v>
      </c>
      <c r="D33">
        <v>0</v>
      </c>
      <c r="E33">
        <v>0</v>
      </c>
      <c r="F33">
        <v>0</v>
      </c>
      <c r="G33">
        <v>0.3629</v>
      </c>
      <c r="H33">
        <v>91.635000000000005</v>
      </c>
      <c r="I33">
        <v>2.9264000000000001</v>
      </c>
      <c r="J33">
        <v>89.0715</v>
      </c>
      <c r="K33">
        <v>0</v>
      </c>
      <c r="L33">
        <v>0</v>
      </c>
    </row>
    <row r="34" spans="1:12" x14ac:dyDescent="0.35">
      <c r="A34" s="3" t="s">
        <v>225</v>
      </c>
      <c r="B34" s="1" t="str">
        <f t="shared" si="0"/>
        <v>Lago Paranoa</v>
      </c>
      <c r="C34" s="1">
        <f t="shared" si="1"/>
        <v>-2438</v>
      </c>
      <c r="D34">
        <v>0</v>
      </c>
      <c r="E34">
        <v>2302.4499999999998</v>
      </c>
      <c r="F34">
        <v>0.4234</v>
      </c>
      <c r="G34">
        <v>6.1147999999999998</v>
      </c>
      <c r="H34">
        <v>10.7027</v>
      </c>
      <c r="I34">
        <v>0.96099999999999997</v>
      </c>
      <c r="J34">
        <v>15.4331</v>
      </c>
      <c r="K34">
        <v>2302.4499999999998</v>
      </c>
      <c r="L34">
        <v>0</v>
      </c>
    </row>
    <row r="35" spans="1:12" x14ac:dyDescent="0.35">
      <c r="A35" s="3" t="s">
        <v>226</v>
      </c>
      <c r="B35" s="1" t="str">
        <f t="shared" si="0"/>
        <v>Corumba IV</v>
      </c>
      <c r="C35" s="1">
        <f t="shared" si="1"/>
        <v>-2437</v>
      </c>
      <c r="D35">
        <v>0</v>
      </c>
      <c r="E35">
        <v>0</v>
      </c>
      <c r="F35">
        <v>0</v>
      </c>
      <c r="G35">
        <v>0.3629</v>
      </c>
      <c r="H35">
        <v>98.876999999999995</v>
      </c>
      <c r="I35">
        <v>2.9264000000000001</v>
      </c>
      <c r="J35">
        <v>96.313599999999994</v>
      </c>
      <c r="K35">
        <v>0</v>
      </c>
      <c r="L35">
        <v>0</v>
      </c>
    </row>
    <row r="36" spans="1:12" x14ac:dyDescent="0.35">
      <c r="A36" s="3" t="s">
        <v>227</v>
      </c>
      <c r="B36" s="1" t="str">
        <f t="shared" si="0"/>
        <v>Lago Paranoa</v>
      </c>
      <c r="C36" s="1">
        <f t="shared" si="1"/>
        <v>-2437</v>
      </c>
      <c r="D36">
        <v>0</v>
      </c>
      <c r="E36">
        <v>2302.4499999999998</v>
      </c>
      <c r="F36">
        <v>0.4234</v>
      </c>
      <c r="G36">
        <v>3.8315999999999999</v>
      </c>
      <c r="H36">
        <v>9.4009</v>
      </c>
      <c r="I36">
        <v>0.96099999999999997</v>
      </c>
      <c r="J36">
        <v>11.8482</v>
      </c>
      <c r="K36">
        <v>2302.4499999999998</v>
      </c>
      <c r="L36">
        <v>0</v>
      </c>
    </row>
    <row r="37" spans="1:12" x14ac:dyDescent="0.35">
      <c r="A37" s="3" t="s">
        <v>228</v>
      </c>
      <c r="B37" s="1" t="str">
        <f t="shared" si="0"/>
        <v>Corumba IV</v>
      </c>
      <c r="C37" s="1">
        <f t="shared" si="1"/>
        <v>-2436</v>
      </c>
      <c r="D37">
        <v>0</v>
      </c>
      <c r="E37">
        <v>0</v>
      </c>
      <c r="F37">
        <v>0</v>
      </c>
      <c r="G37">
        <v>0.3629</v>
      </c>
      <c r="H37">
        <v>94.576899999999995</v>
      </c>
      <c r="I37">
        <v>3.0880999999999998</v>
      </c>
      <c r="J37">
        <v>91.851699999999994</v>
      </c>
      <c r="K37">
        <v>0</v>
      </c>
      <c r="L37">
        <v>0</v>
      </c>
    </row>
    <row r="38" spans="1:12" x14ac:dyDescent="0.35">
      <c r="A38" s="3" t="s">
        <v>229</v>
      </c>
      <c r="B38" s="1" t="str">
        <f t="shared" si="0"/>
        <v>Lago Paranoa</v>
      </c>
      <c r="C38" s="1">
        <f t="shared" si="1"/>
        <v>-2436</v>
      </c>
      <c r="D38">
        <v>0</v>
      </c>
      <c r="E38">
        <v>2302.4499999999998</v>
      </c>
      <c r="F38">
        <v>0.3054</v>
      </c>
      <c r="G38">
        <v>4.6226000000000003</v>
      </c>
      <c r="H38">
        <v>11.0175</v>
      </c>
      <c r="I38">
        <v>0.95650000000000002</v>
      </c>
      <c r="J38">
        <v>14.3781</v>
      </c>
      <c r="K38">
        <v>2302.4499999999998</v>
      </c>
      <c r="L38">
        <v>0</v>
      </c>
    </row>
    <row r="39" spans="1:12" x14ac:dyDescent="0.35">
      <c r="A39" s="3" t="s">
        <v>230</v>
      </c>
      <c r="B39" s="1" t="str">
        <f t="shared" si="0"/>
        <v>Corumba IV</v>
      </c>
      <c r="C39" s="1">
        <f t="shared" si="1"/>
        <v>-2435</v>
      </c>
      <c r="D39">
        <v>0</v>
      </c>
      <c r="E39">
        <v>0</v>
      </c>
      <c r="F39">
        <v>0</v>
      </c>
      <c r="G39">
        <v>0.3629</v>
      </c>
      <c r="H39">
        <v>104.2684</v>
      </c>
      <c r="I39">
        <v>2.7858999999999998</v>
      </c>
      <c r="J39">
        <v>101.8454</v>
      </c>
      <c r="K39">
        <v>0</v>
      </c>
      <c r="L39">
        <v>0</v>
      </c>
    </row>
    <row r="40" spans="1:12" x14ac:dyDescent="0.35">
      <c r="A40" s="3" t="s">
        <v>231</v>
      </c>
      <c r="B40" s="1" t="str">
        <f t="shared" si="0"/>
        <v>Lago Paranoa</v>
      </c>
      <c r="C40" s="1">
        <f t="shared" si="1"/>
        <v>-2435</v>
      </c>
      <c r="D40">
        <v>0</v>
      </c>
      <c r="E40">
        <v>2302.4499999999998</v>
      </c>
      <c r="F40">
        <v>0.30570000000000003</v>
      </c>
      <c r="G40">
        <v>5.9398</v>
      </c>
      <c r="H40">
        <v>12.3368</v>
      </c>
      <c r="I40">
        <v>0.83989999999999998</v>
      </c>
      <c r="J40">
        <v>17.131</v>
      </c>
      <c r="K40">
        <v>2302.4499999999998</v>
      </c>
      <c r="L40">
        <v>0</v>
      </c>
    </row>
    <row r="41" spans="1:12" x14ac:dyDescent="0.35">
      <c r="A41" s="3" t="s">
        <v>232</v>
      </c>
      <c r="B41" s="1" t="str">
        <f t="shared" si="0"/>
        <v>Corumba IV</v>
      </c>
      <c r="C41" s="1">
        <f t="shared" si="1"/>
        <v>-2434</v>
      </c>
      <c r="D41">
        <v>0</v>
      </c>
      <c r="E41">
        <v>0</v>
      </c>
      <c r="F41">
        <v>0</v>
      </c>
      <c r="G41">
        <v>0.3629</v>
      </c>
      <c r="H41">
        <v>172.9512</v>
      </c>
      <c r="I41">
        <v>2.7858999999999998</v>
      </c>
      <c r="J41">
        <v>170.5282</v>
      </c>
      <c r="K41">
        <v>0</v>
      </c>
      <c r="L41">
        <v>0</v>
      </c>
    </row>
    <row r="42" spans="1:12" x14ac:dyDescent="0.35">
      <c r="A42" s="3" t="s">
        <v>233</v>
      </c>
      <c r="B42" s="1" t="str">
        <f t="shared" si="0"/>
        <v>Lago Paranoa</v>
      </c>
      <c r="C42" s="1">
        <f t="shared" si="1"/>
        <v>-2434</v>
      </c>
      <c r="D42">
        <v>0</v>
      </c>
      <c r="E42">
        <v>2302.4499999999998</v>
      </c>
      <c r="F42">
        <v>0.30599999999999999</v>
      </c>
      <c r="G42">
        <v>8.5531000000000006</v>
      </c>
      <c r="H42">
        <v>17.655100000000001</v>
      </c>
      <c r="I42">
        <v>0.83989999999999998</v>
      </c>
      <c r="J42">
        <v>25.062200000000001</v>
      </c>
      <c r="K42">
        <v>2302.4499999999998</v>
      </c>
      <c r="L42">
        <v>0</v>
      </c>
    </row>
    <row r="43" spans="1:12" x14ac:dyDescent="0.35">
      <c r="A43" s="3" t="s">
        <v>234</v>
      </c>
      <c r="B43" s="1" t="str">
        <f t="shared" si="0"/>
        <v>Corumba IV</v>
      </c>
      <c r="C43" s="1">
        <f t="shared" si="1"/>
        <v>-2433</v>
      </c>
      <c r="D43">
        <v>0</v>
      </c>
      <c r="E43">
        <v>0</v>
      </c>
      <c r="F43">
        <v>0</v>
      </c>
      <c r="G43">
        <v>0.3629</v>
      </c>
      <c r="H43">
        <v>201.2636</v>
      </c>
      <c r="I43">
        <v>2.7858999999999998</v>
      </c>
      <c r="J43">
        <v>198.84059999999999</v>
      </c>
      <c r="K43">
        <v>0</v>
      </c>
      <c r="L43">
        <v>0</v>
      </c>
    </row>
    <row r="44" spans="1:12" x14ac:dyDescent="0.35">
      <c r="A44" s="3" t="s">
        <v>235</v>
      </c>
      <c r="B44" s="1" t="str">
        <f t="shared" si="0"/>
        <v>Lago Paranoa</v>
      </c>
      <c r="C44" s="1">
        <f t="shared" si="1"/>
        <v>-2433</v>
      </c>
      <c r="D44">
        <v>0</v>
      </c>
      <c r="E44">
        <v>2302.4499999999998</v>
      </c>
      <c r="F44">
        <v>0.30630000000000002</v>
      </c>
      <c r="G44">
        <v>8.3130000000000006</v>
      </c>
      <c r="H44">
        <v>22.033200000000001</v>
      </c>
      <c r="I44">
        <v>0.83989999999999998</v>
      </c>
      <c r="J44">
        <v>29.1999</v>
      </c>
      <c r="K44">
        <v>2302.4499999999998</v>
      </c>
      <c r="L44">
        <v>0</v>
      </c>
    </row>
    <row r="45" spans="1:12" x14ac:dyDescent="0.35">
      <c r="A45" s="3" t="s">
        <v>236</v>
      </c>
      <c r="B45" s="1" t="str">
        <f t="shared" si="0"/>
        <v>Corumba IV</v>
      </c>
      <c r="C45" s="1">
        <f t="shared" si="1"/>
        <v>-2432</v>
      </c>
      <c r="D45">
        <v>0</v>
      </c>
      <c r="E45">
        <v>0</v>
      </c>
      <c r="F45">
        <v>0</v>
      </c>
      <c r="G45">
        <v>0.3629</v>
      </c>
      <c r="H45">
        <v>262.09269999999998</v>
      </c>
      <c r="I45">
        <v>2.3559000000000001</v>
      </c>
      <c r="J45">
        <v>260.09969999999998</v>
      </c>
      <c r="K45">
        <v>0</v>
      </c>
      <c r="L45">
        <v>0</v>
      </c>
    </row>
    <row r="46" spans="1:12" x14ac:dyDescent="0.35">
      <c r="A46" s="3" t="s">
        <v>237</v>
      </c>
      <c r="B46" s="1" t="str">
        <f t="shared" si="0"/>
        <v>Lago Paranoa</v>
      </c>
      <c r="C46" s="1">
        <f t="shared" si="1"/>
        <v>-2432</v>
      </c>
      <c r="D46">
        <v>0</v>
      </c>
      <c r="E46">
        <v>2302.4499999999998</v>
      </c>
      <c r="F46">
        <v>0.30669999999999997</v>
      </c>
      <c r="G46">
        <v>8.1972000000000005</v>
      </c>
      <c r="H46">
        <v>23.909700000000001</v>
      </c>
      <c r="I46">
        <v>0.74329999999999996</v>
      </c>
      <c r="J46">
        <v>31.056999999999999</v>
      </c>
      <c r="K46">
        <v>2302.4499999999998</v>
      </c>
      <c r="L46">
        <v>0</v>
      </c>
    </row>
    <row r="47" spans="1:12" x14ac:dyDescent="0.35">
      <c r="A47" s="3" t="s">
        <v>238</v>
      </c>
      <c r="B47" s="1" t="str">
        <f t="shared" si="0"/>
        <v>Corumba IV</v>
      </c>
      <c r="C47" s="1">
        <f t="shared" si="1"/>
        <v>-2431</v>
      </c>
      <c r="D47">
        <v>0</v>
      </c>
      <c r="E47">
        <v>0</v>
      </c>
      <c r="F47">
        <v>0</v>
      </c>
      <c r="G47">
        <v>0.3629</v>
      </c>
      <c r="H47">
        <v>183.3468</v>
      </c>
      <c r="I47">
        <v>2.5015999999999998</v>
      </c>
      <c r="J47">
        <v>181.2081</v>
      </c>
      <c r="K47">
        <v>0</v>
      </c>
      <c r="L47">
        <v>0</v>
      </c>
    </row>
    <row r="48" spans="1:12" x14ac:dyDescent="0.35">
      <c r="A48" s="3" t="s">
        <v>239</v>
      </c>
      <c r="B48" s="1" t="str">
        <f t="shared" si="0"/>
        <v>Lago Paranoa</v>
      </c>
      <c r="C48" s="1">
        <f t="shared" si="1"/>
        <v>-2431</v>
      </c>
      <c r="D48">
        <v>0</v>
      </c>
      <c r="E48">
        <v>2302.4499999999998</v>
      </c>
      <c r="F48">
        <v>0.35539999999999999</v>
      </c>
      <c r="G48">
        <v>7.4288999999999996</v>
      </c>
      <c r="H48">
        <v>14.837</v>
      </c>
      <c r="I48">
        <v>0.67710000000000004</v>
      </c>
      <c r="J48">
        <v>21.2333</v>
      </c>
      <c r="K48">
        <v>2302.4499999999998</v>
      </c>
      <c r="L48">
        <v>0</v>
      </c>
    </row>
    <row r="49" spans="1:12" x14ac:dyDescent="0.35">
      <c r="A49" s="3" t="s">
        <v>240</v>
      </c>
      <c r="B49" s="1" t="str">
        <f t="shared" si="0"/>
        <v>Corumba IV</v>
      </c>
      <c r="C49" s="1">
        <f t="shared" si="1"/>
        <v>-2430</v>
      </c>
      <c r="D49">
        <v>0</v>
      </c>
      <c r="E49">
        <v>0</v>
      </c>
      <c r="F49">
        <v>0</v>
      </c>
      <c r="G49">
        <v>0.3629</v>
      </c>
      <c r="H49">
        <v>188.5257</v>
      </c>
      <c r="I49">
        <v>2.5015999999999998</v>
      </c>
      <c r="J49">
        <v>186.3869</v>
      </c>
      <c r="K49">
        <v>0</v>
      </c>
      <c r="L49">
        <v>0</v>
      </c>
    </row>
    <row r="50" spans="1:12" x14ac:dyDescent="0.35">
      <c r="A50" s="3" t="s">
        <v>241</v>
      </c>
      <c r="B50" s="1" t="str">
        <f t="shared" si="0"/>
        <v>Lago Paranoa</v>
      </c>
      <c r="C50" s="1">
        <f t="shared" si="1"/>
        <v>-2430</v>
      </c>
      <c r="D50">
        <v>0</v>
      </c>
      <c r="E50">
        <v>2302.4499999999998</v>
      </c>
      <c r="F50">
        <v>0.35570000000000002</v>
      </c>
      <c r="G50">
        <v>7.5373000000000001</v>
      </c>
      <c r="H50">
        <v>15.989000000000001</v>
      </c>
      <c r="I50">
        <v>0.67710000000000004</v>
      </c>
      <c r="J50">
        <v>22.493500000000001</v>
      </c>
      <c r="K50">
        <v>2302.4499999999998</v>
      </c>
      <c r="L50">
        <v>0</v>
      </c>
    </row>
    <row r="51" spans="1:12" x14ac:dyDescent="0.35">
      <c r="A51" s="3" t="s">
        <v>242</v>
      </c>
      <c r="B51" s="1" t="str">
        <f t="shared" si="0"/>
        <v>Corumba IV</v>
      </c>
      <c r="C51" s="1">
        <f t="shared" si="1"/>
        <v>-2429</v>
      </c>
      <c r="D51">
        <v>0</v>
      </c>
      <c r="E51">
        <v>0</v>
      </c>
      <c r="F51">
        <v>0</v>
      </c>
      <c r="G51">
        <v>0.3629</v>
      </c>
      <c r="H51">
        <v>158.17850000000001</v>
      </c>
      <c r="I51">
        <v>2.5015999999999998</v>
      </c>
      <c r="J51">
        <v>156.03980000000001</v>
      </c>
      <c r="K51">
        <v>0</v>
      </c>
      <c r="L51">
        <v>0</v>
      </c>
    </row>
    <row r="52" spans="1:12" x14ac:dyDescent="0.35">
      <c r="A52" s="3" t="s">
        <v>243</v>
      </c>
      <c r="B52" s="1" t="str">
        <f t="shared" si="0"/>
        <v>Lago Paranoa</v>
      </c>
      <c r="C52" s="1">
        <f t="shared" si="1"/>
        <v>-2429</v>
      </c>
      <c r="D52">
        <v>0</v>
      </c>
      <c r="E52">
        <v>2302.4499999999998</v>
      </c>
      <c r="F52">
        <v>0.35610000000000003</v>
      </c>
      <c r="G52">
        <v>7.4302000000000001</v>
      </c>
      <c r="H52">
        <v>15.411</v>
      </c>
      <c r="I52">
        <v>0.67710000000000004</v>
      </c>
      <c r="J52">
        <v>21.808</v>
      </c>
      <c r="K52">
        <v>2302.4499999999998</v>
      </c>
      <c r="L52">
        <v>0</v>
      </c>
    </row>
    <row r="53" spans="1:12" x14ac:dyDescent="0.35">
      <c r="A53" s="3" t="s">
        <v>244</v>
      </c>
      <c r="B53" s="1" t="str">
        <f t="shared" si="0"/>
        <v>Corumba IV</v>
      </c>
      <c r="C53" s="1">
        <f t="shared" si="1"/>
        <v>-2428</v>
      </c>
      <c r="D53">
        <v>0</v>
      </c>
      <c r="E53">
        <v>0</v>
      </c>
      <c r="F53">
        <v>0</v>
      </c>
      <c r="G53">
        <v>0.3629</v>
      </c>
      <c r="H53">
        <v>126.1544</v>
      </c>
      <c r="I53">
        <v>2.8506</v>
      </c>
      <c r="J53">
        <v>123.6666</v>
      </c>
      <c r="K53">
        <v>0</v>
      </c>
      <c r="L53">
        <v>0</v>
      </c>
    </row>
    <row r="54" spans="1:12" x14ac:dyDescent="0.35">
      <c r="A54" s="3" t="s">
        <v>245</v>
      </c>
      <c r="B54" s="1" t="str">
        <f t="shared" si="0"/>
        <v>Lago Paranoa</v>
      </c>
      <c r="C54" s="1">
        <f t="shared" si="1"/>
        <v>-2428</v>
      </c>
      <c r="D54">
        <v>0</v>
      </c>
      <c r="E54">
        <v>2302.4499999999998</v>
      </c>
      <c r="F54">
        <v>0.35639999999999999</v>
      </c>
      <c r="G54">
        <v>6.4672000000000001</v>
      </c>
      <c r="H54">
        <v>12.9253</v>
      </c>
      <c r="I54">
        <v>0.74580000000000002</v>
      </c>
      <c r="J54">
        <v>18.290299999999998</v>
      </c>
      <c r="K54">
        <v>2302.4499999999998</v>
      </c>
      <c r="L54">
        <v>0</v>
      </c>
    </row>
    <row r="55" spans="1:12" x14ac:dyDescent="0.35">
      <c r="A55" s="3" t="s">
        <v>246</v>
      </c>
      <c r="B55" s="1" t="str">
        <f t="shared" si="0"/>
        <v>Corumba IV</v>
      </c>
      <c r="C55" s="1">
        <f t="shared" si="1"/>
        <v>-2427</v>
      </c>
      <c r="D55">
        <v>0</v>
      </c>
      <c r="E55">
        <v>0</v>
      </c>
      <c r="F55">
        <v>0</v>
      </c>
      <c r="G55">
        <v>0.3629</v>
      </c>
      <c r="H55">
        <v>116.18380000000001</v>
      </c>
      <c r="I55">
        <v>4.0179999999999998</v>
      </c>
      <c r="J55">
        <v>112.5287</v>
      </c>
      <c r="K55">
        <v>0</v>
      </c>
      <c r="L55">
        <v>0</v>
      </c>
    </row>
    <row r="56" spans="1:12" x14ac:dyDescent="0.35">
      <c r="A56" s="3" t="s">
        <v>247</v>
      </c>
      <c r="B56" s="1" t="str">
        <f t="shared" si="0"/>
        <v>Lago Paranoa</v>
      </c>
      <c r="C56" s="1">
        <f t="shared" si="1"/>
        <v>-2427</v>
      </c>
      <c r="D56">
        <v>0</v>
      </c>
      <c r="E56">
        <v>2302.4499999999998</v>
      </c>
      <c r="F56">
        <v>0.33789999999999998</v>
      </c>
      <c r="G56">
        <v>5.9459</v>
      </c>
      <c r="H56">
        <v>11.977</v>
      </c>
      <c r="I56">
        <v>0.93179999999999996</v>
      </c>
      <c r="J56">
        <v>16.653300000000002</v>
      </c>
      <c r="K56">
        <v>2302.4499999999998</v>
      </c>
      <c r="L56">
        <v>0</v>
      </c>
    </row>
    <row r="57" spans="1:12" x14ac:dyDescent="0.35">
      <c r="A57" s="3" t="s">
        <v>248</v>
      </c>
      <c r="B57" s="1" t="str">
        <f t="shared" si="0"/>
        <v>Corumba IV</v>
      </c>
      <c r="C57" s="1">
        <f t="shared" si="1"/>
        <v>-2426</v>
      </c>
      <c r="D57">
        <v>0</v>
      </c>
      <c r="E57">
        <v>0</v>
      </c>
      <c r="F57">
        <v>0</v>
      </c>
      <c r="G57">
        <v>0.3629</v>
      </c>
      <c r="H57">
        <v>107.3866</v>
      </c>
      <c r="I57">
        <v>4.3639999999999999</v>
      </c>
      <c r="J57">
        <v>103.3854</v>
      </c>
      <c r="K57">
        <v>0</v>
      </c>
      <c r="L57">
        <v>0</v>
      </c>
    </row>
    <row r="58" spans="1:12" x14ac:dyDescent="0.35">
      <c r="A58" s="3" t="s">
        <v>249</v>
      </c>
      <c r="B58" s="1" t="str">
        <f t="shared" si="0"/>
        <v>Lago Paranoa</v>
      </c>
      <c r="C58" s="1">
        <f t="shared" si="1"/>
        <v>-2426</v>
      </c>
      <c r="D58">
        <v>0</v>
      </c>
      <c r="E58">
        <v>2302.4499999999998</v>
      </c>
      <c r="F58">
        <v>0.3382</v>
      </c>
      <c r="G58">
        <v>4.5434999999999999</v>
      </c>
      <c r="H58">
        <v>11.4276</v>
      </c>
      <c r="I58">
        <v>0.95240000000000002</v>
      </c>
      <c r="J58">
        <v>14.6805</v>
      </c>
      <c r="K58">
        <v>2302.4499999999998</v>
      </c>
      <c r="L58">
        <v>0</v>
      </c>
    </row>
    <row r="59" spans="1:12" x14ac:dyDescent="0.35">
      <c r="A59" s="3" t="s">
        <v>250</v>
      </c>
      <c r="B59" s="1" t="str">
        <f t="shared" si="0"/>
        <v>Corumba IV</v>
      </c>
      <c r="C59" s="1">
        <f t="shared" si="1"/>
        <v>-2425</v>
      </c>
      <c r="D59">
        <v>0</v>
      </c>
      <c r="E59">
        <v>0</v>
      </c>
      <c r="F59">
        <v>0</v>
      </c>
      <c r="G59">
        <v>0.3629</v>
      </c>
      <c r="H59">
        <v>104.14400000000001</v>
      </c>
      <c r="I59">
        <v>4.4217000000000004</v>
      </c>
      <c r="J59">
        <v>100.0852</v>
      </c>
      <c r="K59">
        <v>0</v>
      </c>
      <c r="L59">
        <v>0</v>
      </c>
    </row>
    <row r="60" spans="1:12" x14ac:dyDescent="0.35">
      <c r="A60" s="3" t="s">
        <v>251</v>
      </c>
      <c r="B60" s="1" t="str">
        <f t="shared" si="0"/>
        <v>Lago Paranoa</v>
      </c>
      <c r="C60" s="1">
        <f t="shared" si="1"/>
        <v>-2425</v>
      </c>
      <c r="D60">
        <v>0</v>
      </c>
      <c r="E60">
        <v>2302.4499999999998</v>
      </c>
      <c r="F60">
        <v>0.33850000000000002</v>
      </c>
      <c r="G60">
        <v>4.194</v>
      </c>
      <c r="H60">
        <v>11.510199999999999</v>
      </c>
      <c r="I60">
        <v>0.95589999999999997</v>
      </c>
      <c r="J60">
        <v>14.4099</v>
      </c>
      <c r="K60">
        <v>2302.4499999999998</v>
      </c>
      <c r="L60">
        <v>0</v>
      </c>
    </row>
    <row r="61" spans="1:12" x14ac:dyDescent="0.35">
      <c r="A61" s="3" t="s">
        <v>252</v>
      </c>
      <c r="B61" s="1" t="str">
        <f t="shared" si="0"/>
        <v>Corumba IV</v>
      </c>
      <c r="C61" s="1">
        <f t="shared" si="1"/>
        <v>-2424</v>
      </c>
      <c r="D61">
        <v>0</v>
      </c>
      <c r="E61">
        <v>0</v>
      </c>
      <c r="F61">
        <v>0</v>
      </c>
      <c r="G61">
        <v>0.3629</v>
      </c>
      <c r="H61">
        <v>89.803299999999993</v>
      </c>
      <c r="I61">
        <v>4.4217000000000004</v>
      </c>
      <c r="J61">
        <v>85.744500000000002</v>
      </c>
      <c r="K61">
        <v>0</v>
      </c>
      <c r="L61">
        <v>0</v>
      </c>
    </row>
    <row r="62" spans="1:12" x14ac:dyDescent="0.35">
      <c r="A62" s="3" t="s">
        <v>253</v>
      </c>
      <c r="B62" s="1" t="str">
        <f t="shared" si="0"/>
        <v>Lago Paranoa</v>
      </c>
      <c r="C62" s="1">
        <f t="shared" si="1"/>
        <v>-2424</v>
      </c>
      <c r="D62">
        <v>0</v>
      </c>
      <c r="E62">
        <v>2302.4499999999998</v>
      </c>
      <c r="F62">
        <v>0.33879999999999999</v>
      </c>
      <c r="G62">
        <v>3.9125999999999999</v>
      </c>
      <c r="H62">
        <v>9.8996999999999993</v>
      </c>
      <c r="I62">
        <v>0.95589999999999997</v>
      </c>
      <c r="J62">
        <v>12.5177</v>
      </c>
      <c r="K62">
        <v>2302.4499999999998</v>
      </c>
      <c r="L62">
        <v>0</v>
      </c>
    </row>
    <row r="63" spans="1:12" x14ac:dyDescent="0.35">
      <c r="A63" s="3" t="s">
        <v>254</v>
      </c>
      <c r="B63" s="1" t="str">
        <f t="shared" si="0"/>
        <v>Corumba IV</v>
      </c>
      <c r="C63" s="1">
        <f t="shared" si="1"/>
        <v>-2423</v>
      </c>
      <c r="D63">
        <v>0</v>
      </c>
      <c r="E63">
        <v>0</v>
      </c>
      <c r="F63">
        <v>0</v>
      </c>
      <c r="G63">
        <v>0.3629</v>
      </c>
      <c r="H63">
        <v>78.701800000000006</v>
      </c>
      <c r="I63">
        <v>4.4249999999999998</v>
      </c>
      <c r="J63">
        <v>74.639700000000005</v>
      </c>
      <c r="K63">
        <v>0</v>
      </c>
      <c r="L63">
        <v>0</v>
      </c>
    </row>
    <row r="64" spans="1:12" x14ac:dyDescent="0.35">
      <c r="A64" s="3" t="s">
        <v>255</v>
      </c>
      <c r="B64" s="1" t="str">
        <f t="shared" si="0"/>
        <v>Lago Paranoa</v>
      </c>
      <c r="C64" s="1">
        <f t="shared" si="1"/>
        <v>-2423</v>
      </c>
      <c r="D64">
        <v>0</v>
      </c>
      <c r="E64">
        <v>2302.4499999999998</v>
      </c>
      <c r="F64">
        <v>0.40600000000000003</v>
      </c>
      <c r="G64">
        <v>3.8424999999999998</v>
      </c>
      <c r="H64">
        <v>8.8605</v>
      </c>
      <c r="I64">
        <v>1.0043</v>
      </c>
      <c r="J64">
        <v>11.2927</v>
      </c>
      <c r="K64">
        <v>2302.4499999999998</v>
      </c>
      <c r="L64">
        <v>0</v>
      </c>
    </row>
    <row r="65" spans="1:12" x14ac:dyDescent="0.35">
      <c r="A65" s="3" t="s">
        <v>256</v>
      </c>
      <c r="B65" s="1" t="str">
        <f t="shared" si="0"/>
        <v>Corumba IV</v>
      </c>
      <c r="C65" s="1">
        <f t="shared" si="1"/>
        <v>-2422</v>
      </c>
      <c r="D65">
        <v>0</v>
      </c>
      <c r="E65">
        <v>0</v>
      </c>
      <c r="F65">
        <v>0</v>
      </c>
      <c r="G65">
        <v>0.3629</v>
      </c>
      <c r="H65">
        <v>75.911900000000003</v>
      </c>
      <c r="I65">
        <v>4.5488</v>
      </c>
      <c r="J65">
        <v>71.725899999999996</v>
      </c>
      <c r="K65">
        <v>0</v>
      </c>
      <c r="L65">
        <v>0</v>
      </c>
    </row>
    <row r="66" spans="1:12" x14ac:dyDescent="0.35">
      <c r="A66" s="3" t="s">
        <v>257</v>
      </c>
      <c r="B66" s="1" t="str">
        <f t="shared" si="0"/>
        <v>Lago Paranoa</v>
      </c>
      <c r="C66" s="1">
        <f t="shared" si="1"/>
        <v>-2422</v>
      </c>
      <c r="D66">
        <v>0</v>
      </c>
      <c r="E66">
        <v>2302.4499999999998</v>
      </c>
      <c r="F66">
        <v>0.40629999999999999</v>
      </c>
      <c r="G66">
        <v>3.5764999999999998</v>
      </c>
      <c r="H66">
        <v>8.5274000000000001</v>
      </c>
      <c r="I66">
        <v>0.99729999999999996</v>
      </c>
      <c r="J66">
        <v>10.7003</v>
      </c>
      <c r="K66">
        <v>2302.4499999999998</v>
      </c>
      <c r="L66">
        <v>0</v>
      </c>
    </row>
    <row r="67" spans="1:12" x14ac:dyDescent="0.35">
      <c r="A67" s="3" t="s">
        <v>258</v>
      </c>
      <c r="B67" s="1" t="str">
        <f t="shared" ref="B67:B130" si="2">_xlfn.TEXTBEFORE(_xlfn.TEXTAFTER(A67,"["),"]")</f>
        <v>Corumba IV</v>
      </c>
      <c r="C67" s="1">
        <f t="shared" si="1"/>
        <v>-2421</v>
      </c>
      <c r="D67">
        <v>0</v>
      </c>
      <c r="E67">
        <v>0</v>
      </c>
      <c r="F67">
        <v>0</v>
      </c>
      <c r="G67">
        <v>0.3629</v>
      </c>
      <c r="H67">
        <v>71.130499999999998</v>
      </c>
      <c r="I67">
        <v>4.5690999999999997</v>
      </c>
      <c r="J67">
        <v>66.924300000000002</v>
      </c>
      <c r="K67">
        <v>0</v>
      </c>
      <c r="L67">
        <v>0</v>
      </c>
    </row>
    <row r="68" spans="1:12" x14ac:dyDescent="0.35">
      <c r="A68" s="3" t="s">
        <v>259</v>
      </c>
      <c r="B68" s="1" t="str">
        <f t="shared" si="2"/>
        <v>Lago Paranoa</v>
      </c>
      <c r="C68" s="1">
        <f t="shared" ref="C68:C131" si="3">--_xlfn.TEXTBEFORE(_xlfn.TEXTAFTER(A68,"Week "),":")</f>
        <v>-2421</v>
      </c>
      <c r="D68">
        <v>0</v>
      </c>
      <c r="E68">
        <v>2302.4499999999998</v>
      </c>
      <c r="F68">
        <v>0.40670000000000001</v>
      </c>
      <c r="G68">
        <v>3.4110999999999998</v>
      </c>
      <c r="H68">
        <v>7.8371000000000004</v>
      </c>
      <c r="I68">
        <v>0.99009999999999998</v>
      </c>
      <c r="J68">
        <v>9.8513999999999999</v>
      </c>
      <c r="K68">
        <v>2302.4499999999998</v>
      </c>
      <c r="L68">
        <v>0</v>
      </c>
    </row>
    <row r="69" spans="1:12" x14ac:dyDescent="0.35">
      <c r="A69" s="3" t="s">
        <v>260</v>
      </c>
      <c r="B69" s="1" t="str">
        <f t="shared" si="2"/>
        <v>Corumba IV</v>
      </c>
      <c r="C69" s="1">
        <f t="shared" si="3"/>
        <v>-2420</v>
      </c>
      <c r="D69">
        <v>0</v>
      </c>
      <c r="E69">
        <v>0</v>
      </c>
      <c r="F69">
        <v>0</v>
      </c>
      <c r="G69">
        <v>0.3629</v>
      </c>
      <c r="H69">
        <v>60.2087</v>
      </c>
      <c r="I69">
        <v>4.5690999999999997</v>
      </c>
      <c r="J69">
        <v>56.002499999999998</v>
      </c>
      <c r="K69">
        <v>0</v>
      </c>
      <c r="L69">
        <v>0</v>
      </c>
    </row>
    <row r="70" spans="1:12" x14ac:dyDescent="0.35">
      <c r="A70" s="3" t="s">
        <v>261</v>
      </c>
      <c r="B70" s="1" t="str">
        <f t="shared" si="2"/>
        <v>Lago Paranoa</v>
      </c>
      <c r="C70" s="1">
        <f t="shared" si="3"/>
        <v>-2420</v>
      </c>
      <c r="D70">
        <v>0</v>
      </c>
      <c r="E70">
        <v>2302.4499999999998</v>
      </c>
      <c r="F70">
        <v>0.40699999999999997</v>
      </c>
      <c r="G70">
        <v>3.7002999999999999</v>
      </c>
      <c r="H70">
        <v>7.2465000000000002</v>
      </c>
      <c r="I70">
        <v>0.99009999999999998</v>
      </c>
      <c r="J70">
        <v>9.5495999999999999</v>
      </c>
      <c r="K70">
        <v>2302.4499999999998</v>
      </c>
      <c r="L70">
        <v>0</v>
      </c>
    </row>
    <row r="71" spans="1:12" x14ac:dyDescent="0.35">
      <c r="A71" s="3" t="s">
        <v>262</v>
      </c>
      <c r="B71" s="1" t="str">
        <f t="shared" si="2"/>
        <v>Corumba IV</v>
      </c>
      <c r="C71" s="1">
        <f t="shared" si="3"/>
        <v>-2419</v>
      </c>
      <c r="D71">
        <v>0</v>
      </c>
      <c r="E71">
        <v>0</v>
      </c>
      <c r="F71">
        <v>0</v>
      </c>
      <c r="G71">
        <v>0.3629</v>
      </c>
      <c r="H71">
        <v>57.478499999999997</v>
      </c>
      <c r="I71">
        <v>4.5816999999999997</v>
      </c>
      <c r="J71">
        <v>53.259599999999999</v>
      </c>
      <c r="K71">
        <v>0</v>
      </c>
      <c r="L71">
        <v>0</v>
      </c>
    </row>
    <row r="72" spans="1:12" x14ac:dyDescent="0.35">
      <c r="A72" s="3" t="s">
        <v>263</v>
      </c>
      <c r="B72" s="1" t="str">
        <f t="shared" si="2"/>
        <v>Lago Paranoa</v>
      </c>
      <c r="C72" s="1">
        <f t="shared" si="3"/>
        <v>-2419</v>
      </c>
      <c r="D72">
        <v>0</v>
      </c>
      <c r="E72">
        <v>2302.4499999999998</v>
      </c>
      <c r="F72">
        <v>0.4073</v>
      </c>
      <c r="G72">
        <v>3.5347</v>
      </c>
      <c r="H72">
        <v>6.7689000000000004</v>
      </c>
      <c r="I72">
        <v>1.0291999999999999</v>
      </c>
      <c r="J72">
        <v>8.8671000000000006</v>
      </c>
      <c r="K72">
        <v>2302.4499999999998</v>
      </c>
      <c r="L72">
        <v>0</v>
      </c>
    </row>
    <row r="73" spans="1:12" x14ac:dyDescent="0.35">
      <c r="A73" s="3" t="s">
        <v>264</v>
      </c>
      <c r="B73" s="1" t="str">
        <f t="shared" si="2"/>
        <v>Corumba IV</v>
      </c>
      <c r="C73" s="1">
        <f t="shared" si="3"/>
        <v>-2418</v>
      </c>
      <c r="D73">
        <v>0</v>
      </c>
      <c r="E73">
        <v>0</v>
      </c>
      <c r="F73">
        <v>0</v>
      </c>
      <c r="G73">
        <v>0.3629</v>
      </c>
      <c r="H73">
        <v>54.480400000000003</v>
      </c>
      <c r="I73">
        <v>4.6134000000000004</v>
      </c>
      <c r="J73">
        <v>50.229900000000001</v>
      </c>
      <c r="K73">
        <v>0</v>
      </c>
      <c r="L73">
        <v>0</v>
      </c>
    </row>
    <row r="74" spans="1:12" x14ac:dyDescent="0.35">
      <c r="A74" s="3" t="s">
        <v>265</v>
      </c>
      <c r="B74" s="1" t="str">
        <f t="shared" si="2"/>
        <v>Lago Paranoa</v>
      </c>
      <c r="C74" s="1">
        <f t="shared" si="3"/>
        <v>-2418</v>
      </c>
      <c r="D74">
        <v>0</v>
      </c>
      <c r="E74">
        <v>2302.4499999999998</v>
      </c>
      <c r="F74">
        <v>0.4234</v>
      </c>
      <c r="G74">
        <v>3.4407000000000001</v>
      </c>
      <c r="H74">
        <v>6.7710999999999997</v>
      </c>
      <c r="I74">
        <v>1.1268</v>
      </c>
      <c r="J74">
        <v>8.6616</v>
      </c>
      <c r="K74">
        <v>2302.4499999999998</v>
      </c>
      <c r="L74">
        <v>0</v>
      </c>
    </row>
    <row r="75" spans="1:12" x14ac:dyDescent="0.35">
      <c r="A75" s="3" t="s">
        <v>266</v>
      </c>
      <c r="B75" s="1" t="str">
        <f t="shared" si="2"/>
        <v>Corumba IV</v>
      </c>
      <c r="C75" s="1">
        <f t="shared" si="3"/>
        <v>-2417</v>
      </c>
      <c r="D75">
        <v>0</v>
      </c>
      <c r="E75">
        <v>0</v>
      </c>
      <c r="F75">
        <v>0</v>
      </c>
      <c r="G75">
        <v>0.3629</v>
      </c>
      <c r="H75">
        <v>49.305</v>
      </c>
      <c r="I75">
        <v>4.6134000000000004</v>
      </c>
      <c r="J75">
        <v>45.054499999999997</v>
      </c>
      <c r="K75">
        <v>0</v>
      </c>
      <c r="L75">
        <v>0</v>
      </c>
    </row>
    <row r="76" spans="1:12" x14ac:dyDescent="0.35">
      <c r="A76" s="3" t="s">
        <v>267</v>
      </c>
      <c r="B76" s="1" t="str">
        <f t="shared" si="2"/>
        <v>Lago Paranoa</v>
      </c>
      <c r="C76" s="1">
        <f t="shared" si="3"/>
        <v>-2417</v>
      </c>
      <c r="D76">
        <v>0</v>
      </c>
      <c r="E76">
        <v>2302.4499999999998</v>
      </c>
      <c r="F76">
        <v>0.4234</v>
      </c>
      <c r="G76">
        <v>3.3664999999999998</v>
      </c>
      <c r="H76">
        <v>6.6264000000000003</v>
      </c>
      <c r="I76">
        <v>1.1268</v>
      </c>
      <c r="J76">
        <v>8.4426000000000005</v>
      </c>
      <c r="K76">
        <v>2302.4499999999998</v>
      </c>
      <c r="L76">
        <v>0</v>
      </c>
    </row>
    <row r="77" spans="1:12" x14ac:dyDescent="0.35">
      <c r="A77" s="3" t="s">
        <v>268</v>
      </c>
      <c r="B77" s="1" t="str">
        <f t="shared" si="2"/>
        <v>Corumba IV</v>
      </c>
      <c r="C77" s="1">
        <f t="shared" si="3"/>
        <v>-2416</v>
      </c>
      <c r="D77">
        <v>0</v>
      </c>
      <c r="E77">
        <v>0</v>
      </c>
      <c r="F77">
        <v>0</v>
      </c>
      <c r="G77">
        <v>0.3629</v>
      </c>
      <c r="H77">
        <v>46.934199999999997</v>
      </c>
      <c r="I77">
        <v>4.6134000000000004</v>
      </c>
      <c r="J77">
        <v>42.683700000000002</v>
      </c>
      <c r="K77">
        <v>0</v>
      </c>
      <c r="L77">
        <v>0</v>
      </c>
    </row>
    <row r="78" spans="1:12" x14ac:dyDescent="0.35">
      <c r="A78" s="3" t="s">
        <v>269</v>
      </c>
      <c r="B78" s="1" t="str">
        <f t="shared" si="2"/>
        <v>Lago Paranoa</v>
      </c>
      <c r="C78" s="1">
        <f t="shared" si="3"/>
        <v>-2416</v>
      </c>
      <c r="D78">
        <v>0</v>
      </c>
      <c r="E78">
        <v>2302.4499999999998</v>
      </c>
      <c r="F78">
        <v>0.4234</v>
      </c>
      <c r="G78">
        <v>3.2254</v>
      </c>
      <c r="H78">
        <v>6.1132</v>
      </c>
      <c r="I78">
        <v>1.1268</v>
      </c>
      <c r="J78">
        <v>7.7882999999999996</v>
      </c>
      <c r="K78">
        <v>2302.4499999999998</v>
      </c>
      <c r="L78">
        <v>0</v>
      </c>
    </row>
    <row r="79" spans="1:12" x14ac:dyDescent="0.35">
      <c r="A79" s="3" t="s">
        <v>270</v>
      </c>
      <c r="B79" s="1" t="str">
        <f t="shared" si="2"/>
        <v>Corumba IV</v>
      </c>
      <c r="C79" s="1">
        <f t="shared" si="3"/>
        <v>-2415</v>
      </c>
      <c r="D79">
        <v>0</v>
      </c>
      <c r="E79">
        <v>0</v>
      </c>
      <c r="F79">
        <v>0</v>
      </c>
      <c r="G79">
        <v>0.3629</v>
      </c>
      <c r="H79">
        <v>43.555100000000003</v>
      </c>
      <c r="I79">
        <v>4.6134000000000004</v>
      </c>
      <c r="J79">
        <v>39.304600000000001</v>
      </c>
      <c r="K79">
        <v>0</v>
      </c>
      <c r="L79">
        <v>0</v>
      </c>
    </row>
    <row r="80" spans="1:12" x14ac:dyDescent="0.35">
      <c r="A80" s="3" t="s">
        <v>271</v>
      </c>
      <c r="B80" s="1" t="str">
        <f t="shared" si="2"/>
        <v>Lago Paranoa</v>
      </c>
      <c r="C80" s="1">
        <f t="shared" si="3"/>
        <v>-2415</v>
      </c>
      <c r="D80">
        <v>0</v>
      </c>
      <c r="E80">
        <v>2302.4499999999998</v>
      </c>
      <c r="F80">
        <v>0.4234</v>
      </c>
      <c r="G80">
        <v>2.9624999999999999</v>
      </c>
      <c r="H80">
        <v>5.8239999999999998</v>
      </c>
      <c r="I80">
        <v>1.1268</v>
      </c>
      <c r="J80">
        <v>7.2363</v>
      </c>
      <c r="K80">
        <v>2302.4499999999998</v>
      </c>
      <c r="L80">
        <v>0</v>
      </c>
    </row>
    <row r="81" spans="1:12" x14ac:dyDescent="0.35">
      <c r="A81" s="3" t="s">
        <v>272</v>
      </c>
      <c r="B81" s="1" t="str">
        <f t="shared" si="2"/>
        <v>Corumba IV</v>
      </c>
      <c r="C81" s="1">
        <f t="shared" si="3"/>
        <v>-2414</v>
      </c>
      <c r="D81">
        <v>0</v>
      </c>
      <c r="E81">
        <v>0</v>
      </c>
      <c r="F81">
        <v>0</v>
      </c>
      <c r="G81">
        <v>0.3629</v>
      </c>
      <c r="H81">
        <v>39.962600000000002</v>
      </c>
      <c r="I81">
        <v>5.8429000000000002</v>
      </c>
      <c r="J81">
        <v>34.482500000000002</v>
      </c>
      <c r="K81">
        <v>0</v>
      </c>
      <c r="L81">
        <v>0</v>
      </c>
    </row>
    <row r="82" spans="1:12" x14ac:dyDescent="0.35">
      <c r="A82" s="3" t="s">
        <v>273</v>
      </c>
      <c r="B82" s="1" t="str">
        <f t="shared" si="2"/>
        <v>Lago Paranoa</v>
      </c>
      <c r="C82" s="1">
        <f t="shared" si="3"/>
        <v>-2414</v>
      </c>
      <c r="D82">
        <v>0</v>
      </c>
      <c r="E82">
        <v>2302.4499999999998</v>
      </c>
      <c r="F82">
        <v>0.4234</v>
      </c>
      <c r="G82">
        <v>2.5255000000000001</v>
      </c>
      <c r="H82">
        <v>5.1116999999999999</v>
      </c>
      <c r="I82">
        <v>1.4825999999999999</v>
      </c>
      <c r="J82">
        <v>5.7313000000000001</v>
      </c>
      <c r="K82">
        <v>2302.4499999999998</v>
      </c>
      <c r="L82">
        <v>0</v>
      </c>
    </row>
    <row r="83" spans="1:12" x14ac:dyDescent="0.35">
      <c r="A83" s="3" t="s">
        <v>274</v>
      </c>
      <c r="B83" s="1" t="str">
        <f t="shared" si="2"/>
        <v>Corumba IV</v>
      </c>
      <c r="C83" s="1">
        <f t="shared" si="3"/>
        <v>-2413</v>
      </c>
      <c r="D83">
        <v>0</v>
      </c>
      <c r="E83">
        <v>0</v>
      </c>
      <c r="F83">
        <v>0</v>
      </c>
      <c r="G83">
        <v>0.3629</v>
      </c>
      <c r="H83">
        <v>38.133499999999998</v>
      </c>
      <c r="I83">
        <v>6.0064000000000002</v>
      </c>
      <c r="J83">
        <v>32.49</v>
      </c>
      <c r="K83">
        <v>0</v>
      </c>
      <c r="L83">
        <v>0</v>
      </c>
    </row>
    <row r="84" spans="1:12" x14ac:dyDescent="0.35">
      <c r="A84" s="3" t="s">
        <v>275</v>
      </c>
      <c r="B84" s="1" t="str">
        <f t="shared" si="2"/>
        <v>Lago Paranoa</v>
      </c>
      <c r="C84" s="1">
        <f t="shared" si="3"/>
        <v>-2413</v>
      </c>
      <c r="D84">
        <v>0</v>
      </c>
      <c r="E84">
        <v>2302.4499999999998</v>
      </c>
      <c r="F84">
        <v>0.4234</v>
      </c>
      <c r="G84">
        <v>2.9538000000000002</v>
      </c>
      <c r="H84">
        <v>4.4320000000000004</v>
      </c>
      <c r="I84">
        <v>1.5348999999999999</v>
      </c>
      <c r="J84">
        <v>5.4276</v>
      </c>
      <c r="K84">
        <v>2302.4499999999998</v>
      </c>
      <c r="L84">
        <v>0</v>
      </c>
    </row>
    <row r="85" spans="1:12" x14ac:dyDescent="0.35">
      <c r="A85" s="3" t="s">
        <v>276</v>
      </c>
      <c r="B85" s="1" t="str">
        <f t="shared" si="2"/>
        <v>Corumba IV</v>
      </c>
      <c r="C85" s="1">
        <f t="shared" si="3"/>
        <v>-2412</v>
      </c>
      <c r="D85">
        <v>0</v>
      </c>
      <c r="E85">
        <v>0</v>
      </c>
      <c r="F85">
        <v>0</v>
      </c>
      <c r="G85">
        <v>0.3629</v>
      </c>
      <c r="H85">
        <v>45.843800000000002</v>
      </c>
      <c r="I85">
        <v>6.0064000000000002</v>
      </c>
      <c r="J85">
        <v>40.200299999999999</v>
      </c>
      <c r="K85">
        <v>0</v>
      </c>
      <c r="L85">
        <v>0</v>
      </c>
    </row>
    <row r="86" spans="1:12" x14ac:dyDescent="0.35">
      <c r="A86" s="3" t="s">
        <v>277</v>
      </c>
      <c r="B86" s="1" t="str">
        <f t="shared" si="2"/>
        <v>Lago Paranoa</v>
      </c>
      <c r="C86" s="1">
        <f t="shared" si="3"/>
        <v>-2412</v>
      </c>
      <c r="D86">
        <v>0</v>
      </c>
      <c r="E86">
        <v>2302.4499999999998</v>
      </c>
      <c r="F86">
        <v>0.4234</v>
      </c>
      <c r="G86">
        <v>2.7589999999999999</v>
      </c>
      <c r="H86">
        <v>5.4295999999999998</v>
      </c>
      <c r="I86">
        <v>1.5348999999999999</v>
      </c>
      <c r="J86">
        <v>6.2302999999999997</v>
      </c>
      <c r="K86">
        <v>2302.4499999999998</v>
      </c>
      <c r="L86">
        <v>0</v>
      </c>
    </row>
    <row r="87" spans="1:12" x14ac:dyDescent="0.35">
      <c r="A87" s="3" t="s">
        <v>278</v>
      </c>
      <c r="B87" s="1" t="str">
        <f t="shared" si="2"/>
        <v>Corumba IV</v>
      </c>
      <c r="C87" s="1">
        <f t="shared" si="3"/>
        <v>-2411</v>
      </c>
      <c r="D87">
        <v>0</v>
      </c>
      <c r="E87">
        <v>0</v>
      </c>
      <c r="F87">
        <v>0</v>
      </c>
      <c r="G87">
        <v>0.3629</v>
      </c>
      <c r="H87">
        <v>40.909500000000001</v>
      </c>
      <c r="I87">
        <v>6.0064000000000002</v>
      </c>
      <c r="J87">
        <v>35.265999999999998</v>
      </c>
      <c r="K87">
        <v>0</v>
      </c>
      <c r="L87">
        <v>0</v>
      </c>
    </row>
    <row r="88" spans="1:12" x14ac:dyDescent="0.35">
      <c r="A88" s="3" t="s">
        <v>279</v>
      </c>
      <c r="B88" s="1" t="str">
        <f t="shared" si="2"/>
        <v>Lago Paranoa</v>
      </c>
      <c r="C88" s="1">
        <f t="shared" si="3"/>
        <v>-2411</v>
      </c>
      <c r="D88">
        <v>0</v>
      </c>
      <c r="E88">
        <v>2302.4499999999998</v>
      </c>
      <c r="F88">
        <v>0.4234</v>
      </c>
      <c r="G88">
        <v>2.6747999999999998</v>
      </c>
      <c r="H88">
        <v>4.7121000000000004</v>
      </c>
      <c r="I88">
        <v>1.5348999999999999</v>
      </c>
      <c r="J88">
        <v>5.4286000000000003</v>
      </c>
      <c r="K88">
        <v>2302.4499999999998</v>
      </c>
      <c r="L88">
        <v>0</v>
      </c>
    </row>
    <row r="89" spans="1:12" x14ac:dyDescent="0.35">
      <c r="A89" s="3" t="s">
        <v>280</v>
      </c>
      <c r="B89" s="1" t="str">
        <f t="shared" si="2"/>
        <v>Corumba IV</v>
      </c>
      <c r="C89" s="1">
        <f t="shared" si="3"/>
        <v>-2410</v>
      </c>
      <c r="D89">
        <v>0</v>
      </c>
      <c r="E89">
        <v>0</v>
      </c>
      <c r="F89">
        <v>0</v>
      </c>
      <c r="G89">
        <v>0.3629</v>
      </c>
      <c r="H89">
        <v>34.660200000000003</v>
      </c>
      <c r="I89">
        <v>5.9611999999999998</v>
      </c>
      <c r="J89">
        <v>29.061900000000001</v>
      </c>
      <c r="K89">
        <v>0</v>
      </c>
      <c r="L89">
        <v>0</v>
      </c>
    </row>
    <row r="90" spans="1:12" x14ac:dyDescent="0.35">
      <c r="A90" s="3" t="s">
        <v>281</v>
      </c>
      <c r="B90" s="1" t="str">
        <f t="shared" si="2"/>
        <v>Lago Paranoa</v>
      </c>
      <c r="C90" s="1">
        <f t="shared" si="3"/>
        <v>-2410</v>
      </c>
      <c r="D90">
        <v>0</v>
      </c>
      <c r="E90">
        <v>2302.4499999999998</v>
      </c>
      <c r="F90">
        <v>0.4234</v>
      </c>
      <c r="G90">
        <v>2.6741000000000001</v>
      </c>
      <c r="H90">
        <v>4.7477</v>
      </c>
      <c r="I90">
        <v>1.5398000000000001</v>
      </c>
      <c r="J90">
        <v>5.4587000000000003</v>
      </c>
      <c r="K90">
        <v>2302.4499999999998</v>
      </c>
      <c r="L90">
        <v>0</v>
      </c>
    </row>
    <row r="91" spans="1:12" x14ac:dyDescent="0.35">
      <c r="A91" s="3" t="s">
        <v>282</v>
      </c>
      <c r="B91" s="1" t="str">
        <f t="shared" si="2"/>
        <v>Corumba IV</v>
      </c>
      <c r="C91" s="1">
        <f t="shared" si="3"/>
        <v>-2409</v>
      </c>
      <c r="D91">
        <v>0</v>
      </c>
      <c r="E91">
        <v>0</v>
      </c>
      <c r="F91">
        <v>0</v>
      </c>
      <c r="G91">
        <v>0.3629</v>
      </c>
      <c r="H91">
        <v>32.676499999999997</v>
      </c>
      <c r="I91">
        <v>6.0753000000000004</v>
      </c>
      <c r="J91">
        <v>26.964099999999998</v>
      </c>
      <c r="K91">
        <v>0</v>
      </c>
      <c r="L91">
        <v>0</v>
      </c>
    </row>
    <row r="92" spans="1:12" x14ac:dyDescent="0.35">
      <c r="A92" s="3" t="s">
        <v>283</v>
      </c>
      <c r="B92" s="1" t="str">
        <f t="shared" si="2"/>
        <v>Lago Paranoa</v>
      </c>
      <c r="C92" s="1">
        <f t="shared" si="3"/>
        <v>-2409</v>
      </c>
      <c r="D92">
        <v>0</v>
      </c>
      <c r="E92">
        <v>2302.4499999999998</v>
      </c>
      <c r="F92">
        <v>0.4234</v>
      </c>
      <c r="G92">
        <v>3.8363</v>
      </c>
      <c r="H92">
        <v>5.1909000000000001</v>
      </c>
      <c r="I92">
        <v>1.5811999999999999</v>
      </c>
      <c r="J92">
        <v>7.0225999999999997</v>
      </c>
      <c r="K92">
        <v>2302.4499999999998</v>
      </c>
      <c r="L92">
        <v>0</v>
      </c>
    </row>
    <row r="93" spans="1:12" x14ac:dyDescent="0.35">
      <c r="A93" s="3" t="s">
        <v>284</v>
      </c>
      <c r="B93" s="1" t="str">
        <f t="shared" si="2"/>
        <v>Corumba IV</v>
      </c>
      <c r="C93" s="1">
        <f t="shared" si="3"/>
        <v>-2408</v>
      </c>
      <c r="D93">
        <v>0</v>
      </c>
      <c r="E93">
        <v>0</v>
      </c>
      <c r="F93">
        <v>0</v>
      </c>
      <c r="G93">
        <v>0.3629</v>
      </c>
      <c r="H93">
        <v>33.144799999999996</v>
      </c>
      <c r="I93">
        <v>6.0753000000000004</v>
      </c>
      <c r="J93">
        <v>27.432300000000001</v>
      </c>
      <c r="K93">
        <v>0</v>
      </c>
      <c r="L93">
        <v>0</v>
      </c>
    </row>
    <row r="94" spans="1:12" x14ac:dyDescent="0.35">
      <c r="A94" s="3" t="s">
        <v>285</v>
      </c>
      <c r="B94" s="1" t="str">
        <f t="shared" si="2"/>
        <v>Lago Paranoa</v>
      </c>
      <c r="C94" s="1">
        <f t="shared" si="3"/>
        <v>-2408</v>
      </c>
      <c r="D94">
        <v>0</v>
      </c>
      <c r="E94">
        <v>2302.4499999999998</v>
      </c>
      <c r="F94">
        <v>0.4234</v>
      </c>
      <c r="G94">
        <v>4.0152000000000001</v>
      </c>
      <c r="H94">
        <v>4.8475999999999999</v>
      </c>
      <c r="I94">
        <v>1.5811999999999999</v>
      </c>
      <c r="J94">
        <v>6.8582000000000001</v>
      </c>
      <c r="K94">
        <v>2302.4499999999998</v>
      </c>
      <c r="L94">
        <v>0</v>
      </c>
    </row>
    <row r="95" spans="1:12" x14ac:dyDescent="0.35">
      <c r="A95" s="3" t="s">
        <v>286</v>
      </c>
      <c r="B95" s="1" t="str">
        <f t="shared" si="2"/>
        <v>Corumba IV</v>
      </c>
      <c r="C95" s="1">
        <f t="shared" si="3"/>
        <v>-2407</v>
      </c>
      <c r="D95">
        <v>0</v>
      </c>
      <c r="E95">
        <v>0</v>
      </c>
      <c r="F95">
        <v>0</v>
      </c>
      <c r="G95">
        <v>0.3629</v>
      </c>
      <c r="H95">
        <v>31.4297</v>
      </c>
      <c r="I95">
        <v>6.0753000000000004</v>
      </c>
      <c r="J95">
        <v>25.717300000000002</v>
      </c>
      <c r="K95">
        <v>0</v>
      </c>
      <c r="L95">
        <v>0</v>
      </c>
    </row>
    <row r="96" spans="1:12" x14ac:dyDescent="0.35">
      <c r="A96" s="3" t="s">
        <v>287</v>
      </c>
      <c r="B96" s="1" t="str">
        <f t="shared" si="2"/>
        <v>Lago Paranoa</v>
      </c>
      <c r="C96" s="1">
        <f t="shared" si="3"/>
        <v>-2407</v>
      </c>
      <c r="D96">
        <v>0</v>
      </c>
      <c r="E96">
        <v>2302.4499999999998</v>
      </c>
      <c r="F96">
        <v>0.4234</v>
      </c>
      <c r="G96">
        <v>3.9870999999999999</v>
      </c>
      <c r="H96">
        <v>4.8635999999999999</v>
      </c>
      <c r="I96">
        <v>1.5811999999999999</v>
      </c>
      <c r="J96">
        <v>6.8460999999999999</v>
      </c>
      <c r="K96">
        <v>2302.4499999999998</v>
      </c>
      <c r="L96">
        <v>0</v>
      </c>
    </row>
    <row r="97" spans="1:12" x14ac:dyDescent="0.35">
      <c r="A97" s="3" t="s">
        <v>288</v>
      </c>
      <c r="B97" s="1" t="str">
        <f t="shared" si="2"/>
        <v>Corumba IV</v>
      </c>
      <c r="C97" s="1">
        <f t="shared" si="3"/>
        <v>-2406</v>
      </c>
      <c r="D97">
        <v>0</v>
      </c>
      <c r="E97">
        <v>0</v>
      </c>
      <c r="F97">
        <v>0</v>
      </c>
      <c r="G97">
        <v>0.3629</v>
      </c>
      <c r="H97">
        <v>29.122800000000002</v>
      </c>
      <c r="I97">
        <v>5.7572999999999999</v>
      </c>
      <c r="J97">
        <v>23.7285</v>
      </c>
      <c r="K97">
        <v>0</v>
      </c>
      <c r="L97">
        <v>0</v>
      </c>
    </row>
    <row r="98" spans="1:12" x14ac:dyDescent="0.35">
      <c r="A98" s="3" t="s">
        <v>289</v>
      </c>
      <c r="B98" s="1" t="str">
        <f t="shared" si="2"/>
        <v>Lago Paranoa</v>
      </c>
      <c r="C98" s="1">
        <f t="shared" si="3"/>
        <v>-2406</v>
      </c>
      <c r="D98">
        <v>0</v>
      </c>
      <c r="E98">
        <v>2302.4499999999998</v>
      </c>
      <c r="F98">
        <v>0.4234</v>
      </c>
      <c r="G98">
        <v>3.8816000000000002</v>
      </c>
      <c r="H98">
        <v>4.8579999999999997</v>
      </c>
      <c r="I98">
        <v>1.5003</v>
      </c>
      <c r="J98">
        <v>6.8159999999999998</v>
      </c>
      <c r="K98">
        <v>2302.4499999999998</v>
      </c>
      <c r="L98">
        <v>0</v>
      </c>
    </row>
    <row r="99" spans="1:12" x14ac:dyDescent="0.35">
      <c r="A99" s="3" t="s">
        <v>290</v>
      </c>
      <c r="B99" s="1" t="str">
        <f t="shared" si="2"/>
        <v>Corumba IV</v>
      </c>
      <c r="C99" s="1">
        <f t="shared" si="3"/>
        <v>-2405</v>
      </c>
      <c r="D99">
        <v>0</v>
      </c>
      <c r="E99">
        <v>0</v>
      </c>
      <c r="F99">
        <v>0</v>
      </c>
      <c r="G99">
        <v>0.3629</v>
      </c>
      <c r="H99">
        <v>26.663</v>
      </c>
      <c r="I99">
        <v>3.8978999999999999</v>
      </c>
      <c r="J99">
        <v>23.128</v>
      </c>
      <c r="K99">
        <v>0</v>
      </c>
      <c r="L99">
        <v>0</v>
      </c>
    </row>
    <row r="100" spans="1:12" x14ac:dyDescent="0.35">
      <c r="A100" s="3" t="s">
        <v>291</v>
      </c>
      <c r="B100" s="1" t="str">
        <f t="shared" si="2"/>
        <v>Lago Paranoa</v>
      </c>
      <c r="C100" s="1">
        <f t="shared" si="3"/>
        <v>-2405</v>
      </c>
      <c r="D100">
        <v>0</v>
      </c>
      <c r="E100">
        <v>2302.4499999999998</v>
      </c>
      <c r="F100">
        <v>0.4234</v>
      </c>
      <c r="G100">
        <v>4.4021999999999997</v>
      </c>
      <c r="H100">
        <v>5.5427999999999997</v>
      </c>
      <c r="I100">
        <v>1.0424</v>
      </c>
      <c r="J100">
        <v>8.4793000000000003</v>
      </c>
      <c r="K100">
        <v>2302.4499999999998</v>
      </c>
      <c r="L100">
        <v>0</v>
      </c>
    </row>
    <row r="101" spans="1:12" x14ac:dyDescent="0.35">
      <c r="A101" s="3" t="s">
        <v>292</v>
      </c>
      <c r="B101" s="1" t="str">
        <f t="shared" si="2"/>
        <v>Corumba IV</v>
      </c>
      <c r="C101" s="1">
        <f t="shared" si="3"/>
        <v>-2404</v>
      </c>
      <c r="D101">
        <v>0</v>
      </c>
      <c r="E101">
        <v>0</v>
      </c>
      <c r="F101">
        <v>0</v>
      </c>
      <c r="G101">
        <v>0.3629</v>
      </c>
      <c r="H101">
        <v>29.256799999999998</v>
      </c>
      <c r="I101">
        <v>3.9630000000000001</v>
      </c>
      <c r="J101">
        <v>25.656600000000001</v>
      </c>
      <c r="K101">
        <v>0</v>
      </c>
      <c r="L101">
        <v>0</v>
      </c>
    </row>
    <row r="102" spans="1:12" x14ac:dyDescent="0.35">
      <c r="A102" s="3" t="s">
        <v>293</v>
      </c>
      <c r="B102" s="1" t="str">
        <f t="shared" si="2"/>
        <v>Lago Paranoa</v>
      </c>
      <c r="C102" s="1">
        <f t="shared" si="3"/>
        <v>-2404</v>
      </c>
      <c r="D102">
        <v>0</v>
      </c>
      <c r="E102">
        <v>2302.4499999999998</v>
      </c>
      <c r="F102">
        <v>0.4234</v>
      </c>
      <c r="G102">
        <v>4.4725999999999999</v>
      </c>
      <c r="H102">
        <v>6.3535000000000004</v>
      </c>
      <c r="I102">
        <v>1.0795999999999999</v>
      </c>
      <c r="J102">
        <v>9.3231000000000002</v>
      </c>
      <c r="K102">
        <v>2302.4499999999998</v>
      </c>
      <c r="L102">
        <v>0</v>
      </c>
    </row>
    <row r="103" spans="1:12" x14ac:dyDescent="0.35">
      <c r="A103" s="3" t="s">
        <v>294</v>
      </c>
      <c r="B103" s="1" t="str">
        <f t="shared" si="2"/>
        <v>Corumba IV</v>
      </c>
      <c r="C103" s="1">
        <f t="shared" si="3"/>
        <v>-2403</v>
      </c>
      <c r="D103">
        <v>0</v>
      </c>
      <c r="E103">
        <v>0</v>
      </c>
      <c r="F103">
        <v>0</v>
      </c>
      <c r="G103">
        <v>0.3629</v>
      </c>
      <c r="H103">
        <v>41.594700000000003</v>
      </c>
      <c r="I103">
        <v>3.9630000000000001</v>
      </c>
      <c r="J103">
        <v>37.994599999999998</v>
      </c>
      <c r="K103">
        <v>0</v>
      </c>
      <c r="L103">
        <v>0</v>
      </c>
    </row>
    <row r="104" spans="1:12" x14ac:dyDescent="0.35">
      <c r="A104" s="3" t="s">
        <v>295</v>
      </c>
      <c r="B104" s="1" t="str">
        <f t="shared" si="2"/>
        <v>Lago Paranoa</v>
      </c>
      <c r="C104" s="1">
        <f t="shared" si="3"/>
        <v>-2403</v>
      </c>
      <c r="D104">
        <v>0</v>
      </c>
      <c r="E104">
        <v>2302.4499999999998</v>
      </c>
      <c r="F104">
        <v>0.4234</v>
      </c>
      <c r="G104">
        <v>4.7270000000000003</v>
      </c>
      <c r="H104">
        <v>6.8433999999999999</v>
      </c>
      <c r="I104">
        <v>1.0795999999999999</v>
      </c>
      <c r="J104">
        <v>10.067399999999999</v>
      </c>
      <c r="K104">
        <v>2302.4499999999998</v>
      </c>
      <c r="L104">
        <v>0</v>
      </c>
    </row>
    <row r="105" spans="1:12" x14ac:dyDescent="0.35">
      <c r="A105" s="3" t="s">
        <v>296</v>
      </c>
      <c r="B105" s="1" t="str">
        <f t="shared" si="2"/>
        <v>Corumba IV</v>
      </c>
      <c r="C105" s="1">
        <f t="shared" si="3"/>
        <v>-2402</v>
      </c>
      <c r="D105">
        <v>0</v>
      </c>
      <c r="E105">
        <v>0</v>
      </c>
      <c r="F105">
        <v>0</v>
      </c>
      <c r="G105">
        <v>0.3629</v>
      </c>
      <c r="H105">
        <v>98.737899999999996</v>
      </c>
      <c r="I105">
        <v>3.9630000000000001</v>
      </c>
      <c r="J105">
        <v>95.137799999999999</v>
      </c>
      <c r="K105">
        <v>0</v>
      </c>
      <c r="L105">
        <v>0</v>
      </c>
    </row>
    <row r="106" spans="1:12" x14ac:dyDescent="0.35">
      <c r="A106" s="3" t="s">
        <v>297</v>
      </c>
      <c r="B106" s="1" t="str">
        <f t="shared" si="2"/>
        <v>Lago Paranoa</v>
      </c>
      <c r="C106" s="1">
        <f t="shared" si="3"/>
        <v>-2402</v>
      </c>
      <c r="D106">
        <v>0</v>
      </c>
      <c r="E106">
        <v>2302.4499999999998</v>
      </c>
      <c r="F106">
        <v>0.4234</v>
      </c>
      <c r="G106">
        <v>5.6397000000000004</v>
      </c>
      <c r="H106">
        <v>9.6193000000000008</v>
      </c>
      <c r="I106">
        <v>1.0795999999999999</v>
      </c>
      <c r="J106">
        <v>13.756</v>
      </c>
      <c r="K106">
        <v>2302.4499999999998</v>
      </c>
      <c r="L106">
        <v>0</v>
      </c>
    </row>
    <row r="107" spans="1:12" x14ac:dyDescent="0.35">
      <c r="A107" s="3" t="s">
        <v>298</v>
      </c>
      <c r="B107" s="1" t="str">
        <f t="shared" si="2"/>
        <v>Corumba IV</v>
      </c>
      <c r="C107" s="1">
        <f t="shared" si="3"/>
        <v>-2401</v>
      </c>
      <c r="D107">
        <v>0</v>
      </c>
      <c r="E107">
        <v>0</v>
      </c>
      <c r="F107">
        <v>0</v>
      </c>
      <c r="G107">
        <v>0.3629</v>
      </c>
      <c r="H107">
        <v>97.630300000000005</v>
      </c>
      <c r="I107">
        <v>4.7667999999999999</v>
      </c>
      <c r="J107">
        <v>93.226399999999998</v>
      </c>
      <c r="K107">
        <v>0</v>
      </c>
      <c r="L107">
        <v>0</v>
      </c>
    </row>
    <row r="108" spans="1:12" x14ac:dyDescent="0.35">
      <c r="A108" s="3" t="s">
        <v>299</v>
      </c>
      <c r="B108" s="1" t="str">
        <f t="shared" si="2"/>
        <v>Lago Paranoa</v>
      </c>
      <c r="C108" s="1">
        <f t="shared" si="3"/>
        <v>-2401</v>
      </c>
      <c r="D108">
        <v>0</v>
      </c>
      <c r="E108">
        <v>2302.4499999999998</v>
      </c>
      <c r="F108">
        <v>0.4234</v>
      </c>
      <c r="G108">
        <v>3.6833</v>
      </c>
      <c r="H108">
        <v>8.3696999999999999</v>
      </c>
      <c r="I108">
        <v>1.234</v>
      </c>
      <c r="J108">
        <v>10.3956</v>
      </c>
      <c r="K108">
        <v>2302.4499999999998</v>
      </c>
      <c r="L108">
        <v>0</v>
      </c>
    </row>
    <row r="109" spans="1:12" x14ac:dyDescent="0.35">
      <c r="A109" s="3" t="s">
        <v>300</v>
      </c>
      <c r="B109" s="1" t="str">
        <f t="shared" si="2"/>
        <v>Corumba IV</v>
      </c>
      <c r="C109" s="1">
        <f t="shared" si="3"/>
        <v>-2400</v>
      </c>
      <c r="D109">
        <v>0</v>
      </c>
      <c r="E109">
        <v>0</v>
      </c>
      <c r="F109">
        <v>0</v>
      </c>
      <c r="G109">
        <v>0.3629</v>
      </c>
      <c r="H109">
        <v>32.457000000000001</v>
      </c>
      <c r="I109">
        <v>5.0883000000000003</v>
      </c>
      <c r="J109">
        <v>27.7316</v>
      </c>
      <c r="K109">
        <v>0</v>
      </c>
      <c r="L109">
        <v>0</v>
      </c>
    </row>
    <row r="110" spans="1:12" x14ac:dyDescent="0.35">
      <c r="A110" s="3" t="s">
        <v>301</v>
      </c>
      <c r="B110" s="1" t="str">
        <f t="shared" si="2"/>
        <v>Lago Paranoa</v>
      </c>
      <c r="C110" s="1">
        <f t="shared" si="3"/>
        <v>-2400</v>
      </c>
      <c r="D110">
        <v>0</v>
      </c>
      <c r="E110">
        <v>2302.4499999999998</v>
      </c>
      <c r="F110">
        <v>0.4234</v>
      </c>
      <c r="G110">
        <v>2.7151000000000001</v>
      </c>
      <c r="H110">
        <v>5.6398999999999999</v>
      </c>
      <c r="I110">
        <v>1.2958000000000001</v>
      </c>
      <c r="J110">
        <v>6.6357999999999997</v>
      </c>
      <c r="K110">
        <v>2302.4499999999998</v>
      </c>
      <c r="L110">
        <v>0</v>
      </c>
    </row>
    <row r="111" spans="1:12" x14ac:dyDescent="0.35">
      <c r="A111" s="3" t="s">
        <v>302</v>
      </c>
      <c r="B111" s="1" t="str">
        <f t="shared" si="2"/>
        <v>Corumba IV</v>
      </c>
      <c r="C111" s="1">
        <f t="shared" si="3"/>
        <v>-2399</v>
      </c>
      <c r="D111">
        <v>0</v>
      </c>
      <c r="E111">
        <v>0</v>
      </c>
      <c r="F111">
        <v>0</v>
      </c>
      <c r="G111">
        <v>0.3629</v>
      </c>
      <c r="H111">
        <v>31.155000000000001</v>
      </c>
      <c r="I111">
        <v>5.0883000000000003</v>
      </c>
      <c r="J111">
        <v>26.429600000000001</v>
      </c>
      <c r="K111">
        <v>0</v>
      </c>
      <c r="L111">
        <v>0</v>
      </c>
    </row>
    <row r="112" spans="1:12" x14ac:dyDescent="0.35">
      <c r="A112" s="3" t="s">
        <v>303</v>
      </c>
      <c r="B112" s="1" t="str">
        <f t="shared" si="2"/>
        <v>Lago Paranoa</v>
      </c>
      <c r="C112" s="1">
        <f t="shared" si="3"/>
        <v>-2399</v>
      </c>
      <c r="D112">
        <v>0</v>
      </c>
      <c r="E112">
        <v>2302.4499999999998</v>
      </c>
      <c r="F112">
        <v>0.4234</v>
      </c>
      <c r="G112">
        <v>3.86</v>
      </c>
      <c r="H112">
        <v>6.3587999999999996</v>
      </c>
      <c r="I112">
        <v>1.2958000000000001</v>
      </c>
      <c r="J112">
        <v>8.4997000000000007</v>
      </c>
      <c r="K112">
        <v>2302.4499999999998</v>
      </c>
      <c r="L112">
        <v>0</v>
      </c>
    </row>
    <row r="113" spans="1:12" x14ac:dyDescent="0.35">
      <c r="A113" s="3" t="s">
        <v>304</v>
      </c>
      <c r="B113" s="1" t="str">
        <f t="shared" si="2"/>
        <v>Corumba IV</v>
      </c>
      <c r="C113" s="1">
        <f t="shared" si="3"/>
        <v>-2398</v>
      </c>
      <c r="D113">
        <v>0</v>
      </c>
      <c r="E113">
        <v>0</v>
      </c>
      <c r="F113">
        <v>0</v>
      </c>
      <c r="G113">
        <v>0.3629</v>
      </c>
      <c r="H113">
        <v>38.283799999999999</v>
      </c>
      <c r="I113">
        <v>5.0883000000000003</v>
      </c>
      <c r="J113">
        <v>33.558399999999999</v>
      </c>
      <c r="K113">
        <v>0</v>
      </c>
      <c r="L113">
        <v>0</v>
      </c>
    </row>
    <row r="114" spans="1:12" x14ac:dyDescent="0.35">
      <c r="A114" s="3" t="s">
        <v>305</v>
      </c>
      <c r="B114" s="1" t="str">
        <f t="shared" si="2"/>
        <v>Lago Paranoa</v>
      </c>
      <c r="C114" s="1">
        <f t="shared" si="3"/>
        <v>-2398</v>
      </c>
      <c r="D114">
        <v>0</v>
      </c>
      <c r="E114">
        <v>2302.4499999999998</v>
      </c>
      <c r="F114">
        <v>0.4234</v>
      </c>
      <c r="G114">
        <v>3.0503999999999998</v>
      </c>
      <c r="H114">
        <v>6.6725000000000003</v>
      </c>
      <c r="I114">
        <v>1.2958000000000001</v>
      </c>
      <c r="J114">
        <v>8.0038</v>
      </c>
      <c r="K114">
        <v>2302.4499999999998</v>
      </c>
      <c r="L114">
        <v>0</v>
      </c>
    </row>
    <row r="115" spans="1:12" x14ac:dyDescent="0.35">
      <c r="A115" s="3" t="s">
        <v>306</v>
      </c>
      <c r="B115" s="1" t="str">
        <f t="shared" si="2"/>
        <v>Corumba IV</v>
      </c>
      <c r="C115" s="1">
        <f t="shared" si="3"/>
        <v>-2397</v>
      </c>
      <c r="D115">
        <v>0</v>
      </c>
      <c r="E115">
        <v>0</v>
      </c>
      <c r="F115">
        <v>0</v>
      </c>
      <c r="G115">
        <v>0.3629</v>
      </c>
      <c r="H115">
        <v>36.543700000000001</v>
      </c>
      <c r="I115">
        <v>4.6901999999999999</v>
      </c>
      <c r="J115">
        <v>32.2164</v>
      </c>
      <c r="K115">
        <v>0</v>
      </c>
      <c r="L115">
        <v>0</v>
      </c>
    </row>
    <row r="116" spans="1:12" x14ac:dyDescent="0.35">
      <c r="A116" s="3" t="s">
        <v>307</v>
      </c>
      <c r="B116" s="1" t="str">
        <f t="shared" si="2"/>
        <v>Lago Paranoa</v>
      </c>
      <c r="C116" s="1">
        <f t="shared" si="3"/>
        <v>-2397</v>
      </c>
      <c r="D116">
        <v>0</v>
      </c>
      <c r="E116">
        <v>2302.4499999999998</v>
      </c>
      <c r="F116">
        <v>0.32869999999999999</v>
      </c>
      <c r="G116">
        <v>2.6393</v>
      </c>
      <c r="H116">
        <v>5.8464999999999998</v>
      </c>
      <c r="I116">
        <v>1.1123000000000001</v>
      </c>
      <c r="J116">
        <v>7.0449000000000002</v>
      </c>
      <c r="K116">
        <v>2302.4499999999998</v>
      </c>
      <c r="L116">
        <v>0</v>
      </c>
    </row>
    <row r="117" spans="1:12" x14ac:dyDescent="0.35">
      <c r="A117" s="3" t="s">
        <v>308</v>
      </c>
      <c r="B117" s="1" t="str">
        <f t="shared" si="2"/>
        <v>Corumba IV</v>
      </c>
      <c r="C117" s="1">
        <f t="shared" si="3"/>
        <v>-2396</v>
      </c>
      <c r="D117">
        <v>0</v>
      </c>
      <c r="E117">
        <v>0</v>
      </c>
      <c r="F117">
        <v>0</v>
      </c>
      <c r="G117">
        <v>0.3629</v>
      </c>
      <c r="H117">
        <v>42.657400000000003</v>
      </c>
      <c r="I117">
        <v>4.0095999999999998</v>
      </c>
      <c r="J117">
        <v>39.0107</v>
      </c>
      <c r="K117">
        <v>0</v>
      </c>
      <c r="L117">
        <v>0</v>
      </c>
    </row>
    <row r="118" spans="1:12" x14ac:dyDescent="0.35">
      <c r="A118" s="3" t="s">
        <v>309</v>
      </c>
      <c r="B118" s="1" t="str">
        <f t="shared" si="2"/>
        <v>Lago Paranoa</v>
      </c>
      <c r="C118" s="1">
        <f t="shared" si="3"/>
        <v>-2396</v>
      </c>
      <c r="D118">
        <v>0</v>
      </c>
      <c r="E118">
        <v>2302.4499999999998</v>
      </c>
      <c r="F118">
        <v>0.32900000000000001</v>
      </c>
      <c r="G118">
        <v>2.8822000000000001</v>
      </c>
      <c r="H118">
        <v>7.6574999999999998</v>
      </c>
      <c r="I118">
        <v>1.0535000000000001</v>
      </c>
      <c r="J118">
        <v>9.1571999999999996</v>
      </c>
      <c r="K118">
        <v>2302.4499999999998</v>
      </c>
      <c r="L118">
        <v>0</v>
      </c>
    </row>
    <row r="119" spans="1:12" x14ac:dyDescent="0.35">
      <c r="A119" s="3" t="s">
        <v>310</v>
      </c>
      <c r="B119" s="1" t="str">
        <f t="shared" si="2"/>
        <v>Corumba IV</v>
      </c>
      <c r="C119" s="1">
        <f t="shared" si="3"/>
        <v>-2499</v>
      </c>
      <c r="D119">
        <v>0</v>
      </c>
      <c r="E119">
        <v>0</v>
      </c>
      <c r="F119">
        <v>0</v>
      </c>
      <c r="G119">
        <v>0.3629</v>
      </c>
      <c r="H119">
        <v>72.424499999999995</v>
      </c>
      <c r="I119">
        <v>4.5795000000000003</v>
      </c>
      <c r="J119">
        <v>68.207899999999995</v>
      </c>
      <c r="K119">
        <v>0</v>
      </c>
      <c r="L119">
        <v>0</v>
      </c>
    </row>
    <row r="120" spans="1:12" x14ac:dyDescent="0.35">
      <c r="A120" s="3" t="s">
        <v>311</v>
      </c>
      <c r="B120" s="1" t="str">
        <f t="shared" si="2"/>
        <v>Lago Paranoa</v>
      </c>
      <c r="C120" s="1">
        <f t="shared" si="3"/>
        <v>-2499</v>
      </c>
      <c r="D120">
        <v>0</v>
      </c>
      <c r="E120">
        <v>2302.4499999999998</v>
      </c>
      <c r="F120">
        <v>0.4234</v>
      </c>
      <c r="G120">
        <v>5.8544</v>
      </c>
      <c r="H120">
        <v>11.3575</v>
      </c>
      <c r="I120">
        <v>1.1447000000000001</v>
      </c>
      <c r="J120">
        <v>15.643800000000001</v>
      </c>
      <c r="K120">
        <v>2302.4499999999998</v>
      </c>
      <c r="L120">
        <v>0</v>
      </c>
    </row>
    <row r="121" spans="1:12" x14ac:dyDescent="0.35">
      <c r="A121" s="3" t="s">
        <v>312</v>
      </c>
      <c r="B121" s="1" t="str">
        <f t="shared" si="2"/>
        <v>Corumba IV</v>
      </c>
      <c r="C121" s="1">
        <f t="shared" si="3"/>
        <v>-2498</v>
      </c>
      <c r="D121">
        <v>0</v>
      </c>
      <c r="E121">
        <v>0</v>
      </c>
      <c r="F121">
        <v>0</v>
      </c>
      <c r="G121">
        <v>0.3629</v>
      </c>
      <c r="H121">
        <v>190.82480000000001</v>
      </c>
      <c r="I121">
        <v>4.5795000000000003</v>
      </c>
      <c r="J121">
        <v>186.60820000000001</v>
      </c>
      <c r="K121">
        <v>0</v>
      </c>
      <c r="L121">
        <v>0</v>
      </c>
    </row>
    <row r="122" spans="1:12" x14ac:dyDescent="0.35">
      <c r="A122" s="3" t="s">
        <v>313</v>
      </c>
      <c r="B122" s="1" t="str">
        <f t="shared" si="2"/>
        <v>Lago Paranoa</v>
      </c>
      <c r="C122" s="1">
        <f t="shared" si="3"/>
        <v>-2498</v>
      </c>
      <c r="D122">
        <v>0</v>
      </c>
      <c r="E122">
        <v>2302.4499999999998</v>
      </c>
      <c r="F122">
        <v>0.33069999999999999</v>
      </c>
      <c r="G122">
        <v>4.7493999999999996</v>
      </c>
      <c r="H122">
        <v>22.7364</v>
      </c>
      <c r="I122">
        <v>1.1447000000000001</v>
      </c>
      <c r="J122">
        <v>26.010400000000001</v>
      </c>
      <c r="K122">
        <v>2302.4499999999998</v>
      </c>
      <c r="L122">
        <v>0</v>
      </c>
    </row>
    <row r="123" spans="1:12" x14ac:dyDescent="0.35">
      <c r="A123" s="3" t="s">
        <v>314</v>
      </c>
      <c r="B123" s="1" t="str">
        <f t="shared" si="2"/>
        <v>Corumba IV</v>
      </c>
      <c r="C123" s="1">
        <f t="shared" si="3"/>
        <v>-2497</v>
      </c>
      <c r="D123">
        <v>0</v>
      </c>
      <c r="E123">
        <v>0</v>
      </c>
      <c r="F123">
        <v>0</v>
      </c>
      <c r="G123">
        <v>0.3629</v>
      </c>
      <c r="H123">
        <v>327.94420000000002</v>
      </c>
      <c r="I123">
        <v>4.1506999999999996</v>
      </c>
      <c r="J123">
        <v>324.15629999999999</v>
      </c>
      <c r="K123">
        <v>0</v>
      </c>
      <c r="L123">
        <v>0</v>
      </c>
    </row>
    <row r="124" spans="1:12" x14ac:dyDescent="0.35">
      <c r="A124" s="3" t="s">
        <v>315</v>
      </c>
      <c r="B124" s="1" t="str">
        <f t="shared" si="2"/>
        <v>Lago Paranoa</v>
      </c>
      <c r="C124" s="1">
        <f t="shared" si="3"/>
        <v>-2497</v>
      </c>
      <c r="D124">
        <v>0</v>
      </c>
      <c r="E124">
        <v>2302.4499999999998</v>
      </c>
      <c r="F124">
        <v>0.33029999999999998</v>
      </c>
      <c r="G124">
        <v>5.1802999999999999</v>
      </c>
      <c r="H124">
        <v>25.4693</v>
      </c>
      <c r="I124">
        <v>1.0911</v>
      </c>
      <c r="J124">
        <v>29.228300000000001</v>
      </c>
      <c r="K124">
        <v>2302.4499999999998</v>
      </c>
      <c r="L124">
        <v>0</v>
      </c>
    </row>
    <row r="125" spans="1:12" x14ac:dyDescent="0.35">
      <c r="A125" s="3" t="s">
        <v>316</v>
      </c>
      <c r="B125" s="1" t="str">
        <f t="shared" si="2"/>
        <v>Corumba IV</v>
      </c>
      <c r="C125" s="1">
        <f t="shared" si="3"/>
        <v>-2496</v>
      </c>
      <c r="D125">
        <v>0</v>
      </c>
      <c r="E125">
        <v>0</v>
      </c>
      <c r="F125">
        <v>0</v>
      </c>
      <c r="G125">
        <v>0.3629</v>
      </c>
      <c r="H125">
        <v>116.6236</v>
      </c>
      <c r="I125">
        <v>3.7875999999999999</v>
      </c>
      <c r="J125">
        <v>113.19889999999999</v>
      </c>
      <c r="K125">
        <v>0</v>
      </c>
      <c r="L125">
        <v>0</v>
      </c>
    </row>
    <row r="126" spans="1:12" x14ac:dyDescent="0.35">
      <c r="A126" s="3" t="s">
        <v>317</v>
      </c>
      <c r="B126" s="1" t="str">
        <f t="shared" si="2"/>
        <v>Lago Paranoa</v>
      </c>
      <c r="C126" s="1">
        <f t="shared" si="3"/>
        <v>-2496</v>
      </c>
      <c r="D126">
        <v>0</v>
      </c>
      <c r="E126">
        <v>2302.4499999999998</v>
      </c>
      <c r="F126">
        <v>0.36990000000000001</v>
      </c>
      <c r="G126">
        <v>5.4412000000000003</v>
      </c>
      <c r="H126">
        <v>11.711499999999999</v>
      </c>
      <c r="I126">
        <v>0.8952</v>
      </c>
      <c r="J126">
        <v>15.887600000000001</v>
      </c>
      <c r="K126">
        <v>2302.4499999999998</v>
      </c>
      <c r="L126">
        <v>0</v>
      </c>
    </row>
    <row r="127" spans="1:12" x14ac:dyDescent="0.35">
      <c r="A127" s="3" t="s">
        <v>318</v>
      </c>
      <c r="B127" s="1" t="str">
        <f t="shared" si="2"/>
        <v>Corumba IV</v>
      </c>
      <c r="C127" s="1">
        <f t="shared" si="3"/>
        <v>-2495</v>
      </c>
      <c r="D127">
        <v>0</v>
      </c>
      <c r="E127">
        <v>0</v>
      </c>
      <c r="F127">
        <v>0</v>
      </c>
      <c r="G127">
        <v>0.3629</v>
      </c>
      <c r="H127">
        <v>108.68</v>
      </c>
      <c r="I127">
        <v>4.4733000000000001</v>
      </c>
      <c r="J127">
        <v>104.56950000000001</v>
      </c>
      <c r="K127">
        <v>0</v>
      </c>
      <c r="L127">
        <v>0</v>
      </c>
    </row>
    <row r="128" spans="1:12" x14ac:dyDescent="0.35">
      <c r="A128" s="3" t="s">
        <v>319</v>
      </c>
      <c r="B128" s="1" t="str">
        <f t="shared" si="2"/>
        <v>Lago Paranoa</v>
      </c>
      <c r="C128" s="1">
        <f t="shared" si="3"/>
        <v>-2495</v>
      </c>
      <c r="D128">
        <v>0</v>
      </c>
      <c r="E128">
        <v>2302.4499999999998</v>
      </c>
      <c r="F128">
        <v>0.35360000000000003</v>
      </c>
      <c r="G128">
        <v>4.9966999999999997</v>
      </c>
      <c r="H128">
        <v>10.471299999999999</v>
      </c>
      <c r="I128">
        <v>1.1091</v>
      </c>
      <c r="J128">
        <v>14.0053</v>
      </c>
      <c r="K128">
        <v>2302.4499999999998</v>
      </c>
      <c r="L128">
        <v>0</v>
      </c>
    </row>
    <row r="129" spans="1:12" x14ac:dyDescent="0.35">
      <c r="A129" s="3" t="s">
        <v>320</v>
      </c>
      <c r="B129" s="1" t="str">
        <f t="shared" si="2"/>
        <v>Corumba IV</v>
      </c>
      <c r="C129" s="1">
        <f t="shared" si="3"/>
        <v>-2494</v>
      </c>
      <c r="D129">
        <v>0</v>
      </c>
      <c r="E129">
        <v>0</v>
      </c>
      <c r="F129">
        <v>0</v>
      </c>
      <c r="G129">
        <v>0.3629</v>
      </c>
      <c r="H129">
        <v>109.06270000000001</v>
      </c>
      <c r="I129">
        <v>4.4733000000000001</v>
      </c>
      <c r="J129">
        <v>104.95229999999999</v>
      </c>
      <c r="K129">
        <v>0</v>
      </c>
      <c r="L129">
        <v>0</v>
      </c>
    </row>
    <row r="130" spans="1:12" x14ac:dyDescent="0.35">
      <c r="A130" s="3" t="s">
        <v>321</v>
      </c>
      <c r="B130" s="1" t="str">
        <f t="shared" si="2"/>
        <v>Lago Paranoa</v>
      </c>
      <c r="C130" s="1">
        <f t="shared" si="3"/>
        <v>-2494</v>
      </c>
      <c r="D130">
        <v>0</v>
      </c>
      <c r="E130">
        <v>2302.4499999999998</v>
      </c>
      <c r="F130">
        <v>0.35389999999999999</v>
      </c>
      <c r="G130">
        <v>5.2587000000000002</v>
      </c>
      <c r="H130">
        <v>11.5618</v>
      </c>
      <c r="I130">
        <v>1.1091</v>
      </c>
      <c r="J130">
        <v>15.3574</v>
      </c>
      <c r="K130">
        <v>2302.4499999999998</v>
      </c>
      <c r="L130">
        <v>0</v>
      </c>
    </row>
    <row r="131" spans="1:12" x14ac:dyDescent="0.35">
      <c r="A131" s="3" t="s">
        <v>322</v>
      </c>
      <c r="B131" s="1" t="str">
        <f t="shared" ref="B131:B194" si="4">_xlfn.TEXTBEFORE(_xlfn.TEXTAFTER(A131,"["),"]")</f>
        <v>Corumba IV</v>
      </c>
      <c r="C131" s="1">
        <f t="shared" si="3"/>
        <v>-2493</v>
      </c>
      <c r="D131">
        <v>0</v>
      </c>
      <c r="E131">
        <v>0</v>
      </c>
      <c r="F131">
        <v>0</v>
      </c>
      <c r="G131">
        <v>0.3629</v>
      </c>
      <c r="H131">
        <v>98.767300000000006</v>
      </c>
      <c r="I131">
        <v>4.4733000000000001</v>
      </c>
      <c r="J131">
        <v>94.656899999999993</v>
      </c>
      <c r="K131">
        <v>0</v>
      </c>
      <c r="L131">
        <v>0</v>
      </c>
    </row>
    <row r="132" spans="1:12" x14ac:dyDescent="0.35">
      <c r="A132" s="3" t="s">
        <v>323</v>
      </c>
      <c r="B132" s="1" t="str">
        <f t="shared" si="4"/>
        <v>Lago Paranoa</v>
      </c>
      <c r="C132" s="1">
        <f t="shared" ref="C132:C195" si="5">--_xlfn.TEXTBEFORE(_xlfn.TEXTAFTER(A132,"Week "),":")</f>
        <v>-2493</v>
      </c>
      <c r="D132">
        <v>0</v>
      </c>
      <c r="E132">
        <v>2302.4499999999998</v>
      </c>
      <c r="F132">
        <v>0.3543</v>
      </c>
      <c r="G132">
        <v>5.6776999999999997</v>
      </c>
      <c r="H132">
        <v>11.6694</v>
      </c>
      <c r="I132">
        <v>1.1091</v>
      </c>
      <c r="J132">
        <v>15.883599999999999</v>
      </c>
      <c r="K132">
        <v>2302.4499999999998</v>
      </c>
      <c r="L132">
        <v>0</v>
      </c>
    </row>
    <row r="133" spans="1:12" x14ac:dyDescent="0.35">
      <c r="A133" s="3" t="s">
        <v>324</v>
      </c>
      <c r="B133" s="1" t="str">
        <f t="shared" si="4"/>
        <v>Corumba IV</v>
      </c>
      <c r="C133" s="1">
        <f t="shared" si="5"/>
        <v>-2492</v>
      </c>
      <c r="D133">
        <v>0</v>
      </c>
      <c r="E133">
        <v>0</v>
      </c>
      <c r="F133">
        <v>0</v>
      </c>
      <c r="G133">
        <v>0.3629</v>
      </c>
      <c r="H133">
        <v>131.56909999999999</v>
      </c>
      <c r="I133">
        <v>4.5563000000000002</v>
      </c>
      <c r="J133">
        <v>127.37569999999999</v>
      </c>
      <c r="K133">
        <v>0</v>
      </c>
      <c r="L133">
        <v>0</v>
      </c>
    </row>
    <row r="134" spans="1:12" x14ac:dyDescent="0.35">
      <c r="A134" s="3" t="s">
        <v>325</v>
      </c>
      <c r="B134" s="1" t="str">
        <f t="shared" si="4"/>
        <v>Lago Paranoa</v>
      </c>
      <c r="C134" s="1">
        <f t="shared" si="5"/>
        <v>-2492</v>
      </c>
      <c r="D134">
        <v>0</v>
      </c>
      <c r="E134">
        <v>2302.4499999999998</v>
      </c>
      <c r="F134">
        <v>0.4234</v>
      </c>
      <c r="G134">
        <v>5.0212000000000003</v>
      </c>
      <c r="H134">
        <v>13.9856</v>
      </c>
      <c r="I134">
        <v>1.272</v>
      </c>
      <c r="J134">
        <v>17.311399999999999</v>
      </c>
      <c r="K134">
        <v>2302.4499999999998</v>
      </c>
      <c r="L134">
        <v>0</v>
      </c>
    </row>
    <row r="135" spans="1:12" x14ac:dyDescent="0.35">
      <c r="A135" s="3" t="s">
        <v>326</v>
      </c>
      <c r="B135" s="1" t="str">
        <f t="shared" si="4"/>
        <v>Corumba IV</v>
      </c>
      <c r="C135" s="1">
        <f t="shared" si="5"/>
        <v>-2491</v>
      </c>
      <c r="D135">
        <v>0</v>
      </c>
      <c r="E135">
        <v>0</v>
      </c>
      <c r="F135">
        <v>0</v>
      </c>
      <c r="G135">
        <v>0.3629</v>
      </c>
      <c r="H135">
        <v>121.99160000000001</v>
      </c>
      <c r="I135">
        <v>4.2152000000000003</v>
      </c>
      <c r="J135">
        <v>118.13930000000001</v>
      </c>
      <c r="K135">
        <v>0</v>
      </c>
      <c r="L135">
        <v>0</v>
      </c>
    </row>
    <row r="136" spans="1:12" x14ac:dyDescent="0.35">
      <c r="A136" s="3" t="s">
        <v>327</v>
      </c>
      <c r="B136" s="1" t="str">
        <f t="shared" si="4"/>
        <v>Lago Paranoa</v>
      </c>
      <c r="C136" s="1">
        <f t="shared" si="5"/>
        <v>-2491</v>
      </c>
      <c r="D136">
        <v>0</v>
      </c>
      <c r="E136">
        <v>2302.4499999999998</v>
      </c>
      <c r="F136">
        <v>0.4234</v>
      </c>
      <c r="G136">
        <v>5.8211000000000004</v>
      </c>
      <c r="H136">
        <v>12.0213</v>
      </c>
      <c r="I136">
        <v>1.1927000000000001</v>
      </c>
      <c r="J136">
        <v>16.226299999999998</v>
      </c>
      <c r="K136">
        <v>2302.4499999999998</v>
      </c>
      <c r="L136">
        <v>0</v>
      </c>
    </row>
    <row r="137" spans="1:12" x14ac:dyDescent="0.35">
      <c r="A137" s="3" t="s">
        <v>328</v>
      </c>
      <c r="B137" s="1" t="str">
        <f t="shared" si="4"/>
        <v>Corumba IV</v>
      </c>
      <c r="C137" s="1">
        <f t="shared" si="5"/>
        <v>-2490</v>
      </c>
      <c r="D137">
        <v>0</v>
      </c>
      <c r="E137">
        <v>0</v>
      </c>
      <c r="F137">
        <v>0</v>
      </c>
      <c r="G137">
        <v>0.3629</v>
      </c>
      <c r="H137">
        <v>175.64779999999999</v>
      </c>
      <c r="I137">
        <v>4.2152000000000003</v>
      </c>
      <c r="J137">
        <v>171.7954</v>
      </c>
      <c r="K137">
        <v>0</v>
      </c>
      <c r="L137">
        <v>0</v>
      </c>
    </row>
    <row r="138" spans="1:12" x14ac:dyDescent="0.35">
      <c r="A138" s="3" t="s">
        <v>329</v>
      </c>
      <c r="B138" s="1" t="str">
        <f t="shared" si="4"/>
        <v>Lago Paranoa</v>
      </c>
      <c r="C138" s="1">
        <f t="shared" si="5"/>
        <v>-2490</v>
      </c>
      <c r="D138">
        <v>0</v>
      </c>
      <c r="E138">
        <v>2302.4499999999998</v>
      </c>
      <c r="F138">
        <v>0.4234</v>
      </c>
      <c r="G138">
        <v>5.9005999999999998</v>
      </c>
      <c r="H138">
        <v>13.257999999999999</v>
      </c>
      <c r="I138">
        <v>1.1927000000000001</v>
      </c>
      <c r="J138">
        <v>17.5425</v>
      </c>
      <c r="K138">
        <v>2302.4499999999998</v>
      </c>
      <c r="L138">
        <v>0</v>
      </c>
    </row>
    <row r="139" spans="1:12" x14ac:dyDescent="0.35">
      <c r="A139" s="3" t="s">
        <v>330</v>
      </c>
      <c r="B139" s="1" t="str">
        <f t="shared" si="4"/>
        <v>Corumba IV</v>
      </c>
      <c r="C139" s="1">
        <f t="shared" si="5"/>
        <v>-2489</v>
      </c>
      <c r="D139">
        <v>0</v>
      </c>
      <c r="E139">
        <v>0</v>
      </c>
      <c r="F139">
        <v>0</v>
      </c>
      <c r="G139">
        <v>0.3629</v>
      </c>
      <c r="H139">
        <v>136.57769999999999</v>
      </c>
      <c r="I139">
        <v>4.2152000000000003</v>
      </c>
      <c r="J139">
        <v>132.7253</v>
      </c>
      <c r="K139">
        <v>0</v>
      </c>
      <c r="L139">
        <v>0</v>
      </c>
    </row>
    <row r="140" spans="1:12" x14ac:dyDescent="0.35">
      <c r="A140" s="3" t="s">
        <v>331</v>
      </c>
      <c r="B140" s="1" t="str">
        <f t="shared" si="4"/>
        <v>Lago Paranoa</v>
      </c>
      <c r="C140" s="1">
        <f t="shared" si="5"/>
        <v>-2489</v>
      </c>
      <c r="D140">
        <v>0</v>
      </c>
      <c r="E140">
        <v>2302.4499999999998</v>
      </c>
      <c r="F140">
        <v>0.4234</v>
      </c>
      <c r="G140">
        <v>6.9432999999999998</v>
      </c>
      <c r="H140">
        <v>13.4787</v>
      </c>
      <c r="I140">
        <v>1.1927000000000001</v>
      </c>
      <c r="J140">
        <v>18.806000000000001</v>
      </c>
      <c r="K140">
        <v>2302.4499999999998</v>
      </c>
      <c r="L140">
        <v>0</v>
      </c>
    </row>
    <row r="141" spans="1:12" x14ac:dyDescent="0.35">
      <c r="A141" s="3" t="s">
        <v>332</v>
      </c>
      <c r="B141" s="1" t="str">
        <f t="shared" si="4"/>
        <v>Corumba IV</v>
      </c>
      <c r="C141" s="1">
        <f t="shared" si="5"/>
        <v>-2488</v>
      </c>
      <c r="D141">
        <v>0</v>
      </c>
      <c r="E141">
        <v>0</v>
      </c>
      <c r="F141">
        <v>0</v>
      </c>
      <c r="G141">
        <v>0.3629</v>
      </c>
      <c r="H141">
        <v>137.7311</v>
      </c>
      <c r="I141">
        <v>4.1147999999999998</v>
      </c>
      <c r="J141">
        <v>133.97909999999999</v>
      </c>
      <c r="K141">
        <v>0</v>
      </c>
      <c r="L141">
        <v>0</v>
      </c>
    </row>
    <row r="142" spans="1:12" x14ac:dyDescent="0.35">
      <c r="A142" s="3" t="s">
        <v>333</v>
      </c>
      <c r="B142" s="1" t="str">
        <f t="shared" si="4"/>
        <v>Lago Paranoa</v>
      </c>
      <c r="C142" s="1">
        <f t="shared" si="5"/>
        <v>-2488</v>
      </c>
      <c r="D142">
        <v>0</v>
      </c>
      <c r="E142">
        <v>2302.4499999999998</v>
      </c>
      <c r="F142">
        <v>0.3054</v>
      </c>
      <c r="G142">
        <v>5.7621000000000002</v>
      </c>
      <c r="H142">
        <v>12.539099999999999</v>
      </c>
      <c r="I142">
        <v>1.1631</v>
      </c>
      <c r="J142">
        <v>16.832699999999999</v>
      </c>
      <c r="K142">
        <v>2302.4499999999998</v>
      </c>
      <c r="L142">
        <v>0</v>
      </c>
    </row>
    <row r="143" spans="1:12" x14ac:dyDescent="0.35">
      <c r="A143" s="3" t="s">
        <v>334</v>
      </c>
      <c r="B143" s="1" t="str">
        <f t="shared" si="4"/>
        <v>Corumba IV</v>
      </c>
      <c r="C143" s="1">
        <f t="shared" si="5"/>
        <v>-2487</v>
      </c>
      <c r="D143">
        <v>0</v>
      </c>
      <c r="E143">
        <v>0</v>
      </c>
      <c r="F143">
        <v>0</v>
      </c>
      <c r="G143">
        <v>1.3170999999999999</v>
      </c>
      <c r="H143">
        <v>157.91069999999999</v>
      </c>
      <c r="I143">
        <v>3.7570999999999999</v>
      </c>
      <c r="J143">
        <v>155.47059999999999</v>
      </c>
      <c r="K143">
        <v>0</v>
      </c>
      <c r="L143">
        <v>0</v>
      </c>
    </row>
    <row r="144" spans="1:12" x14ac:dyDescent="0.35">
      <c r="A144" s="3" t="s">
        <v>335</v>
      </c>
      <c r="B144" s="1" t="str">
        <f t="shared" si="4"/>
        <v>Lago Paranoa</v>
      </c>
      <c r="C144" s="1">
        <f t="shared" si="5"/>
        <v>-2487</v>
      </c>
      <c r="D144">
        <v>0</v>
      </c>
      <c r="E144">
        <v>2302.4499999999998</v>
      </c>
      <c r="F144">
        <v>0.30570000000000003</v>
      </c>
      <c r="G144">
        <v>5.8182</v>
      </c>
      <c r="H144">
        <v>15.465299999999999</v>
      </c>
      <c r="I144">
        <v>1.0602</v>
      </c>
      <c r="J144">
        <v>19.9175</v>
      </c>
      <c r="K144">
        <v>2302.4499999999998</v>
      </c>
      <c r="L144">
        <v>0</v>
      </c>
    </row>
    <row r="145" spans="1:12" x14ac:dyDescent="0.35">
      <c r="A145" s="3" t="s">
        <v>336</v>
      </c>
      <c r="B145" s="1" t="str">
        <f t="shared" si="4"/>
        <v>Corumba IV</v>
      </c>
      <c r="C145" s="1">
        <f t="shared" si="5"/>
        <v>-2486</v>
      </c>
      <c r="D145">
        <v>0</v>
      </c>
      <c r="E145">
        <v>0</v>
      </c>
      <c r="F145">
        <v>0</v>
      </c>
      <c r="G145">
        <v>5.2615999999999996</v>
      </c>
      <c r="H145">
        <v>182.26859999999999</v>
      </c>
      <c r="I145">
        <v>3.7570999999999999</v>
      </c>
      <c r="J145">
        <v>183.773</v>
      </c>
      <c r="K145">
        <v>0</v>
      </c>
      <c r="L145">
        <v>0</v>
      </c>
    </row>
    <row r="146" spans="1:12" x14ac:dyDescent="0.35">
      <c r="A146" s="3" t="s">
        <v>337</v>
      </c>
      <c r="B146" s="1" t="str">
        <f t="shared" si="4"/>
        <v>Lago Paranoa</v>
      </c>
      <c r="C146" s="1">
        <f t="shared" si="5"/>
        <v>-2486</v>
      </c>
      <c r="D146">
        <v>0</v>
      </c>
      <c r="E146">
        <v>2302.4499999999998</v>
      </c>
      <c r="F146">
        <v>0.30599999999999999</v>
      </c>
      <c r="G146">
        <v>5.7630999999999997</v>
      </c>
      <c r="H146">
        <v>14.0998</v>
      </c>
      <c r="I146">
        <v>1.0602</v>
      </c>
      <c r="J146">
        <v>18.496600000000001</v>
      </c>
      <c r="K146">
        <v>2302.4499999999998</v>
      </c>
      <c r="L146">
        <v>0</v>
      </c>
    </row>
    <row r="147" spans="1:12" x14ac:dyDescent="0.35">
      <c r="A147" s="3" t="s">
        <v>338</v>
      </c>
      <c r="B147" s="1" t="str">
        <f t="shared" si="4"/>
        <v>Corumba IV</v>
      </c>
      <c r="C147" s="1">
        <f t="shared" si="5"/>
        <v>-2485</v>
      </c>
      <c r="D147">
        <v>0</v>
      </c>
      <c r="E147">
        <v>0</v>
      </c>
      <c r="F147">
        <v>0</v>
      </c>
      <c r="G147">
        <v>3.9472</v>
      </c>
      <c r="H147">
        <v>151.0514</v>
      </c>
      <c r="I147">
        <v>3.7570999999999999</v>
      </c>
      <c r="J147">
        <v>151.2415</v>
      </c>
      <c r="K147">
        <v>0</v>
      </c>
      <c r="L147">
        <v>0</v>
      </c>
    </row>
    <row r="148" spans="1:12" x14ac:dyDescent="0.35">
      <c r="A148" s="3" t="s">
        <v>339</v>
      </c>
      <c r="B148" s="1" t="str">
        <f t="shared" si="4"/>
        <v>Lago Paranoa</v>
      </c>
      <c r="C148" s="1">
        <f t="shared" si="5"/>
        <v>-2485</v>
      </c>
      <c r="D148">
        <v>0</v>
      </c>
      <c r="E148">
        <v>2302.4499999999998</v>
      </c>
      <c r="F148">
        <v>0.30630000000000002</v>
      </c>
      <c r="G148">
        <v>6.6764999999999999</v>
      </c>
      <c r="H148">
        <v>13.821099999999999</v>
      </c>
      <c r="I148">
        <v>1.0602</v>
      </c>
      <c r="J148">
        <v>19.1311</v>
      </c>
      <c r="K148">
        <v>2302.4499999999998</v>
      </c>
      <c r="L148">
        <v>0</v>
      </c>
    </row>
    <row r="149" spans="1:12" x14ac:dyDescent="0.35">
      <c r="A149" s="3" t="s">
        <v>340</v>
      </c>
      <c r="B149" s="1" t="str">
        <f t="shared" si="4"/>
        <v>Corumba IV</v>
      </c>
      <c r="C149" s="1">
        <f t="shared" si="5"/>
        <v>-2484</v>
      </c>
      <c r="D149">
        <v>0</v>
      </c>
      <c r="E149">
        <v>0</v>
      </c>
      <c r="F149">
        <v>0</v>
      </c>
      <c r="G149">
        <v>5.4424000000000001</v>
      </c>
      <c r="H149">
        <v>186.89789999999999</v>
      </c>
      <c r="I149">
        <v>3.5295999999999998</v>
      </c>
      <c r="J149">
        <v>188.81059999999999</v>
      </c>
      <c r="K149">
        <v>0</v>
      </c>
      <c r="L149">
        <v>0</v>
      </c>
    </row>
    <row r="150" spans="1:12" x14ac:dyDescent="0.35">
      <c r="A150" s="3" t="s">
        <v>341</v>
      </c>
      <c r="B150" s="1" t="str">
        <f t="shared" si="4"/>
        <v>Lago Paranoa</v>
      </c>
      <c r="C150" s="1">
        <f t="shared" si="5"/>
        <v>-2484</v>
      </c>
      <c r="D150">
        <v>0</v>
      </c>
      <c r="E150">
        <v>2302.4499999999998</v>
      </c>
      <c r="F150">
        <v>0.30669999999999997</v>
      </c>
      <c r="G150">
        <v>7.1875</v>
      </c>
      <c r="H150">
        <v>21.6676</v>
      </c>
      <c r="I150">
        <v>0.97699999999999998</v>
      </c>
      <c r="J150">
        <v>27.571400000000001</v>
      </c>
      <c r="K150">
        <v>2302.4499999999998</v>
      </c>
      <c r="L150">
        <v>0</v>
      </c>
    </row>
    <row r="151" spans="1:12" x14ac:dyDescent="0.35">
      <c r="A151" s="3" t="s">
        <v>342</v>
      </c>
      <c r="B151" s="1" t="str">
        <f t="shared" si="4"/>
        <v>Corumba IV</v>
      </c>
      <c r="C151" s="1">
        <f t="shared" si="5"/>
        <v>-2483</v>
      </c>
      <c r="D151">
        <v>0</v>
      </c>
      <c r="E151">
        <v>0</v>
      </c>
      <c r="F151">
        <v>0</v>
      </c>
      <c r="G151">
        <v>5.0579000000000001</v>
      </c>
      <c r="H151">
        <v>179.7362</v>
      </c>
      <c r="I151">
        <v>2.9609999999999999</v>
      </c>
      <c r="J151">
        <v>181.8331</v>
      </c>
      <c r="K151">
        <v>0</v>
      </c>
      <c r="L151">
        <v>0</v>
      </c>
    </row>
    <row r="152" spans="1:12" x14ac:dyDescent="0.35">
      <c r="A152" s="3" t="s">
        <v>343</v>
      </c>
      <c r="B152" s="1" t="str">
        <f t="shared" si="4"/>
        <v>Lago Paranoa</v>
      </c>
      <c r="C152" s="1">
        <f t="shared" si="5"/>
        <v>-2483</v>
      </c>
      <c r="D152">
        <v>0</v>
      </c>
      <c r="E152">
        <v>2302.4499999999998</v>
      </c>
      <c r="F152">
        <v>0.35539999999999999</v>
      </c>
      <c r="G152">
        <v>5.0044000000000004</v>
      </c>
      <c r="H152">
        <v>13.870900000000001</v>
      </c>
      <c r="I152">
        <v>0.76880000000000004</v>
      </c>
      <c r="J152">
        <v>17.751000000000001</v>
      </c>
      <c r="K152">
        <v>2302.4499999999998</v>
      </c>
      <c r="L152">
        <v>0</v>
      </c>
    </row>
    <row r="153" spans="1:12" x14ac:dyDescent="0.35">
      <c r="A153" s="3" t="s">
        <v>344</v>
      </c>
      <c r="B153" s="1" t="str">
        <f t="shared" si="4"/>
        <v>Corumba IV</v>
      </c>
      <c r="C153" s="1">
        <f t="shared" si="5"/>
        <v>-2482</v>
      </c>
      <c r="D153">
        <v>0</v>
      </c>
      <c r="E153">
        <v>0</v>
      </c>
      <c r="F153">
        <v>0</v>
      </c>
      <c r="G153">
        <v>3.7532000000000001</v>
      </c>
      <c r="H153">
        <v>149.01410000000001</v>
      </c>
      <c r="I153">
        <v>2.9609999999999999</v>
      </c>
      <c r="J153">
        <v>149.80629999999999</v>
      </c>
      <c r="K153">
        <v>0</v>
      </c>
      <c r="L153">
        <v>0</v>
      </c>
    </row>
    <row r="154" spans="1:12" x14ac:dyDescent="0.35">
      <c r="A154" s="3" t="s">
        <v>345</v>
      </c>
      <c r="B154" s="1" t="str">
        <f t="shared" si="4"/>
        <v>Lago Paranoa</v>
      </c>
      <c r="C154" s="1">
        <f t="shared" si="5"/>
        <v>-2482</v>
      </c>
      <c r="D154">
        <v>0</v>
      </c>
      <c r="E154">
        <v>2302.4499999999998</v>
      </c>
      <c r="F154">
        <v>0.35570000000000002</v>
      </c>
      <c r="G154">
        <v>4.6136999999999997</v>
      </c>
      <c r="H154">
        <v>12.527900000000001</v>
      </c>
      <c r="I154">
        <v>0.76880000000000004</v>
      </c>
      <c r="J154">
        <v>16.016999999999999</v>
      </c>
      <c r="K154">
        <v>2302.4499999999998</v>
      </c>
      <c r="L154">
        <v>0</v>
      </c>
    </row>
    <row r="155" spans="1:12" x14ac:dyDescent="0.35">
      <c r="A155" s="3" t="s">
        <v>346</v>
      </c>
      <c r="B155" s="1" t="str">
        <f t="shared" si="4"/>
        <v>Corumba IV</v>
      </c>
      <c r="C155" s="1">
        <f t="shared" si="5"/>
        <v>-2481</v>
      </c>
      <c r="D155">
        <v>0</v>
      </c>
      <c r="E155">
        <v>0</v>
      </c>
      <c r="F155">
        <v>0</v>
      </c>
      <c r="G155">
        <v>2.9455</v>
      </c>
      <c r="H155">
        <v>129.65700000000001</v>
      </c>
      <c r="I155">
        <v>2.9609999999999999</v>
      </c>
      <c r="J155">
        <v>129.64150000000001</v>
      </c>
      <c r="K155">
        <v>0</v>
      </c>
      <c r="L155">
        <v>0</v>
      </c>
    </row>
    <row r="156" spans="1:12" x14ac:dyDescent="0.35">
      <c r="A156" s="3" t="s">
        <v>347</v>
      </c>
      <c r="B156" s="1" t="str">
        <f t="shared" si="4"/>
        <v>Lago Paranoa</v>
      </c>
      <c r="C156" s="1">
        <f t="shared" si="5"/>
        <v>-2481</v>
      </c>
      <c r="D156">
        <v>0</v>
      </c>
      <c r="E156">
        <v>2302.4499999999998</v>
      </c>
      <c r="F156">
        <v>0.35610000000000003</v>
      </c>
      <c r="G156">
        <v>4.6135000000000002</v>
      </c>
      <c r="H156">
        <v>10.6829</v>
      </c>
      <c r="I156">
        <v>0.76880000000000004</v>
      </c>
      <c r="J156">
        <v>14.1715</v>
      </c>
      <c r="K156">
        <v>2302.4499999999998</v>
      </c>
      <c r="L156">
        <v>0</v>
      </c>
    </row>
    <row r="157" spans="1:12" x14ac:dyDescent="0.35">
      <c r="A157" s="3" t="s">
        <v>348</v>
      </c>
      <c r="B157" s="1" t="str">
        <f t="shared" si="4"/>
        <v>Corumba IV</v>
      </c>
      <c r="C157" s="1">
        <f t="shared" si="5"/>
        <v>-2480</v>
      </c>
      <c r="D157">
        <v>0</v>
      </c>
      <c r="E157">
        <v>0</v>
      </c>
      <c r="F157">
        <v>0</v>
      </c>
      <c r="G157">
        <v>1.4801</v>
      </c>
      <c r="H157">
        <v>98.159000000000006</v>
      </c>
      <c r="I157">
        <v>3.31</v>
      </c>
      <c r="J157">
        <v>96.3292</v>
      </c>
      <c r="K157">
        <v>0</v>
      </c>
      <c r="L157">
        <v>0</v>
      </c>
    </row>
    <row r="158" spans="1:12" x14ac:dyDescent="0.35">
      <c r="A158" s="3" t="s">
        <v>349</v>
      </c>
      <c r="B158" s="1" t="str">
        <f t="shared" si="4"/>
        <v>Lago Paranoa</v>
      </c>
      <c r="C158" s="1">
        <f t="shared" si="5"/>
        <v>-2480</v>
      </c>
      <c r="D158">
        <v>0</v>
      </c>
      <c r="E158">
        <v>2302.4499999999998</v>
      </c>
      <c r="F158">
        <v>0.35639999999999999</v>
      </c>
      <c r="G158">
        <v>4.2489999999999997</v>
      </c>
      <c r="H158">
        <v>9.6306999999999992</v>
      </c>
      <c r="I158">
        <v>0.83750000000000002</v>
      </c>
      <c r="J158">
        <v>12.6858</v>
      </c>
      <c r="K158">
        <v>2302.4499999999998</v>
      </c>
      <c r="L158">
        <v>0</v>
      </c>
    </row>
    <row r="159" spans="1:12" x14ac:dyDescent="0.35">
      <c r="A159" s="3" t="s">
        <v>350</v>
      </c>
      <c r="B159" s="1" t="str">
        <f t="shared" si="4"/>
        <v>Corumba IV</v>
      </c>
      <c r="C159" s="1">
        <f t="shared" si="5"/>
        <v>-2479</v>
      </c>
      <c r="D159">
        <v>0</v>
      </c>
      <c r="E159">
        <v>0</v>
      </c>
      <c r="F159">
        <v>0</v>
      </c>
      <c r="G159">
        <v>0.69540000000000002</v>
      </c>
      <c r="H159">
        <v>85.418499999999995</v>
      </c>
      <c r="I159">
        <v>3.5207999999999999</v>
      </c>
      <c r="J159">
        <v>82.593100000000007</v>
      </c>
      <c r="K159">
        <v>0</v>
      </c>
      <c r="L159">
        <v>0</v>
      </c>
    </row>
    <row r="160" spans="1:12" x14ac:dyDescent="0.35">
      <c r="A160" s="3" t="s">
        <v>351</v>
      </c>
      <c r="B160" s="1" t="str">
        <f t="shared" si="4"/>
        <v>Lago Paranoa</v>
      </c>
      <c r="C160" s="1">
        <f t="shared" si="5"/>
        <v>-2479</v>
      </c>
      <c r="D160">
        <v>0</v>
      </c>
      <c r="E160">
        <v>2302.4499999999998</v>
      </c>
      <c r="F160">
        <v>0.33789999999999998</v>
      </c>
      <c r="G160">
        <v>3.4165000000000001</v>
      </c>
      <c r="H160">
        <v>9.2803000000000004</v>
      </c>
      <c r="I160">
        <v>0.97460000000000002</v>
      </c>
      <c r="J160">
        <v>11.3843</v>
      </c>
      <c r="K160">
        <v>2302.4499999999998</v>
      </c>
      <c r="L160">
        <v>0</v>
      </c>
    </row>
    <row r="161" spans="1:12" x14ac:dyDescent="0.35">
      <c r="A161" s="3" t="s">
        <v>352</v>
      </c>
      <c r="B161" s="1" t="str">
        <f t="shared" si="4"/>
        <v>Corumba IV</v>
      </c>
      <c r="C161" s="1">
        <f t="shared" si="5"/>
        <v>-2478</v>
      </c>
      <c r="D161">
        <v>0</v>
      </c>
      <c r="E161">
        <v>0</v>
      </c>
      <c r="F161">
        <v>0</v>
      </c>
      <c r="G161">
        <v>0.62629999999999997</v>
      </c>
      <c r="H161">
        <v>76.2834</v>
      </c>
      <c r="I161">
        <v>3.9243999999999999</v>
      </c>
      <c r="J161">
        <v>72.985399999999998</v>
      </c>
      <c r="K161">
        <v>0</v>
      </c>
      <c r="L161">
        <v>0</v>
      </c>
    </row>
    <row r="162" spans="1:12" x14ac:dyDescent="0.35">
      <c r="A162" s="3" t="s">
        <v>353</v>
      </c>
      <c r="B162" s="1" t="str">
        <f t="shared" si="4"/>
        <v>Lago Paranoa</v>
      </c>
      <c r="C162" s="1">
        <f t="shared" si="5"/>
        <v>-2478</v>
      </c>
      <c r="D162">
        <v>0</v>
      </c>
      <c r="E162">
        <v>2302.4499999999998</v>
      </c>
      <c r="F162">
        <v>0.3382</v>
      </c>
      <c r="G162">
        <v>3.5655000000000001</v>
      </c>
      <c r="H162">
        <v>8.9808000000000003</v>
      </c>
      <c r="I162">
        <v>0.99870000000000003</v>
      </c>
      <c r="J162">
        <v>11.2094</v>
      </c>
      <c r="K162">
        <v>2302.4499999999998</v>
      </c>
      <c r="L162">
        <v>0</v>
      </c>
    </row>
    <row r="163" spans="1:12" x14ac:dyDescent="0.35">
      <c r="A163" s="3" t="s">
        <v>354</v>
      </c>
      <c r="B163" s="1" t="str">
        <f t="shared" si="4"/>
        <v>Corumba IV</v>
      </c>
      <c r="C163" s="1">
        <f t="shared" si="5"/>
        <v>-2477</v>
      </c>
      <c r="D163">
        <v>0</v>
      </c>
      <c r="E163">
        <v>0</v>
      </c>
      <c r="F163">
        <v>0</v>
      </c>
      <c r="G163">
        <v>0.38269999999999998</v>
      </c>
      <c r="H163">
        <v>70.828999999999994</v>
      </c>
      <c r="I163">
        <v>3.9243999999999999</v>
      </c>
      <c r="J163">
        <v>67.287400000000005</v>
      </c>
      <c r="K163">
        <v>0</v>
      </c>
      <c r="L163">
        <v>0</v>
      </c>
    </row>
    <row r="164" spans="1:12" x14ac:dyDescent="0.35">
      <c r="A164" s="3" t="s">
        <v>355</v>
      </c>
      <c r="B164" s="1" t="str">
        <f t="shared" si="4"/>
        <v>Lago Paranoa</v>
      </c>
      <c r="C164" s="1">
        <f t="shared" si="5"/>
        <v>-2477</v>
      </c>
      <c r="D164">
        <v>0</v>
      </c>
      <c r="E164">
        <v>2302.4499999999998</v>
      </c>
      <c r="F164">
        <v>0.33850000000000002</v>
      </c>
      <c r="G164">
        <v>3.4618000000000002</v>
      </c>
      <c r="H164">
        <v>7.5006000000000004</v>
      </c>
      <c r="I164">
        <v>0.99870000000000003</v>
      </c>
      <c r="J164">
        <v>9.6250999999999998</v>
      </c>
      <c r="K164">
        <v>2302.4499999999998</v>
      </c>
      <c r="L164">
        <v>0</v>
      </c>
    </row>
    <row r="165" spans="1:12" x14ac:dyDescent="0.35">
      <c r="A165" s="3" t="s">
        <v>356</v>
      </c>
      <c r="B165" s="1" t="str">
        <f t="shared" si="4"/>
        <v>Corumba IV</v>
      </c>
      <c r="C165" s="1">
        <f t="shared" si="5"/>
        <v>-2476</v>
      </c>
      <c r="D165">
        <v>0</v>
      </c>
      <c r="E165">
        <v>0</v>
      </c>
      <c r="F165">
        <v>0</v>
      </c>
      <c r="G165">
        <v>0.50409999999999999</v>
      </c>
      <c r="H165">
        <v>69.939899999999994</v>
      </c>
      <c r="I165">
        <v>3.9243999999999999</v>
      </c>
      <c r="J165">
        <v>66.519599999999997</v>
      </c>
      <c r="K165">
        <v>0</v>
      </c>
      <c r="L165">
        <v>0</v>
      </c>
    </row>
    <row r="166" spans="1:12" x14ac:dyDescent="0.35">
      <c r="A166" s="3" t="s">
        <v>357</v>
      </c>
      <c r="B166" s="1" t="str">
        <f t="shared" si="4"/>
        <v>Lago Paranoa</v>
      </c>
      <c r="C166" s="1">
        <f t="shared" si="5"/>
        <v>-2476</v>
      </c>
      <c r="D166">
        <v>0</v>
      </c>
      <c r="E166">
        <v>2302.4499999999998</v>
      </c>
      <c r="F166">
        <v>0.33879999999999999</v>
      </c>
      <c r="G166">
        <v>3.3020999999999998</v>
      </c>
      <c r="H166">
        <v>7.0541999999999998</v>
      </c>
      <c r="I166">
        <v>0.99870000000000003</v>
      </c>
      <c r="J166">
        <v>9.0188000000000006</v>
      </c>
      <c r="K166">
        <v>2302.4499999999998</v>
      </c>
      <c r="L166">
        <v>0</v>
      </c>
    </row>
    <row r="167" spans="1:12" x14ac:dyDescent="0.35">
      <c r="A167" s="3" t="s">
        <v>358</v>
      </c>
      <c r="B167" s="1" t="str">
        <f t="shared" si="4"/>
        <v>Corumba IV</v>
      </c>
      <c r="C167" s="1">
        <f t="shared" si="5"/>
        <v>-2475</v>
      </c>
      <c r="D167">
        <v>0</v>
      </c>
      <c r="E167">
        <v>0</v>
      </c>
      <c r="F167">
        <v>0</v>
      </c>
      <c r="G167">
        <v>0.3629</v>
      </c>
      <c r="H167">
        <v>66.988500000000002</v>
      </c>
      <c r="I167">
        <v>4.2992999999999997</v>
      </c>
      <c r="J167">
        <v>63.052100000000003</v>
      </c>
      <c r="K167">
        <v>0</v>
      </c>
      <c r="L167">
        <v>0</v>
      </c>
    </row>
    <row r="168" spans="1:12" x14ac:dyDescent="0.35">
      <c r="A168" s="3" t="s">
        <v>359</v>
      </c>
      <c r="B168" s="1" t="str">
        <f t="shared" si="4"/>
        <v>Lago Paranoa</v>
      </c>
      <c r="C168" s="1">
        <f t="shared" si="5"/>
        <v>-2475</v>
      </c>
      <c r="D168">
        <v>0</v>
      </c>
      <c r="E168">
        <v>2302.4499999999998</v>
      </c>
      <c r="F168">
        <v>0.40600000000000003</v>
      </c>
      <c r="G168">
        <v>2.9319000000000002</v>
      </c>
      <c r="H168">
        <v>6.5252999999999997</v>
      </c>
      <c r="I168">
        <v>1.0036</v>
      </c>
      <c r="J168">
        <v>8.0475999999999992</v>
      </c>
      <c r="K168">
        <v>2302.4499999999998</v>
      </c>
      <c r="L168">
        <v>0</v>
      </c>
    </row>
    <row r="169" spans="1:12" x14ac:dyDescent="0.35">
      <c r="A169" s="3" t="s">
        <v>360</v>
      </c>
      <c r="B169" s="1" t="str">
        <f t="shared" si="4"/>
        <v>Corumba IV</v>
      </c>
      <c r="C169" s="1">
        <f t="shared" si="5"/>
        <v>-2474</v>
      </c>
      <c r="D169">
        <v>0</v>
      </c>
      <c r="E169">
        <v>0</v>
      </c>
      <c r="F169">
        <v>0</v>
      </c>
      <c r="G169">
        <v>0.3629</v>
      </c>
      <c r="H169">
        <v>62.530200000000001</v>
      </c>
      <c r="I169">
        <v>4.4827000000000004</v>
      </c>
      <c r="J169">
        <v>58.410299999999999</v>
      </c>
      <c r="K169">
        <v>0</v>
      </c>
      <c r="L169">
        <v>0</v>
      </c>
    </row>
    <row r="170" spans="1:12" x14ac:dyDescent="0.35">
      <c r="A170" s="3" t="s">
        <v>361</v>
      </c>
      <c r="B170" s="1" t="str">
        <f t="shared" si="4"/>
        <v>Lago Paranoa</v>
      </c>
      <c r="C170" s="1">
        <f t="shared" si="5"/>
        <v>-2474</v>
      </c>
      <c r="D170">
        <v>0</v>
      </c>
      <c r="E170">
        <v>2302.4499999999998</v>
      </c>
      <c r="F170">
        <v>0.40629999999999999</v>
      </c>
      <c r="G170">
        <v>2.8380000000000001</v>
      </c>
      <c r="H170">
        <v>6.3174999999999999</v>
      </c>
      <c r="I170">
        <v>0.92759999999999998</v>
      </c>
      <c r="J170">
        <v>7.8215000000000003</v>
      </c>
      <c r="K170">
        <v>2302.4499999999998</v>
      </c>
      <c r="L170">
        <v>0</v>
      </c>
    </row>
    <row r="171" spans="1:12" x14ac:dyDescent="0.35">
      <c r="A171" s="3" t="s">
        <v>362</v>
      </c>
      <c r="B171" s="1" t="str">
        <f t="shared" si="4"/>
        <v>Corumba IV</v>
      </c>
      <c r="C171" s="1">
        <f t="shared" si="5"/>
        <v>-2473</v>
      </c>
      <c r="D171">
        <v>0</v>
      </c>
      <c r="E171">
        <v>0</v>
      </c>
      <c r="F171">
        <v>0</v>
      </c>
      <c r="G171">
        <v>0.3629</v>
      </c>
      <c r="H171">
        <v>56.719099999999997</v>
      </c>
      <c r="I171">
        <v>4.4095000000000004</v>
      </c>
      <c r="J171">
        <v>52.672499999999999</v>
      </c>
      <c r="K171">
        <v>0</v>
      </c>
      <c r="L171">
        <v>0</v>
      </c>
    </row>
    <row r="172" spans="1:12" x14ac:dyDescent="0.35">
      <c r="A172" s="3" t="s">
        <v>363</v>
      </c>
      <c r="B172" s="1" t="str">
        <f t="shared" si="4"/>
        <v>Lago Paranoa</v>
      </c>
      <c r="C172" s="1">
        <f t="shared" si="5"/>
        <v>-2473</v>
      </c>
      <c r="D172">
        <v>0</v>
      </c>
      <c r="E172">
        <v>2302.4499999999998</v>
      </c>
      <c r="F172">
        <v>0.40670000000000001</v>
      </c>
      <c r="G172">
        <v>2.7999000000000001</v>
      </c>
      <c r="H172">
        <v>6.1311</v>
      </c>
      <c r="I172">
        <v>0.86799999999999999</v>
      </c>
      <c r="J172">
        <v>7.6562999999999999</v>
      </c>
      <c r="K172">
        <v>2302.4499999999998</v>
      </c>
      <c r="L172">
        <v>0</v>
      </c>
    </row>
    <row r="173" spans="1:12" x14ac:dyDescent="0.35">
      <c r="A173" s="3" t="s">
        <v>364</v>
      </c>
      <c r="B173" s="1" t="str">
        <f t="shared" si="4"/>
        <v>Corumba IV</v>
      </c>
      <c r="C173" s="1">
        <f t="shared" si="5"/>
        <v>-2472</v>
      </c>
      <c r="D173">
        <v>0</v>
      </c>
      <c r="E173">
        <v>0</v>
      </c>
      <c r="F173">
        <v>0</v>
      </c>
      <c r="G173">
        <v>0.3629</v>
      </c>
      <c r="H173">
        <v>53.790999999999997</v>
      </c>
      <c r="I173">
        <v>4.4095000000000004</v>
      </c>
      <c r="J173">
        <v>49.744399999999999</v>
      </c>
      <c r="K173">
        <v>0</v>
      </c>
      <c r="L173">
        <v>0</v>
      </c>
    </row>
    <row r="174" spans="1:12" x14ac:dyDescent="0.35">
      <c r="A174" s="3" t="s">
        <v>365</v>
      </c>
      <c r="B174" s="1" t="str">
        <f t="shared" si="4"/>
        <v>Lago Paranoa</v>
      </c>
      <c r="C174" s="1">
        <f t="shared" si="5"/>
        <v>-2472</v>
      </c>
      <c r="D174">
        <v>0</v>
      </c>
      <c r="E174">
        <v>2302.4499999999998</v>
      </c>
      <c r="F174">
        <v>0.40699999999999997</v>
      </c>
      <c r="G174">
        <v>2.73</v>
      </c>
      <c r="H174">
        <v>5.9333</v>
      </c>
      <c r="I174">
        <v>0.86799999999999999</v>
      </c>
      <c r="J174">
        <v>7.3882000000000003</v>
      </c>
      <c r="K174">
        <v>2302.4499999999998</v>
      </c>
      <c r="L174">
        <v>0</v>
      </c>
    </row>
    <row r="175" spans="1:12" x14ac:dyDescent="0.35">
      <c r="A175" s="3" t="s">
        <v>366</v>
      </c>
      <c r="B175" s="1" t="str">
        <f t="shared" si="4"/>
        <v>Corumba IV</v>
      </c>
      <c r="C175" s="1">
        <f t="shared" si="5"/>
        <v>-2471</v>
      </c>
      <c r="D175">
        <v>0</v>
      </c>
      <c r="E175">
        <v>0</v>
      </c>
      <c r="F175">
        <v>0</v>
      </c>
      <c r="G175">
        <v>0.3629</v>
      </c>
      <c r="H175">
        <v>56.298200000000001</v>
      </c>
      <c r="I175">
        <v>4.0750000000000002</v>
      </c>
      <c r="J175">
        <v>52.586100000000002</v>
      </c>
      <c r="K175">
        <v>0</v>
      </c>
      <c r="L175">
        <v>0</v>
      </c>
    </row>
    <row r="176" spans="1:12" x14ac:dyDescent="0.35">
      <c r="A176" s="3" t="s">
        <v>367</v>
      </c>
      <c r="B176" s="1" t="str">
        <f t="shared" si="4"/>
        <v>Lago Paranoa</v>
      </c>
      <c r="C176" s="1">
        <f t="shared" si="5"/>
        <v>-2471</v>
      </c>
      <c r="D176">
        <v>0</v>
      </c>
      <c r="E176">
        <v>2302.4499999999998</v>
      </c>
      <c r="F176">
        <v>0.4073</v>
      </c>
      <c r="G176">
        <v>2.9287999999999998</v>
      </c>
      <c r="H176">
        <v>6.9198000000000004</v>
      </c>
      <c r="I176">
        <v>0.84130000000000005</v>
      </c>
      <c r="J176">
        <v>8.5998999999999999</v>
      </c>
      <c r="K176">
        <v>2302.4499999999998</v>
      </c>
      <c r="L176">
        <v>0</v>
      </c>
    </row>
    <row r="177" spans="1:12" x14ac:dyDescent="0.35">
      <c r="A177" s="3" t="s">
        <v>368</v>
      </c>
      <c r="B177" s="1" t="str">
        <f t="shared" si="4"/>
        <v>Corumba IV</v>
      </c>
      <c r="C177" s="1">
        <f t="shared" si="5"/>
        <v>-2470</v>
      </c>
      <c r="D177">
        <v>0</v>
      </c>
      <c r="E177">
        <v>0</v>
      </c>
      <c r="F177">
        <v>0</v>
      </c>
      <c r="G177">
        <v>0.3629</v>
      </c>
      <c r="H177">
        <v>50.552199999999999</v>
      </c>
      <c r="I177">
        <v>3.4424999999999999</v>
      </c>
      <c r="J177">
        <v>47.4726</v>
      </c>
      <c r="K177">
        <v>0</v>
      </c>
      <c r="L177">
        <v>0</v>
      </c>
    </row>
    <row r="178" spans="1:12" x14ac:dyDescent="0.35">
      <c r="A178" s="3" t="s">
        <v>369</v>
      </c>
      <c r="B178" s="1" t="str">
        <f t="shared" si="4"/>
        <v>Lago Paranoa</v>
      </c>
      <c r="C178" s="1">
        <f t="shared" si="5"/>
        <v>-2470</v>
      </c>
      <c r="D178">
        <v>0</v>
      </c>
      <c r="E178">
        <v>2302.4499999999998</v>
      </c>
      <c r="F178">
        <v>0.4234</v>
      </c>
      <c r="G178">
        <v>2.9516</v>
      </c>
      <c r="H178">
        <v>6.4268000000000001</v>
      </c>
      <c r="I178">
        <v>0.82899999999999996</v>
      </c>
      <c r="J178">
        <v>8.1258999999999997</v>
      </c>
      <c r="K178">
        <v>2302.4499999999998</v>
      </c>
      <c r="L178">
        <v>0</v>
      </c>
    </row>
    <row r="179" spans="1:12" x14ac:dyDescent="0.35">
      <c r="A179" s="3" t="s">
        <v>370</v>
      </c>
      <c r="B179" s="1" t="str">
        <f t="shared" si="4"/>
        <v>Corumba IV</v>
      </c>
      <c r="C179" s="1">
        <f t="shared" si="5"/>
        <v>-2469</v>
      </c>
      <c r="D179">
        <v>0</v>
      </c>
      <c r="E179">
        <v>0</v>
      </c>
      <c r="F179">
        <v>0</v>
      </c>
      <c r="G179">
        <v>0.3629</v>
      </c>
      <c r="H179">
        <v>46.207599999999999</v>
      </c>
      <c r="I179">
        <v>4.6647999999999996</v>
      </c>
      <c r="J179">
        <v>41.9056</v>
      </c>
      <c r="K179">
        <v>0</v>
      </c>
      <c r="L179">
        <v>0</v>
      </c>
    </row>
    <row r="180" spans="1:12" x14ac:dyDescent="0.35">
      <c r="A180" s="3" t="s">
        <v>371</v>
      </c>
      <c r="B180" s="1" t="str">
        <f t="shared" si="4"/>
        <v>Lago Paranoa</v>
      </c>
      <c r="C180" s="1">
        <f t="shared" si="5"/>
        <v>-2469</v>
      </c>
      <c r="D180">
        <v>0</v>
      </c>
      <c r="E180">
        <v>2302.4499999999998</v>
      </c>
      <c r="F180">
        <v>0.4234</v>
      </c>
      <c r="G180">
        <v>2.9024000000000001</v>
      </c>
      <c r="H180">
        <v>6.2332000000000001</v>
      </c>
      <c r="I180">
        <v>1.1564000000000001</v>
      </c>
      <c r="J180">
        <v>7.5557999999999996</v>
      </c>
      <c r="K180">
        <v>2302.4499999999998</v>
      </c>
      <c r="L180">
        <v>0</v>
      </c>
    </row>
    <row r="181" spans="1:12" x14ac:dyDescent="0.35">
      <c r="A181" s="3" t="s">
        <v>372</v>
      </c>
      <c r="B181" s="1" t="str">
        <f t="shared" si="4"/>
        <v>Corumba IV</v>
      </c>
      <c r="C181" s="1">
        <f t="shared" si="5"/>
        <v>-2468</v>
      </c>
      <c r="D181">
        <v>0</v>
      </c>
      <c r="E181">
        <v>0</v>
      </c>
      <c r="F181">
        <v>0</v>
      </c>
      <c r="G181">
        <v>0.3629</v>
      </c>
      <c r="H181">
        <v>43.167700000000004</v>
      </c>
      <c r="I181">
        <v>4.6647999999999996</v>
      </c>
      <c r="J181">
        <v>38.865699999999997</v>
      </c>
      <c r="K181">
        <v>0</v>
      </c>
      <c r="L181">
        <v>0</v>
      </c>
    </row>
    <row r="182" spans="1:12" x14ac:dyDescent="0.35">
      <c r="A182" s="3" t="s">
        <v>373</v>
      </c>
      <c r="B182" s="1" t="str">
        <f t="shared" si="4"/>
        <v>Lago Paranoa</v>
      </c>
      <c r="C182" s="1">
        <f t="shared" si="5"/>
        <v>-2468</v>
      </c>
      <c r="D182">
        <v>0</v>
      </c>
      <c r="E182">
        <v>2302.4499999999998</v>
      </c>
      <c r="F182">
        <v>0.4234</v>
      </c>
      <c r="G182">
        <v>2.6737000000000002</v>
      </c>
      <c r="H182">
        <v>5.6604999999999999</v>
      </c>
      <c r="I182">
        <v>1.1564000000000001</v>
      </c>
      <c r="J182">
        <v>6.7545000000000002</v>
      </c>
      <c r="K182">
        <v>2302.4499999999998</v>
      </c>
      <c r="L182">
        <v>0</v>
      </c>
    </row>
    <row r="183" spans="1:12" x14ac:dyDescent="0.35">
      <c r="A183" s="3" t="s">
        <v>374</v>
      </c>
      <c r="B183" s="1" t="str">
        <f t="shared" si="4"/>
        <v>Corumba IV</v>
      </c>
      <c r="C183" s="1">
        <f t="shared" si="5"/>
        <v>-2467</v>
      </c>
      <c r="D183">
        <v>0</v>
      </c>
      <c r="E183">
        <v>0</v>
      </c>
      <c r="F183">
        <v>0</v>
      </c>
      <c r="G183">
        <v>0.3629</v>
      </c>
      <c r="H183">
        <v>41.049300000000002</v>
      </c>
      <c r="I183">
        <v>4.6647999999999996</v>
      </c>
      <c r="J183">
        <v>36.747399999999999</v>
      </c>
      <c r="K183">
        <v>0</v>
      </c>
      <c r="L183">
        <v>0</v>
      </c>
    </row>
    <row r="184" spans="1:12" x14ac:dyDescent="0.35">
      <c r="A184" s="3" t="s">
        <v>375</v>
      </c>
      <c r="B184" s="1" t="str">
        <f t="shared" si="4"/>
        <v>Lago Paranoa</v>
      </c>
      <c r="C184" s="1">
        <f t="shared" si="5"/>
        <v>-2467</v>
      </c>
      <c r="D184">
        <v>0</v>
      </c>
      <c r="E184">
        <v>2302.4499999999998</v>
      </c>
      <c r="F184">
        <v>0.4234</v>
      </c>
      <c r="G184">
        <v>2.3485999999999998</v>
      </c>
      <c r="H184">
        <v>5.5815000000000001</v>
      </c>
      <c r="I184">
        <v>1.1564000000000001</v>
      </c>
      <c r="J184">
        <v>6.3503999999999996</v>
      </c>
      <c r="K184">
        <v>2302.4499999999998</v>
      </c>
      <c r="L184">
        <v>0</v>
      </c>
    </row>
    <row r="185" spans="1:12" x14ac:dyDescent="0.35">
      <c r="A185" s="3" t="s">
        <v>376</v>
      </c>
      <c r="B185" s="1" t="str">
        <f t="shared" si="4"/>
        <v>Corumba IV</v>
      </c>
      <c r="C185" s="1">
        <f t="shared" si="5"/>
        <v>-2466</v>
      </c>
      <c r="D185">
        <v>0</v>
      </c>
      <c r="E185">
        <v>0</v>
      </c>
      <c r="F185">
        <v>0</v>
      </c>
      <c r="G185">
        <v>0.3629</v>
      </c>
      <c r="H185">
        <v>38.033999999999999</v>
      </c>
      <c r="I185">
        <v>5.8029000000000002</v>
      </c>
      <c r="J185">
        <v>32.594000000000001</v>
      </c>
      <c r="K185">
        <v>0</v>
      </c>
      <c r="L185">
        <v>0</v>
      </c>
    </row>
    <row r="186" spans="1:12" x14ac:dyDescent="0.35">
      <c r="A186" s="3" t="s">
        <v>377</v>
      </c>
      <c r="B186" s="1" t="str">
        <f t="shared" si="4"/>
        <v>Lago Paranoa</v>
      </c>
      <c r="C186" s="1">
        <f t="shared" si="5"/>
        <v>-2466</v>
      </c>
      <c r="D186">
        <v>0</v>
      </c>
      <c r="E186">
        <v>2302.4499999999998</v>
      </c>
      <c r="F186">
        <v>0.4234</v>
      </c>
      <c r="G186">
        <v>2.2385999999999999</v>
      </c>
      <c r="H186">
        <v>5.5239000000000003</v>
      </c>
      <c r="I186">
        <v>1.4234</v>
      </c>
      <c r="J186">
        <v>5.9157999999999999</v>
      </c>
      <c r="K186">
        <v>2302.4499999999998</v>
      </c>
      <c r="L186">
        <v>0</v>
      </c>
    </row>
    <row r="187" spans="1:12" x14ac:dyDescent="0.35">
      <c r="A187" s="3" t="s">
        <v>378</v>
      </c>
      <c r="B187" s="1" t="str">
        <f t="shared" si="4"/>
        <v>Corumba IV</v>
      </c>
      <c r="C187" s="1">
        <f t="shared" si="5"/>
        <v>-2465</v>
      </c>
      <c r="D187">
        <v>0</v>
      </c>
      <c r="E187">
        <v>0</v>
      </c>
      <c r="F187">
        <v>0</v>
      </c>
      <c r="G187">
        <v>0.3629</v>
      </c>
      <c r="H187">
        <v>35.522500000000001</v>
      </c>
      <c r="I187">
        <v>5.9926000000000004</v>
      </c>
      <c r="J187">
        <v>29.892800000000001</v>
      </c>
      <c r="K187">
        <v>0</v>
      </c>
      <c r="L187">
        <v>0</v>
      </c>
    </row>
    <row r="188" spans="1:12" x14ac:dyDescent="0.35">
      <c r="A188" s="3" t="s">
        <v>379</v>
      </c>
      <c r="B188" s="1" t="str">
        <f t="shared" si="4"/>
        <v>Lago Paranoa</v>
      </c>
      <c r="C188" s="1">
        <f t="shared" si="5"/>
        <v>-2465</v>
      </c>
      <c r="D188">
        <v>0</v>
      </c>
      <c r="E188">
        <v>2302.4499999999998</v>
      </c>
      <c r="F188">
        <v>0.4234</v>
      </c>
      <c r="G188">
        <v>2.4123000000000001</v>
      </c>
      <c r="H188">
        <v>5.3757000000000001</v>
      </c>
      <c r="I188">
        <v>1.4679</v>
      </c>
      <c r="J188">
        <v>5.8967000000000001</v>
      </c>
      <c r="K188">
        <v>2302.4499999999998</v>
      </c>
      <c r="L188">
        <v>0</v>
      </c>
    </row>
    <row r="189" spans="1:12" x14ac:dyDescent="0.35">
      <c r="A189" s="3" t="s">
        <v>380</v>
      </c>
      <c r="B189" s="1" t="str">
        <f t="shared" si="4"/>
        <v>Corumba IV</v>
      </c>
      <c r="C189" s="1">
        <f t="shared" si="5"/>
        <v>-2464</v>
      </c>
      <c r="D189">
        <v>0</v>
      </c>
      <c r="E189">
        <v>0</v>
      </c>
      <c r="F189">
        <v>0</v>
      </c>
      <c r="G189">
        <v>0.3629</v>
      </c>
      <c r="H189">
        <v>33.424700000000001</v>
      </c>
      <c r="I189">
        <v>5.9926000000000004</v>
      </c>
      <c r="J189">
        <v>27.795000000000002</v>
      </c>
      <c r="K189">
        <v>0</v>
      </c>
      <c r="L189">
        <v>0</v>
      </c>
    </row>
    <row r="190" spans="1:12" x14ac:dyDescent="0.35">
      <c r="A190" s="3" t="s">
        <v>381</v>
      </c>
      <c r="B190" s="1" t="str">
        <f t="shared" si="4"/>
        <v>Lago Paranoa</v>
      </c>
      <c r="C190" s="1">
        <f t="shared" si="5"/>
        <v>-2464</v>
      </c>
      <c r="D190">
        <v>0</v>
      </c>
      <c r="E190">
        <v>2302.4499999999998</v>
      </c>
      <c r="F190">
        <v>0.4234</v>
      </c>
      <c r="G190">
        <v>2.4563000000000001</v>
      </c>
      <c r="H190">
        <v>5.2343000000000002</v>
      </c>
      <c r="I190">
        <v>1.4679</v>
      </c>
      <c r="J190">
        <v>5.7992999999999997</v>
      </c>
      <c r="K190">
        <v>2302.4499999999998</v>
      </c>
      <c r="L190">
        <v>0</v>
      </c>
    </row>
    <row r="191" spans="1:12" x14ac:dyDescent="0.35">
      <c r="A191" s="3" t="s">
        <v>382</v>
      </c>
      <c r="B191" s="1" t="str">
        <f t="shared" si="4"/>
        <v>Corumba IV</v>
      </c>
      <c r="C191" s="1">
        <f t="shared" si="5"/>
        <v>-2463</v>
      </c>
      <c r="D191">
        <v>0</v>
      </c>
      <c r="E191">
        <v>0</v>
      </c>
      <c r="F191">
        <v>0</v>
      </c>
      <c r="G191">
        <v>0.3629</v>
      </c>
      <c r="H191">
        <v>31.653500000000001</v>
      </c>
      <c r="I191">
        <v>5.9926000000000004</v>
      </c>
      <c r="J191">
        <v>26.023800000000001</v>
      </c>
      <c r="K191">
        <v>0</v>
      </c>
      <c r="L191">
        <v>0</v>
      </c>
    </row>
    <row r="192" spans="1:12" x14ac:dyDescent="0.35">
      <c r="A192" s="3" t="s">
        <v>383</v>
      </c>
      <c r="B192" s="1" t="str">
        <f t="shared" si="4"/>
        <v>Lago Paranoa</v>
      </c>
      <c r="C192" s="1">
        <f t="shared" si="5"/>
        <v>-2463</v>
      </c>
      <c r="D192">
        <v>0</v>
      </c>
      <c r="E192">
        <v>2302.4499999999998</v>
      </c>
      <c r="F192">
        <v>0.4234</v>
      </c>
      <c r="G192">
        <v>2.4329999999999998</v>
      </c>
      <c r="H192">
        <v>5.1520000000000001</v>
      </c>
      <c r="I192">
        <v>1.4679</v>
      </c>
      <c r="J192">
        <v>5.6936999999999998</v>
      </c>
      <c r="K192">
        <v>2302.4499999999998</v>
      </c>
      <c r="L192">
        <v>0</v>
      </c>
    </row>
    <row r="193" spans="1:12" x14ac:dyDescent="0.35">
      <c r="A193" s="3" t="s">
        <v>384</v>
      </c>
      <c r="B193" s="1" t="str">
        <f t="shared" si="4"/>
        <v>Corumba IV</v>
      </c>
      <c r="C193" s="1">
        <f t="shared" si="5"/>
        <v>-2462</v>
      </c>
      <c r="D193">
        <v>0</v>
      </c>
      <c r="E193">
        <v>0</v>
      </c>
      <c r="F193">
        <v>0</v>
      </c>
      <c r="G193">
        <v>0.3629</v>
      </c>
      <c r="H193">
        <v>30.264199999999999</v>
      </c>
      <c r="I193">
        <v>6.1775000000000002</v>
      </c>
      <c r="J193">
        <v>24.4496</v>
      </c>
      <c r="K193">
        <v>0</v>
      </c>
      <c r="L193">
        <v>0</v>
      </c>
    </row>
    <row r="194" spans="1:12" x14ac:dyDescent="0.35">
      <c r="A194" s="3" t="s">
        <v>385</v>
      </c>
      <c r="B194" s="1" t="str">
        <f t="shared" si="4"/>
        <v>Lago Paranoa</v>
      </c>
      <c r="C194" s="1">
        <f t="shared" si="5"/>
        <v>-2462</v>
      </c>
      <c r="D194">
        <v>0</v>
      </c>
      <c r="E194">
        <v>2302.4499999999998</v>
      </c>
      <c r="F194">
        <v>0.4234</v>
      </c>
      <c r="G194">
        <v>2.4691000000000001</v>
      </c>
      <c r="H194">
        <v>5.2054999999999998</v>
      </c>
      <c r="I194">
        <v>1.4944</v>
      </c>
      <c r="J194">
        <v>5.7568000000000001</v>
      </c>
      <c r="K194">
        <v>2302.4499999999998</v>
      </c>
      <c r="L194">
        <v>0</v>
      </c>
    </row>
    <row r="195" spans="1:12" x14ac:dyDescent="0.35">
      <c r="A195" s="3" t="s">
        <v>386</v>
      </c>
      <c r="B195" s="1" t="str">
        <f t="shared" ref="B195:B258" si="6">_xlfn.TEXTBEFORE(_xlfn.TEXTAFTER(A195,"["),"]")</f>
        <v>Corumba IV</v>
      </c>
      <c r="C195" s="1">
        <f t="shared" si="5"/>
        <v>-2461</v>
      </c>
      <c r="D195">
        <v>0</v>
      </c>
      <c r="E195">
        <v>0</v>
      </c>
      <c r="F195">
        <v>0</v>
      </c>
      <c r="G195">
        <v>0.3629</v>
      </c>
      <c r="H195">
        <v>32.764600000000002</v>
      </c>
      <c r="I195">
        <v>6.5984999999999996</v>
      </c>
      <c r="J195">
        <v>26.529</v>
      </c>
      <c r="K195">
        <v>0</v>
      </c>
      <c r="L195">
        <v>0</v>
      </c>
    </row>
    <row r="196" spans="1:12" x14ac:dyDescent="0.35">
      <c r="A196" s="3" t="s">
        <v>387</v>
      </c>
      <c r="B196" s="1" t="str">
        <f t="shared" si="6"/>
        <v>Lago Paranoa</v>
      </c>
      <c r="C196" s="1">
        <f t="shared" ref="C196:C259" si="7">--_xlfn.TEXTBEFORE(_xlfn.TEXTAFTER(A196,"Week "),":")</f>
        <v>-2461</v>
      </c>
      <c r="D196">
        <v>0</v>
      </c>
      <c r="E196">
        <v>2302.4499999999998</v>
      </c>
      <c r="F196">
        <v>0.4234</v>
      </c>
      <c r="G196">
        <v>2.4020999999999999</v>
      </c>
      <c r="H196">
        <v>5.3224</v>
      </c>
      <c r="I196">
        <v>1.5647</v>
      </c>
      <c r="J196">
        <v>5.7363999999999997</v>
      </c>
      <c r="K196">
        <v>2302.4499999999998</v>
      </c>
      <c r="L196">
        <v>0</v>
      </c>
    </row>
    <row r="197" spans="1:12" x14ac:dyDescent="0.35">
      <c r="A197" s="3" t="s">
        <v>388</v>
      </c>
      <c r="B197" s="1" t="str">
        <f t="shared" si="6"/>
        <v>Corumba IV</v>
      </c>
      <c r="C197" s="1">
        <f t="shared" si="7"/>
        <v>-2460</v>
      </c>
      <c r="D197">
        <v>0</v>
      </c>
      <c r="E197">
        <v>0</v>
      </c>
      <c r="F197">
        <v>0</v>
      </c>
      <c r="G197">
        <v>0.3629</v>
      </c>
      <c r="H197">
        <v>29.026900000000001</v>
      </c>
      <c r="I197">
        <v>6.5984999999999996</v>
      </c>
      <c r="J197">
        <v>22.7913</v>
      </c>
      <c r="K197">
        <v>0</v>
      </c>
      <c r="L197">
        <v>0</v>
      </c>
    </row>
    <row r="198" spans="1:12" x14ac:dyDescent="0.35">
      <c r="A198" s="3" t="s">
        <v>389</v>
      </c>
      <c r="B198" s="1" t="str">
        <f t="shared" si="6"/>
        <v>Lago Paranoa</v>
      </c>
      <c r="C198" s="1">
        <f t="shared" si="7"/>
        <v>-2460</v>
      </c>
      <c r="D198">
        <v>0</v>
      </c>
      <c r="E198">
        <v>2302.4499999999998</v>
      </c>
      <c r="F198">
        <v>0.4234</v>
      </c>
      <c r="G198">
        <v>2.1941999999999999</v>
      </c>
      <c r="H198">
        <v>4.8056000000000001</v>
      </c>
      <c r="I198">
        <v>1.5647</v>
      </c>
      <c r="J198">
        <v>5.0118</v>
      </c>
      <c r="K198">
        <v>2302.4499999999998</v>
      </c>
      <c r="L198">
        <v>0</v>
      </c>
    </row>
    <row r="199" spans="1:12" x14ac:dyDescent="0.35">
      <c r="A199" s="3" t="s">
        <v>390</v>
      </c>
      <c r="B199" s="1" t="str">
        <f t="shared" si="6"/>
        <v>Corumba IV</v>
      </c>
      <c r="C199" s="1">
        <f t="shared" si="7"/>
        <v>-2459</v>
      </c>
      <c r="D199">
        <v>0</v>
      </c>
      <c r="E199">
        <v>0</v>
      </c>
      <c r="F199">
        <v>0</v>
      </c>
      <c r="G199">
        <v>0.3629</v>
      </c>
      <c r="H199">
        <v>26.802099999999999</v>
      </c>
      <c r="I199">
        <v>6.5984999999999996</v>
      </c>
      <c r="J199">
        <v>20.566500000000001</v>
      </c>
      <c r="K199">
        <v>0</v>
      </c>
      <c r="L199">
        <v>0</v>
      </c>
    </row>
    <row r="200" spans="1:12" x14ac:dyDescent="0.35">
      <c r="A200" s="3" t="s">
        <v>391</v>
      </c>
      <c r="B200" s="1" t="str">
        <f t="shared" si="6"/>
        <v>Lago Paranoa</v>
      </c>
      <c r="C200" s="1">
        <f t="shared" si="7"/>
        <v>-2459</v>
      </c>
      <c r="D200">
        <v>0</v>
      </c>
      <c r="E200">
        <v>2302.4499999999998</v>
      </c>
      <c r="F200">
        <v>0.4234</v>
      </c>
      <c r="G200">
        <v>2.2012999999999998</v>
      </c>
      <c r="H200">
        <v>4.4212999999999996</v>
      </c>
      <c r="I200">
        <v>1.5647</v>
      </c>
      <c r="J200">
        <v>4.6345000000000001</v>
      </c>
      <c r="K200">
        <v>2302.4499999999998</v>
      </c>
      <c r="L200">
        <v>0</v>
      </c>
    </row>
    <row r="201" spans="1:12" x14ac:dyDescent="0.35">
      <c r="A201" s="3" t="s">
        <v>392</v>
      </c>
      <c r="B201" s="1" t="str">
        <f t="shared" si="6"/>
        <v>Corumba IV</v>
      </c>
      <c r="C201" s="1">
        <f t="shared" si="7"/>
        <v>-2458</v>
      </c>
      <c r="D201">
        <v>0</v>
      </c>
      <c r="E201">
        <v>0</v>
      </c>
      <c r="F201">
        <v>0</v>
      </c>
      <c r="G201">
        <v>0.3629</v>
      </c>
      <c r="H201">
        <v>31.7866</v>
      </c>
      <c r="I201">
        <v>6.5670000000000002</v>
      </c>
      <c r="J201">
        <v>25.5825</v>
      </c>
      <c r="K201">
        <v>0</v>
      </c>
      <c r="L201">
        <v>0</v>
      </c>
    </row>
    <row r="202" spans="1:12" x14ac:dyDescent="0.35">
      <c r="A202" s="3" t="s">
        <v>393</v>
      </c>
      <c r="B202" s="1" t="str">
        <f t="shared" si="6"/>
        <v>Lago Paranoa</v>
      </c>
      <c r="C202" s="1">
        <f t="shared" si="7"/>
        <v>-2458</v>
      </c>
      <c r="D202">
        <v>0</v>
      </c>
      <c r="E202">
        <v>2302.4499999999998</v>
      </c>
      <c r="F202">
        <v>0.4234</v>
      </c>
      <c r="G202">
        <v>3.7831999999999999</v>
      </c>
      <c r="H202">
        <v>6.6471999999999998</v>
      </c>
      <c r="I202">
        <v>1.5672999999999999</v>
      </c>
      <c r="J202">
        <v>8.4397000000000002</v>
      </c>
      <c r="K202">
        <v>2302.4499999999998</v>
      </c>
      <c r="L202">
        <v>0</v>
      </c>
    </row>
    <row r="203" spans="1:12" x14ac:dyDescent="0.35">
      <c r="A203" s="3" t="s">
        <v>394</v>
      </c>
      <c r="B203" s="1" t="str">
        <f t="shared" si="6"/>
        <v>Corumba IV</v>
      </c>
      <c r="C203" s="1">
        <f t="shared" si="7"/>
        <v>-2457</v>
      </c>
      <c r="D203">
        <v>0</v>
      </c>
      <c r="E203">
        <v>0</v>
      </c>
      <c r="F203">
        <v>0</v>
      </c>
      <c r="G203">
        <v>0.3629</v>
      </c>
      <c r="H203">
        <v>44.6342</v>
      </c>
      <c r="I203">
        <v>6.3776999999999999</v>
      </c>
      <c r="J203">
        <v>38.619399999999999</v>
      </c>
      <c r="K203">
        <v>0</v>
      </c>
      <c r="L203">
        <v>0</v>
      </c>
    </row>
    <row r="204" spans="1:12" x14ac:dyDescent="0.35">
      <c r="A204" s="3" t="s">
        <v>395</v>
      </c>
      <c r="B204" s="1" t="str">
        <f t="shared" si="6"/>
        <v>Lago Paranoa</v>
      </c>
      <c r="C204" s="1">
        <f t="shared" si="7"/>
        <v>-2457</v>
      </c>
      <c r="D204">
        <v>0</v>
      </c>
      <c r="E204">
        <v>2302.4499999999998</v>
      </c>
      <c r="F204">
        <v>0.4234</v>
      </c>
      <c r="G204">
        <v>4.0404999999999998</v>
      </c>
      <c r="H204">
        <v>6.9542000000000002</v>
      </c>
      <c r="I204">
        <v>1.583</v>
      </c>
      <c r="J204">
        <v>8.9884000000000004</v>
      </c>
      <c r="K204">
        <v>2302.4499999999998</v>
      </c>
      <c r="L204">
        <v>0</v>
      </c>
    </row>
    <row r="205" spans="1:12" x14ac:dyDescent="0.35">
      <c r="A205" s="3" t="s">
        <v>396</v>
      </c>
      <c r="B205" s="1" t="str">
        <f t="shared" si="6"/>
        <v>Corumba IV</v>
      </c>
      <c r="C205" s="1">
        <f t="shared" si="7"/>
        <v>-2456</v>
      </c>
      <c r="D205">
        <v>0</v>
      </c>
      <c r="E205">
        <v>0</v>
      </c>
      <c r="F205">
        <v>0</v>
      </c>
      <c r="G205">
        <v>0.3629</v>
      </c>
      <c r="H205">
        <v>45.118099999999998</v>
      </c>
      <c r="I205">
        <v>6.3776999999999999</v>
      </c>
      <c r="J205">
        <v>39.103299999999997</v>
      </c>
      <c r="K205">
        <v>0</v>
      </c>
      <c r="L205">
        <v>0</v>
      </c>
    </row>
    <row r="206" spans="1:12" x14ac:dyDescent="0.35">
      <c r="A206" s="3" t="s">
        <v>397</v>
      </c>
      <c r="B206" s="1" t="str">
        <f t="shared" si="6"/>
        <v>Lago Paranoa</v>
      </c>
      <c r="C206" s="1">
        <f t="shared" si="7"/>
        <v>-2456</v>
      </c>
      <c r="D206">
        <v>0</v>
      </c>
      <c r="E206">
        <v>2302.4499999999998</v>
      </c>
      <c r="F206">
        <v>0.4234</v>
      </c>
      <c r="G206">
        <v>4.3715000000000002</v>
      </c>
      <c r="H206">
        <v>7.7925000000000004</v>
      </c>
      <c r="I206">
        <v>1.583</v>
      </c>
      <c r="J206">
        <v>10.1577</v>
      </c>
      <c r="K206">
        <v>2302.4499999999998</v>
      </c>
      <c r="L206">
        <v>0</v>
      </c>
    </row>
    <row r="207" spans="1:12" x14ac:dyDescent="0.35">
      <c r="A207" s="3" t="s">
        <v>398</v>
      </c>
      <c r="B207" s="1" t="str">
        <f t="shared" si="6"/>
        <v>Corumba IV</v>
      </c>
      <c r="C207" s="1">
        <f t="shared" si="7"/>
        <v>-2455</v>
      </c>
      <c r="D207">
        <v>0</v>
      </c>
      <c r="E207">
        <v>0</v>
      </c>
      <c r="F207">
        <v>0</v>
      </c>
      <c r="G207">
        <v>0.3629</v>
      </c>
      <c r="H207">
        <v>93.260199999999998</v>
      </c>
      <c r="I207">
        <v>6.3776999999999999</v>
      </c>
      <c r="J207">
        <v>87.2453</v>
      </c>
      <c r="K207">
        <v>0</v>
      </c>
      <c r="L207">
        <v>0</v>
      </c>
    </row>
    <row r="208" spans="1:12" x14ac:dyDescent="0.35">
      <c r="A208" s="3" t="s">
        <v>399</v>
      </c>
      <c r="B208" s="1" t="str">
        <f t="shared" si="6"/>
        <v>Lago Paranoa</v>
      </c>
      <c r="C208" s="1">
        <f t="shared" si="7"/>
        <v>-2455</v>
      </c>
      <c r="D208">
        <v>0</v>
      </c>
      <c r="E208">
        <v>2302.4499999999998</v>
      </c>
      <c r="F208">
        <v>0.4234</v>
      </c>
      <c r="G208">
        <v>5.4751000000000003</v>
      </c>
      <c r="H208">
        <v>13.4543</v>
      </c>
      <c r="I208">
        <v>1.583</v>
      </c>
      <c r="J208">
        <v>16.922999999999998</v>
      </c>
      <c r="K208">
        <v>2302.4499999999998</v>
      </c>
      <c r="L208">
        <v>0</v>
      </c>
    </row>
    <row r="209" spans="1:12" x14ac:dyDescent="0.35">
      <c r="A209" s="3" t="s">
        <v>400</v>
      </c>
      <c r="B209" s="1" t="str">
        <f t="shared" si="6"/>
        <v>Corumba IV</v>
      </c>
      <c r="C209" s="1">
        <f t="shared" si="7"/>
        <v>-2454</v>
      </c>
      <c r="D209">
        <v>0</v>
      </c>
      <c r="E209">
        <v>0</v>
      </c>
      <c r="F209">
        <v>0</v>
      </c>
      <c r="G209">
        <v>0.3629</v>
      </c>
      <c r="H209">
        <v>95.869399999999999</v>
      </c>
      <c r="I209">
        <v>6.3776999999999999</v>
      </c>
      <c r="J209">
        <v>89.854600000000005</v>
      </c>
      <c r="K209">
        <v>0</v>
      </c>
      <c r="L209">
        <v>0</v>
      </c>
    </row>
    <row r="210" spans="1:12" x14ac:dyDescent="0.35">
      <c r="A210" s="3" t="s">
        <v>401</v>
      </c>
      <c r="B210" s="1" t="str">
        <f t="shared" si="6"/>
        <v>Lago Paranoa</v>
      </c>
      <c r="C210" s="1">
        <f t="shared" si="7"/>
        <v>-2454</v>
      </c>
      <c r="D210">
        <v>0</v>
      </c>
      <c r="E210">
        <v>2302.4499999999998</v>
      </c>
      <c r="F210">
        <v>0.4234</v>
      </c>
      <c r="G210">
        <v>7.7104999999999997</v>
      </c>
      <c r="H210">
        <v>10.7395</v>
      </c>
      <c r="I210">
        <v>1.583</v>
      </c>
      <c r="J210">
        <v>16.4437</v>
      </c>
      <c r="K210">
        <v>2302.4499999999998</v>
      </c>
      <c r="L210">
        <v>0</v>
      </c>
    </row>
    <row r="211" spans="1:12" x14ac:dyDescent="0.35">
      <c r="A211" s="3" t="s">
        <v>402</v>
      </c>
      <c r="B211" s="1" t="str">
        <f t="shared" si="6"/>
        <v>Corumba IV</v>
      </c>
      <c r="C211" s="1">
        <f t="shared" si="7"/>
        <v>-2453</v>
      </c>
      <c r="D211">
        <v>0</v>
      </c>
      <c r="E211">
        <v>0</v>
      </c>
      <c r="F211">
        <v>0</v>
      </c>
      <c r="G211">
        <v>0.3629</v>
      </c>
      <c r="H211">
        <v>103.1054</v>
      </c>
      <c r="I211">
        <v>5.0914000000000001</v>
      </c>
      <c r="J211">
        <v>98.376999999999995</v>
      </c>
      <c r="K211">
        <v>0</v>
      </c>
      <c r="L211">
        <v>0</v>
      </c>
    </row>
    <row r="212" spans="1:12" x14ac:dyDescent="0.35">
      <c r="A212" s="3" t="s">
        <v>403</v>
      </c>
      <c r="B212" s="1" t="str">
        <f t="shared" si="6"/>
        <v>Lago Paranoa</v>
      </c>
      <c r="C212" s="1">
        <f t="shared" si="7"/>
        <v>-2453</v>
      </c>
      <c r="D212">
        <v>0</v>
      </c>
      <c r="E212">
        <v>2302.4499999999998</v>
      </c>
      <c r="F212">
        <v>0.4234</v>
      </c>
      <c r="G212">
        <v>4.3993000000000002</v>
      </c>
      <c r="H212">
        <v>11.201499999999999</v>
      </c>
      <c r="I212">
        <v>1.4177999999999999</v>
      </c>
      <c r="J212">
        <v>13.759600000000001</v>
      </c>
      <c r="K212">
        <v>2302.4499999999998</v>
      </c>
      <c r="L212">
        <v>0</v>
      </c>
    </row>
    <row r="213" spans="1:12" x14ac:dyDescent="0.35">
      <c r="A213" s="3" t="s">
        <v>404</v>
      </c>
      <c r="B213" s="1" t="str">
        <f t="shared" si="6"/>
        <v>Corumba IV</v>
      </c>
      <c r="C213" s="1">
        <f t="shared" si="7"/>
        <v>-2452</v>
      </c>
      <c r="D213">
        <v>0</v>
      </c>
      <c r="E213">
        <v>0</v>
      </c>
      <c r="F213">
        <v>0</v>
      </c>
      <c r="G213">
        <v>0.3629</v>
      </c>
      <c r="H213">
        <v>93.685199999999995</v>
      </c>
      <c r="I213">
        <v>3.7183999999999999</v>
      </c>
      <c r="J213">
        <v>90.329800000000006</v>
      </c>
      <c r="K213">
        <v>0</v>
      </c>
      <c r="L213">
        <v>0</v>
      </c>
    </row>
    <row r="214" spans="1:12" x14ac:dyDescent="0.35">
      <c r="A214" s="3" t="s">
        <v>405</v>
      </c>
      <c r="B214" s="1" t="str">
        <f t="shared" si="6"/>
        <v>Lago Paranoa</v>
      </c>
      <c r="C214" s="1">
        <f t="shared" si="7"/>
        <v>-2452</v>
      </c>
      <c r="D214">
        <v>0</v>
      </c>
      <c r="E214">
        <v>2302.4499999999998</v>
      </c>
      <c r="F214">
        <v>0.4234</v>
      </c>
      <c r="G214">
        <v>4.9034000000000004</v>
      </c>
      <c r="H214">
        <v>11.351599999999999</v>
      </c>
      <c r="I214">
        <v>1.0725</v>
      </c>
      <c r="J214">
        <v>14.7592</v>
      </c>
      <c r="K214">
        <v>2302.4499999999998</v>
      </c>
      <c r="L214">
        <v>0</v>
      </c>
    </row>
    <row r="215" spans="1:12" x14ac:dyDescent="0.35">
      <c r="A215" s="3" t="s">
        <v>406</v>
      </c>
      <c r="B215" s="1" t="str">
        <f t="shared" si="6"/>
        <v>Corumba IV</v>
      </c>
      <c r="C215" s="1">
        <f t="shared" si="7"/>
        <v>-2451</v>
      </c>
      <c r="D215">
        <v>0</v>
      </c>
      <c r="E215">
        <v>0</v>
      </c>
      <c r="F215">
        <v>0</v>
      </c>
      <c r="G215">
        <v>0.3629</v>
      </c>
      <c r="H215">
        <v>76.384500000000003</v>
      </c>
      <c r="I215">
        <v>3.5360999999999998</v>
      </c>
      <c r="J215">
        <v>73.211299999999994</v>
      </c>
      <c r="K215">
        <v>0</v>
      </c>
      <c r="L215">
        <v>0</v>
      </c>
    </row>
    <row r="216" spans="1:12" x14ac:dyDescent="0.35">
      <c r="A216" s="3" t="s">
        <v>407</v>
      </c>
      <c r="B216" s="1" t="str">
        <f t="shared" si="6"/>
        <v>Lago Paranoa</v>
      </c>
      <c r="C216" s="1">
        <f t="shared" si="7"/>
        <v>-2451</v>
      </c>
      <c r="D216">
        <v>0</v>
      </c>
      <c r="E216">
        <v>2302.4499999999998</v>
      </c>
      <c r="F216">
        <v>0.4234</v>
      </c>
      <c r="G216">
        <v>6.8612000000000002</v>
      </c>
      <c r="H216">
        <v>13.285500000000001</v>
      </c>
      <c r="I216">
        <v>1.0158</v>
      </c>
      <c r="J216">
        <v>18.707599999999999</v>
      </c>
      <c r="K216">
        <v>2302.4499999999998</v>
      </c>
      <c r="L216">
        <v>0</v>
      </c>
    </row>
    <row r="217" spans="1:12" x14ac:dyDescent="0.35">
      <c r="A217" s="3" t="s">
        <v>408</v>
      </c>
      <c r="B217" s="1" t="str">
        <f t="shared" si="6"/>
        <v>Corumba IV</v>
      </c>
      <c r="C217" s="1">
        <f t="shared" si="7"/>
        <v>-2450</v>
      </c>
      <c r="D217">
        <v>0</v>
      </c>
      <c r="E217">
        <v>0</v>
      </c>
      <c r="F217">
        <v>0</v>
      </c>
      <c r="G217">
        <v>0.3629</v>
      </c>
      <c r="H217">
        <v>107.479</v>
      </c>
      <c r="I217">
        <v>3.5360999999999998</v>
      </c>
      <c r="J217">
        <v>104.3058</v>
      </c>
      <c r="K217">
        <v>0</v>
      </c>
      <c r="L217">
        <v>0</v>
      </c>
    </row>
    <row r="218" spans="1:12" x14ac:dyDescent="0.35">
      <c r="A218" s="3" t="s">
        <v>409</v>
      </c>
      <c r="B218" s="1" t="str">
        <f t="shared" si="6"/>
        <v>Lago Paranoa</v>
      </c>
      <c r="C218" s="1">
        <f t="shared" si="7"/>
        <v>-2450</v>
      </c>
      <c r="D218">
        <v>0</v>
      </c>
      <c r="E218">
        <v>2302.4499999999998</v>
      </c>
      <c r="F218">
        <v>0.4234</v>
      </c>
      <c r="G218">
        <v>5.9634999999999998</v>
      </c>
      <c r="H218">
        <v>17.95</v>
      </c>
      <c r="I218">
        <v>1.0158</v>
      </c>
      <c r="J218">
        <v>22.474399999999999</v>
      </c>
      <c r="K218">
        <v>2302.4499999999998</v>
      </c>
      <c r="L218">
        <v>0</v>
      </c>
    </row>
    <row r="219" spans="1:12" x14ac:dyDescent="0.35">
      <c r="A219" s="3" t="s">
        <v>410</v>
      </c>
      <c r="B219" s="1" t="str">
        <f t="shared" si="6"/>
        <v>Corumba IV</v>
      </c>
      <c r="C219" s="1">
        <f t="shared" si="7"/>
        <v>-2449</v>
      </c>
      <c r="D219">
        <v>0</v>
      </c>
      <c r="E219">
        <v>0</v>
      </c>
      <c r="F219">
        <v>0</v>
      </c>
      <c r="G219">
        <v>0.3629</v>
      </c>
      <c r="H219">
        <v>127.9731</v>
      </c>
      <c r="I219">
        <v>3.9268000000000001</v>
      </c>
      <c r="J219">
        <v>124.4092</v>
      </c>
      <c r="K219">
        <v>0</v>
      </c>
      <c r="L219">
        <v>0</v>
      </c>
    </row>
    <row r="220" spans="1:12" x14ac:dyDescent="0.35">
      <c r="A220" s="3" t="s">
        <v>411</v>
      </c>
      <c r="B220" s="1" t="str">
        <f t="shared" si="6"/>
        <v>Lago Paranoa</v>
      </c>
      <c r="C220" s="1">
        <f t="shared" si="7"/>
        <v>-2449</v>
      </c>
      <c r="D220">
        <v>0</v>
      </c>
      <c r="E220">
        <v>2302.4499999999998</v>
      </c>
      <c r="F220">
        <v>0.32869999999999999</v>
      </c>
      <c r="G220">
        <v>3.5802</v>
      </c>
      <c r="H220">
        <v>17.818000000000001</v>
      </c>
      <c r="I220">
        <v>1.0381</v>
      </c>
      <c r="J220">
        <v>20.031400000000001</v>
      </c>
      <c r="K220">
        <v>2302.4499999999998</v>
      </c>
      <c r="L220">
        <v>0</v>
      </c>
    </row>
    <row r="221" spans="1:12" x14ac:dyDescent="0.35">
      <c r="A221" s="3" t="s">
        <v>412</v>
      </c>
      <c r="B221" s="1" t="str">
        <f t="shared" si="6"/>
        <v>Corumba IV</v>
      </c>
      <c r="C221" s="1">
        <f t="shared" si="7"/>
        <v>-2448</v>
      </c>
      <c r="D221">
        <v>0</v>
      </c>
      <c r="E221">
        <v>0</v>
      </c>
      <c r="F221">
        <v>0</v>
      </c>
      <c r="G221">
        <v>0.3629</v>
      </c>
      <c r="H221">
        <v>117.5403</v>
      </c>
      <c r="I221">
        <v>4.4478</v>
      </c>
      <c r="J221">
        <v>113.4554</v>
      </c>
      <c r="K221">
        <v>0</v>
      </c>
      <c r="L221">
        <v>0</v>
      </c>
    </row>
    <row r="222" spans="1:12" x14ac:dyDescent="0.35">
      <c r="A222" s="3" t="s">
        <v>413</v>
      </c>
      <c r="B222" s="1" t="str">
        <f t="shared" si="6"/>
        <v>Lago Paranoa</v>
      </c>
      <c r="C222" s="1">
        <f t="shared" si="7"/>
        <v>-2448</v>
      </c>
      <c r="D222">
        <v>0</v>
      </c>
      <c r="E222">
        <v>2302.4499999999998</v>
      </c>
      <c r="F222">
        <v>0.32900000000000001</v>
      </c>
      <c r="G222">
        <v>4.8299000000000003</v>
      </c>
      <c r="H222">
        <v>13.423299999999999</v>
      </c>
      <c r="I222">
        <v>1.0680000000000001</v>
      </c>
      <c r="J222">
        <v>16.856300000000001</v>
      </c>
      <c r="K222">
        <v>2302.4499999999998</v>
      </c>
      <c r="L222">
        <v>0</v>
      </c>
    </row>
    <row r="223" spans="1:12" x14ac:dyDescent="0.35">
      <c r="A223" s="3" t="s">
        <v>414</v>
      </c>
      <c r="B223" s="1" t="str">
        <f t="shared" si="6"/>
        <v>Corumba IV</v>
      </c>
      <c r="C223" s="1">
        <f t="shared" si="7"/>
        <v>-2551</v>
      </c>
      <c r="D223">
        <v>0</v>
      </c>
      <c r="E223">
        <v>0</v>
      </c>
      <c r="F223">
        <v>0</v>
      </c>
      <c r="G223">
        <v>0.3629</v>
      </c>
      <c r="H223">
        <v>144.59129999999999</v>
      </c>
      <c r="I223">
        <v>4.3529</v>
      </c>
      <c r="J223">
        <v>140.60130000000001</v>
      </c>
      <c r="K223">
        <v>0</v>
      </c>
      <c r="L223">
        <v>0</v>
      </c>
    </row>
    <row r="224" spans="1:12" x14ac:dyDescent="0.35">
      <c r="A224" s="3" t="s">
        <v>415</v>
      </c>
      <c r="B224" s="1" t="str">
        <f t="shared" si="6"/>
        <v>Lago Paranoa</v>
      </c>
      <c r="C224" s="1">
        <f t="shared" si="7"/>
        <v>-2551</v>
      </c>
      <c r="D224">
        <v>0</v>
      </c>
      <c r="E224">
        <v>2302.4499999999998</v>
      </c>
      <c r="F224">
        <v>0.4234</v>
      </c>
      <c r="G224">
        <v>5.1910999999999996</v>
      </c>
      <c r="H224">
        <v>13.8253</v>
      </c>
      <c r="I224">
        <v>1.0916999999999999</v>
      </c>
      <c r="J224">
        <v>17.501300000000001</v>
      </c>
      <c r="K224">
        <v>2302.4499999999998</v>
      </c>
      <c r="L224">
        <v>0</v>
      </c>
    </row>
    <row r="225" spans="1:12" x14ac:dyDescent="0.35">
      <c r="A225" s="3" t="s">
        <v>416</v>
      </c>
      <c r="B225" s="1" t="str">
        <f t="shared" si="6"/>
        <v>Corumba IV</v>
      </c>
      <c r="C225" s="1">
        <f t="shared" si="7"/>
        <v>-2550</v>
      </c>
      <c r="D225">
        <v>0</v>
      </c>
      <c r="E225">
        <v>0</v>
      </c>
      <c r="F225">
        <v>0</v>
      </c>
      <c r="G225">
        <v>0.3629</v>
      </c>
      <c r="H225">
        <v>180.74529999999999</v>
      </c>
      <c r="I225">
        <v>4.3529</v>
      </c>
      <c r="J225">
        <v>176.75530000000001</v>
      </c>
      <c r="K225">
        <v>0</v>
      </c>
      <c r="L225">
        <v>0</v>
      </c>
    </row>
    <row r="226" spans="1:12" x14ac:dyDescent="0.35">
      <c r="A226" s="3" t="s">
        <v>417</v>
      </c>
      <c r="B226" s="1" t="str">
        <f t="shared" si="6"/>
        <v>Lago Paranoa</v>
      </c>
      <c r="C226" s="1">
        <f t="shared" si="7"/>
        <v>-2550</v>
      </c>
      <c r="D226">
        <v>0</v>
      </c>
      <c r="E226">
        <v>2302.4499999999998</v>
      </c>
      <c r="F226">
        <v>0.3306</v>
      </c>
      <c r="G226">
        <v>4.6974999999999998</v>
      </c>
      <c r="H226">
        <v>14.159700000000001</v>
      </c>
      <c r="I226">
        <v>1.0916999999999999</v>
      </c>
      <c r="J226">
        <v>17.434899999999999</v>
      </c>
      <c r="K226">
        <v>2302.4499999999998</v>
      </c>
      <c r="L226">
        <v>0</v>
      </c>
    </row>
    <row r="227" spans="1:12" x14ac:dyDescent="0.35">
      <c r="A227" s="3" t="s">
        <v>418</v>
      </c>
      <c r="B227" s="1" t="str">
        <f t="shared" si="6"/>
        <v>Corumba IV</v>
      </c>
      <c r="C227" s="1">
        <f t="shared" si="7"/>
        <v>-2549</v>
      </c>
      <c r="D227">
        <v>0</v>
      </c>
      <c r="E227">
        <v>0</v>
      </c>
      <c r="F227">
        <v>0</v>
      </c>
      <c r="G227">
        <v>0.3629</v>
      </c>
      <c r="H227">
        <v>161.11529999999999</v>
      </c>
      <c r="I227">
        <v>4.3529</v>
      </c>
      <c r="J227">
        <v>157.12530000000001</v>
      </c>
      <c r="K227">
        <v>0</v>
      </c>
      <c r="L227">
        <v>0</v>
      </c>
    </row>
    <row r="228" spans="1:12" x14ac:dyDescent="0.35">
      <c r="A228" s="3" t="s">
        <v>419</v>
      </c>
      <c r="B228" s="1" t="str">
        <f t="shared" si="6"/>
        <v>Lago Paranoa</v>
      </c>
      <c r="C228" s="1">
        <f t="shared" si="7"/>
        <v>-2549</v>
      </c>
      <c r="D228">
        <v>0</v>
      </c>
      <c r="E228">
        <v>2302.4499999999998</v>
      </c>
      <c r="F228">
        <v>0.3301</v>
      </c>
      <c r="G228">
        <v>6.2035</v>
      </c>
      <c r="H228">
        <v>17.078800000000001</v>
      </c>
      <c r="I228">
        <v>1.0916999999999999</v>
      </c>
      <c r="J228">
        <v>21.860399999999998</v>
      </c>
      <c r="K228">
        <v>2302.4499999999998</v>
      </c>
      <c r="L228">
        <v>0</v>
      </c>
    </row>
    <row r="229" spans="1:12" x14ac:dyDescent="0.35">
      <c r="A229" s="3" t="s">
        <v>420</v>
      </c>
      <c r="B229" s="1" t="str">
        <f t="shared" si="6"/>
        <v>Corumba IV</v>
      </c>
      <c r="C229" s="1">
        <f t="shared" si="7"/>
        <v>-2548</v>
      </c>
      <c r="D229">
        <v>0</v>
      </c>
      <c r="E229">
        <v>0</v>
      </c>
      <c r="F229">
        <v>0</v>
      </c>
      <c r="G229">
        <v>0.3629</v>
      </c>
      <c r="H229">
        <v>104.82389999999999</v>
      </c>
      <c r="I229">
        <v>3.9243000000000001</v>
      </c>
      <c r="J229">
        <v>101.2625</v>
      </c>
      <c r="K229">
        <v>0</v>
      </c>
      <c r="L229">
        <v>0</v>
      </c>
    </row>
    <row r="230" spans="1:12" x14ac:dyDescent="0.35">
      <c r="A230" s="3" t="s">
        <v>421</v>
      </c>
      <c r="B230" s="1" t="str">
        <f t="shared" si="6"/>
        <v>Lago Paranoa</v>
      </c>
      <c r="C230" s="1">
        <f t="shared" si="7"/>
        <v>-2548</v>
      </c>
      <c r="D230">
        <v>0</v>
      </c>
      <c r="E230">
        <v>2302.4499999999998</v>
      </c>
      <c r="F230">
        <v>0.36990000000000001</v>
      </c>
      <c r="G230">
        <v>3.9348999999999998</v>
      </c>
      <c r="H230">
        <v>9.6780000000000008</v>
      </c>
      <c r="I230">
        <v>0.78280000000000005</v>
      </c>
      <c r="J230">
        <v>12.460100000000001</v>
      </c>
      <c r="K230">
        <v>2302.4499999999998</v>
      </c>
      <c r="L230">
        <v>0</v>
      </c>
    </row>
    <row r="231" spans="1:12" x14ac:dyDescent="0.35">
      <c r="A231" s="3" t="s">
        <v>422</v>
      </c>
      <c r="B231" s="1" t="str">
        <f t="shared" si="6"/>
        <v>Corumba IV</v>
      </c>
      <c r="C231" s="1">
        <f t="shared" si="7"/>
        <v>-2547</v>
      </c>
      <c r="D231">
        <v>0</v>
      </c>
      <c r="E231">
        <v>0</v>
      </c>
      <c r="F231">
        <v>0</v>
      </c>
      <c r="G231">
        <v>0.3629</v>
      </c>
      <c r="H231">
        <v>90.459900000000005</v>
      </c>
      <c r="I231">
        <v>3.9243000000000001</v>
      </c>
      <c r="J231">
        <v>86.898499999999999</v>
      </c>
      <c r="K231">
        <v>0</v>
      </c>
      <c r="L231">
        <v>0</v>
      </c>
    </row>
    <row r="232" spans="1:12" x14ac:dyDescent="0.35">
      <c r="A232" s="3" t="s">
        <v>423</v>
      </c>
      <c r="B232" s="1" t="str">
        <f t="shared" si="6"/>
        <v>Lago Paranoa</v>
      </c>
      <c r="C232" s="1">
        <f t="shared" si="7"/>
        <v>-2547</v>
      </c>
      <c r="D232">
        <v>0</v>
      </c>
      <c r="E232">
        <v>2302.4499999999998</v>
      </c>
      <c r="F232">
        <v>0.35360000000000003</v>
      </c>
      <c r="G232">
        <v>3.6635</v>
      </c>
      <c r="H232">
        <v>8.8400999999999996</v>
      </c>
      <c r="I232">
        <v>0.78280000000000005</v>
      </c>
      <c r="J232">
        <v>11.367100000000001</v>
      </c>
      <c r="K232">
        <v>2302.4499999999998</v>
      </c>
      <c r="L232">
        <v>0</v>
      </c>
    </row>
    <row r="233" spans="1:12" x14ac:dyDescent="0.35">
      <c r="A233" s="3" t="s">
        <v>424</v>
      </c>
      <c r="B233" s="1" t="str">
        <f t="shared" si="6"/>
        <v>Corumba IV</v>
      </c>
      <c r="C233" s="1">
        <f t="shared" si="7"/>
        <v>-2546</v>
      </c>
      <c r="D233">
        <v>0</v>
      </c>
      <c r="E233">
        <v>0</v>
      </c>
      <c r="F233">
        <v>0</v>
      </c>
      <c r="G233">
        <v>0.3629</v>
      </c>
      <c r="H233">
        <v>81.807000000000002</v>
      </c>
      <c r="I233">
        <v>3.9243000000000001</v>
      </c>
      <c r="J233">
        <v>78.245599999999996</v>
      </c>
      <c r="K233">
        <v>0</v>
      </c>
      <c r="L233">
        <v>0</v>
      </c>
    </row>
    <row r="234" spans="1:12" x14ac:dyDescent="0.35">
      <c r="A234" s="3" t="s">
        <v>425</v>
      </c>
      <c r="B234" s="1" t="str">
        <f t="shared" si="6"/>
        <v>Lago Paranoa</v>
      </c>
      <c r="C234" s="1">
        <f t="shared" si="7"/>
        <v>-2546</v>
      </c>
      <c r="D234">
        <v>0</v>
      </c>
      <c r="E234">
        <v>2302.4499999999998</v>
      </c>
      <c r="F234">
        <v>0.35389999999999999</v>
      </c>
      <c r="G234">
        <v>3.419</v>
      </c>
      <c r="H234">
        <v>8.4146999999999998</v>
      </c>
      <c r="I234">
        <v>0.78280000000000005</v>
      </c>
      <c r="J234">
        <v>10.696899999999999</v>
      </c>
      <c r="K234">
        <v>2302.4499999999998</v>
      </c>
      <c r="L234">
        <v>0</v>
      </c>
    </row>
    <row r="235" spans="1:12" x14ac:dyDescent="0.35">
      <c r="A235" s="3" t="s">
        <v>426</v>
      </c>
      <c r="B235" s="1" t="str">
        <f t="shared" si="6"/>
        <v>Corumba IV</v>
      </c>
      <c r="C235" s="1">
        <f t="shared" si="7"/>
        <v>-2545</v>
      </c>
      <c r="D235">
        <v>0</v>
      </c>
      <c r="E235">
        <v>0</v>
      </c>
      <c r="F235">
        <v>0</v>
      </c>
      <c r="G235">
        <v>0.3629</v>
      </c>
      <c r="H235">
        <v>82.620900000000006</v>
      </c>
      <c r="I235">
        <v>4.1264000000000003</v>
      </c>
      <c r="J235">
        <v>78.857299999999995</v>
      </c>
      <c r="K235">
        <v>0</v>
      </c>
      <c r="L235">
        <v>0</v>
      </c>
    </row>
    <row r="236" spans="1:12" x14ac:dyDescent="0.35">
      <c r="A236" s="3" t="s">
        <v>427</v>
      </c>
      <c r="B236" s="1" t="str">
        <f t="shared" si="6"/>
        <v>Lago Paranoa</v>
      </c>
      <c r="C236" s="1">
        <f t="shared" si="7"/>
        <v>-2545</v>
      </c>
      <c r="D236">
        <v>0</v>
      </c>
      <c r="E236">
        <v>2302.4499999999998</v>
      </c>
      <c r="F236">
        <v>0.3543</v>
      </c>
      <c r="G236">
        <v>3.4666999999999999</v>
      </c>
      <c r="H236">
        <v>8.7835999999999999</v>
      </c>
      <c r="I236">
        <v>0.89590000000000003</v>
      </c>
      <c r="J236">
        <v>11.0001</v>
      </c>
      <c r="K236">
        <v>2302.4499999999998</v>
      </c>
      <c r="L236">
        <v>0</v>
      </c>
    </row>
    <row r="237" spans="1:12" x14ac:dyDescent="0.35">
      <c r="A237" s="3" t="s">
        <v>428</v>
      </c>
      <c r="B237" s="1" t="str">
        <f t="shared" si="6"/>
        <v>Corumba IV</v>
      </c>
      <c r="C237" s="1">
        <f t="shared" si="7"/>
        <v>-2544</v>
      </c>
      <c r="D237">
        <v>0</v>
      </c>
      <c r="E237">
        <v>0</v>
      </c>
      <c r="F237">
        <v>0</v>
      </c>
      <c r="G237">
        <v>0.3629</v>
      </c>
      <c r="H237">
        <v>86.111400000000003</v>
      </c>
      <c r="I237">
        <v>4.8048000000000002</v>
      </c>
      <c r="J237">
        <v>81.669499999999999</v>
      </c>
      <c r="K237">
        <v>0</v>
      </c>
      <c r="L237">
        <v>0</v>
      </c>
    </row>
    <row r="238" spans="1:12" x14ac:dyDescent="0.35">
      <c r="A238" s="3" t="s">
        <v>429</v>
      </c>
      <c r="B238" s="1" t="str">
        <f t="shared" si="6"/>
        <v>Lago Paranoa</v>
      </c>
      <c r="C238" s="1">
        <f t="shared" si="7"/>
        <v>-2544</v>
      </c>
      <c r="D238">
        <v>0</v>
      </c>
      <c r="E238">
        <v>2302.4499999999998</v>
      </c>
      <c r="F238">
        <v>0.4234</v>
      </c>
      <c r="G238">
        <v>3.6311</v>
      </c>
      <c r="H238">
        <v>8.9026999999999994</v>
      </c>
      <c r="I238">
        <v>1.3026</v>
      </c>
      <c r="J238">
        <v>10.8079</v>
      </c>
      <c r="K238">
        <v>2302.4499999999998</v>
      </c>
      <c r="L238">
        <v>0</v>
      </c>
    </row>
    <row r="239" spans="1:12" x14ac:dyDescent="0.35">
      <c r="A239" s="3" t="s">
        <v>430</v>
      </c>
      <c r="B239" s="1" t="str">
        <f t="shared" si="6"/>
        <v>Corumba IV</v>
      </c>
      <c r="C239" s="1">
        <f t="shared" si="7"/>
        <v>-2543</v>
      </c>
      <c r="D239">
        <v>0</v>
      </c>
      <c r="E239">
        <v>0</v>
      </c>
      <c r="F239">
        <v>0</v>
      </c>
      <c r="G239">
        <v>0.3629</v>
      </c>
      <c r="H239">
        <v>78.589399999999998</v>
      </c>
      <c r="I239">
        <v>4.9683999999999999</v>
      </c>
      <c r="J239">
        <v>73.983900000000006</v>
      </c>
      <c r="K239">
        <v>0</v>
      </c>
      <c r="L239">
        <v>0</v>
      </c>
    </row>
    <row r="240" spans="1:12" x14ac:dyDescent="0.35">
      <c r="A240" s="3" t="s">
        <v>431</v>
      </c>
      <c r="B240" s="1" t="str">
        <f t="shared" si="6"/>
        <v>Lago Paranoa</v>
      </c>
      <c r="C240" s="1">
        <f t="shared" si="7"/>
        <v>-2543</v>
      </c>
      <c r="D240">
        <v>0</v>
      </c>
      <c r="E240">
        <v>2302.4499999999998</v>
      </c>
      <c r="F240">
        <v>0.4234</v>
      </c>
      <c r="G240">
        <v>3.6122000000000001</v>
      </c>
      <c r="H240">
        <v>8.2210000000000001</v>
      </c>
      <c r="I240">
        <v>1.405</v>
      </c>
      <c r="J240">
        <v>10.004799999999999</v>
      </c>
      <c r="K240">
        <v>2302.4499999999998</v>
      </c>
      <c r="L240">
        <v>0</v>
      </c>
    </row>
    <row r="241" spans="1:12" x14ac:dyDescent="0.35">
      <c r="A241" s="3" t="s">
        <v>432</v>
      </c>
      <c r="B241" s="1" t="str">
        <f t="shared" si="6"/>
        <v>Corumba IV</v>
      </c>
      <c r="C241" s="1">
        <f t="shared" si="7"/>
        <v>-2542</v>
      </c>
      <c r="D241">
        <v>0</v>
      </c>
      <c r="E241">
        <v>0</v>
      </c>
      <c r="F241">
        <v>0</v>
      </c>
      <c r="G241">
        <v>0.3629</v>
      </c>
      <c r="H241">
        <v>89.200199999999995</v>
      </c>
      <c r="I241">
        <v>4.9683999999999999</v>
      </c>
      <c r="J241">
        <v>84.594700000000003</v>
      </c>
      <c r="K241">
        <v>0</v>
      </c>
      <c r="L241">
        <v>0</v>
      </c>
    </row>
    <row r="242" spans="1:12" x14ac:dyDescent="0.35">
      <c r="A242" s="3" t="s">
        <v>433</v>
      </c>
      <c r="B242" s="1" t="str">
        <f t="shared" si="6"/>
        <v>Lago Paranoa</v>
      </c>
      <c r="C242" s="1">
        <f t="shared" si="7"/>
        <v>-2542</v>
      </c>
      <c r="D242">
        <v>0</v>
      </c>
      <c r="E242">
        <v>2302.4499999999998</v>
      </c>
      <c r="F242">
        <v>0.4234</v>
      </c>
      <c r="G242">
        <v>4.0473999999999997</v>
      </c>
      <c r="H242">
        <v>9.0984999999999996</v>
      </c>
      <c r="I242">
        <v>1.405</v>
      </c>
      <c r="J242">
        <v>11.317600000000001</v>
      </c>
      <c r="K242">
        <v>2302.4499999999998</v>
      </c>
      <c r="L242">
        <v>0</v>
      </c>
    </row>
    <row r="243" spans="1:12" x14ac:dyDescent="0.35">
      <c r="A243" s="3" t="s">
        <v>434</v>
      </c>
      <c r="B243" s="1" t="str">
        <f t="shared" si="6"/>
        <v>Corumba IV</v>
      </c>
      <c r="C243" s="1">
        <f t="shared" si="7"/>
        <v>-2541</v>
      </c>
      <c r="D243">
        <v>0</v>
      </c>
      <c r="E243">
        <v>0</v>
      </c>
      <c r="F243">
        <v>0</v>
      </c>
      <c r="G243">
        <v>0.3629</v>
      </c>
      <c r="H243">
        <v>91.042299999999997</v>
      </c>
      <c r="I243">
        <v>4.9683999999999999</v>
      </c>
      <c r="J243">
        <v>86.436800000000005</v>
      </c>
      <c r="K243">
        <v>0</v>
      </c>
      <c r="L243">
        <v>0</v>
      </c>
    </row>
    <row r="244" spans="1:12" x14ac:dyDescent="0.35">
      <c r="A244" s="3" t="s">
        <v>435</v>
      </c>
      <c r="B244" s="1" t="str">
        <f t="shared" si="6"/>
        <v>Lago Paranoa</v>
      </c>
      <c r="C244" s="1">
        <f t="shared" si="7"/>
        <v>-2541</v>
      </c>
      <c r="D244">
        <v>0</v>
      </c>
      <c r="E244">
        <v>2302.4499999999998</v>
      </c>
      <c r="F244">
        <v>0.4234</v>
      </c>
      <c r="G244">
        <v>3.6150000000000002</v>
      </c>
      <c r="H244">
        <v>8.9509000000000007</v>
      </c>
      <c r="I244">
        <v>1.405</v>
      </c>
      <c r="J244">
        <v>10.737500000000001</v>
      </c>
      <c r="K244">
        <v>2302.4499999999998</v>
      </c>
      <c r="L244">
        <v>0</v>
      </c>
    </row>
    <row r="245" spans="1:12" x14ac:dyDescent="0.35">
      <c r="A245" s="3" t="s">
        <v>436</v>
      </c>
      <c r="B245" s="1" t="str">
        <f t="shared" si="6"/>
        <v>Corumba IV</v>
      </c>
      <c r="C245" s="1">
        <f t="shared" si="7"/>
        <v>-2540</v>
      </c>
      <c r="D245">
        <v>0</v>
      </c>
      <c r="E245">
        <v>0</v>
      </c>
      <c r="F245">
        <v>0</v>
      </c>
      <c r="G245">
        <v>0.3629</v>
      </c>
      <c r="H245">
        <v>96.420699999999997</v>
      </c>
      <c r="I245">
        <v>4.5151000000000003</v>
      </c>
      <c r="J245">
        <v>92.268500000000003</v>
      </c>
      <c r="K245">
        <v>0</v>
      </c>
      <c r="L245">
        <v>0</v>
      </c>
    </row>
    <row r="246" spans="1:12" x14ac:dyDescent="0.35">
      <c r="A246" s="3" t="s">
        <v>437</v>
      </c>
      <c r="B246" s="1" t="str">
        <f t="shared" si="6"/>
        <v>Lago Paranoa</v>
      </c>
      <c r="C246" s="1">
        <f t="shared" si="7"/>
        <v>-2540</v>
      </c>
      <c r="D246">
        <v>0</v>
      </c>
      <c r="E246">
        <v>2302.4499999999998</v>
      </c>
      <c r="F246">
        <v>0.3054</v>
      </c>
      <c r="G246">
        <v>4.5296000000000003</v>
      </c>
      <c r="H246">
        <v>9.9754000000000005</v>
      </c>
      <c r="I246">
        <v>1.2390000000000001</v>
      </c>
      <c r="J246">
        <v>12.960599999999999</v>
      </c>
      <c r="K246">
        <v>2302.4499999999998</v>
      </c>
      <c r="L246">
        <v>0</v>
      </c>
    </row>
    <row r="247" spans="1:12" x14ac:dyDescent="0.35">
      <c r="A247" s="3" t="s">
        <v>438</v>
      </c>
      <c r="B247" s="1" t="str">
        <f t="shared" si="6"/>
        <v>Corumba IV</v>
      </c>
      <c r="C247" s="1">
        <f t="shared" si="7"/>
        <v>-2539</v>
      </c>
      <c r="D247">
        <v>0</v>
      </c>
      <c r="E247">
        <v>0</v>
      </c>
      <c r="F247">
        <v>0</v>
      </c>
      <c r="G247">
        <v>0.3629</v>
      </c>
      <c r="H247">
        <v>103.4796</v>
      </c>
      <c r="I247">
        <v>4.3304999999999998</v>
      </c>
      <c r="J247">
        <v>99.511899999999997</v>
      </c>
      <c r="K247">
        <v>0</v>
      </c>
      <c r="L247">
        <v>0</v>
      </c>
    </row>
    <row r="248" spans="1:12" x14ac:dyDescent="0.35">
      <c r="A248" s="3" t="s">
        <v>439</v>
      </c>
      <c r="B248" s="1" t="str">
        <f t="shared" si="6"/>
        <v>Lago Paranoa</v>
      </c>
      <c r="C248" s="1">
        <f t="shared" si="7"/>
        <v>-2539</v>
      </c>
      <c r="D248">
        <v>0</v>
      </c>
      <c r="E248">
        <v>2302.4499999999998</v>
      </c>
      <c r="F248">
        <v>0.30570000000000003</v>
      </c>
      <c r="G248">
        <v>3.7856000000000001</v>
      </c>
      <c r="H248">
        <v>9.5404999999999998</v>
      </c>
      <c r="I248">
        <v>1.1223000000000001</v>
      </c>
      <c r="J248">
        <v>11.898099999999999</v>
      </c>
      <c r="K248">
        <v>2302.4499999999998</v>
      </c>
      <c r="L248">
        <v>0</v>
      </c>
    </row>
    <row r="249" spans="1:12" x14ac:dyDescent="0.35">
      <c r="A249" s="3" t="s">
        <v>440</v>
      </c>
      <c r="B249" s="1" t="str">
        <f t="shared" si="6"/>
        <v>Corumba IV</v>
      </c>
      <c r="C249" s="1">
        <f t="shared" si="7"/>
        <v>-2538</v>
      </c>
      <c r="D249">
        <v>0</v>
      </c>
      <c r="E249">
        <v>0</v>
      </c>
      <c r="F249">
        <v>0</v>
      </c>
      <c r="G249">
        <v>0.3629</v>
      </c>
      <c r="H249">
        <v>90.842699999999994</v>
      </c>
      <c r="I249">
        <v>4.133</v>
      </c>
      <c r="J249">
        <v>87.072599999999994</v>
      </c>
      <c r="K249">
        <v>0</v>
      </c>
      <c r="L249">
        <v>0</v>
      </c>
    </row>
    <row r="250" spans="1:12" x14ac:dyDescent="0.35">
      <c r="A250" s="3" t="s">
        <v>441</v>
      </c>
      <c r="B250" s="1" t="str">
        <f t="shared" si="6"/>
        <v>Lago Paranoa</v>
      </c>
      <c r="C250" s="1">
        <f t="shared" si="7"/>
        <v>-2538</v>
      </c>
      <c r="D250">
        <v>0</v>
      </c>
      <c r="E250">
        <v>2302.4499999999998</v>
      </c>
      <c r="F250">
        <v>0.30599999999999999</v>
      </c>
      <c r="G250">
        <v>3.7357999999999998</v>
      </c>
      <c r="H250">
        <v>9.4727999999999994</v>
      </c>
      <c r="I250">
        <v>1.0269999999999999</v>
      </c>
      <c r="J250">
        <v>11.8756</v>
      </c>
      <c r="K250">
        <v>2302.4499999999998</v>
      </c>
      <c r="L250">
        <v>0</v>
      </c>
    </row>
    <row r="251" spans="1:12" x14ac:dyDescent="0.35">
      <c r="A251" s="3" t="s">
        <v>442</v>
      </c>
      <c r="B251" s="1" t="str">
        <f t="shared" si="6"/>
        <v>Corumba IV</v>
      </c>
      <c r="C251" s="1">
        <f t="shared" si="7"/>
        <v>-2537</v>
      </c>
      <c r="D251">
        <v>0</v>
      </c>
      <c r="E251">
        <v>0</v>
      </c>
      <c r="F251">
        <v>0</v>
      </c>
      <c r="G251">
        <v>0.3629</v>
      </c>
      <c r="H251">
        <v>111.88200000000001</v>
      </c>
      <c r="I251">
        <v>4.133</v>
      </c>
      <c r="J251">
        <v>108.1118</v>
      </c>
      <c r="K251">
        <v>0</v>
      </c>
      <c r="L251">
        <v>0</v>
      </c>
    </row>
    <row r="252" spans="1:12" x14ac:dyDescent="0.35">
      <c r="A252" s="3" t="s">
        <v>443</v>
      </c>
      <c r="B252" s="1" t="str">
        <f t="shared" si="6"/>
        <v>Lago Paranoa</v>
      </c>
      <c r="C252" s="1">
        <f t="shared" si="7"/>
        <v>-2537</v>
      </c>
      <c r="D252">
        <v>0</v>
      </c>
      <c r="E252">
        <v>2302.4499999999998</v>
      </c>
      <c r="F252">
        <v>0.30630000000000002</v>
      </c>
      <c r="G252">
        <v>3.4314</v>
      </c>
      <c r="H252">
        <v>9.3539999999999992</v>
      </c>
      <c r="I252">
        <v>1.0269999999999999</v>
      </c>
      <c r="J252">
        <v>11.4521</v>
      </c>
      <c r="K252">
        <v>2302.4499999999998</v>
      </c>
      <c r="L252">
        <v>0</v>
      </c>
    </row>
    <row r="253" spans="1:12" x14ac:dyDescent="0.35">
      <c r="A253" s="3" t="s">
        <v>444</v>
      </c>
      <c r="B253" s="1" t="str">
        <f t="shared" si="6"/>
        <v>Corumba IV</v>
      </c>
      <c r="C253" s="1">
        <f t="shared" si="7"/>
        <v>-2536</v>
      </c>
      <c r="D253">
        <v>0</v>
      </c>
      <c r="E253">
        <v>0</v>
      </c>
      <c r="F253">
        <v>0</v>
      </c>
      <c r="G253">
        <v>0.3629</v>
      </c>
      <c r="H253">
        <v>88.947900000000004</v>
      </c>
      <c r="I253">
        <v>3.948</v>
      </c>
      <c r="J253">
        <v>85.362799999999993</v>
      </c>
      <c r="K253">
        <v>0</v>
      </c>
      <c r="L253">
        <v>0</v>
      </c>
    </row>
    <row r="254" spans="1:12" x14ac:dyDescent="0.35">
      <c r="A254" s="3" t="s">
        <v>445</v>
      </c>
      <c r="B254" s="1" t="str">
        <f t="shared" si="6"/>
        <v>Lago Paranoa</v>
      </c>
      <c r="C254" s="1">
        <f t="shared" si="7"/>
        <v>-2536</v>
      </c>
      <c r="D254">
        <v>0</v>
      </c>
      <c r="E254">
        <v>2302.4499999999998</v>
      </c>
      <c r="F254">
        <v>0.30669999999999997</v>
      </c>
      <c r="G254">
        <v>2.9719000000000002</v>
      </c>
      <c r="H254">
        <v>7.9157999999999999</v>
      </c>
      <c r="I254">
        <v>1.0266</v>
      </c>
      <c r="J254">
        <v>9.5543999999999993</v>
      </c>
      <c r="K254">
        <v>2302.4499999999998</v>
      </c>
      <c r="L254">
        <v>0</v>
      </c>
    </row>
    <row r="255" spans="1:12" x14ac:dyDescent="0.35">
      <c r="A255" s="3" t="s">
        <v>446</v>
      </c>
      <c r="B255" s="1" t="str">
        <f t="shared" si="6"/>
        <v>Corumba IV</v>
      </c>
      <c r="C255" s="1">
        <f t="shared" si="7"/>
        <v>-2535</v>
      </c>
      <c r="D255">
        <v>0</v>
      </c>
      <c r="E255">
        <v>0</v>
      </c>
      <c r="F255">
        <v>0</v>
      </c>
      <c r="G255">
        <v>0.3629</v>
      </c>
      <c r="H255">
        <v>109.6183</v>
      </c>
      <c r="I255">
        <v>3.4855</v>
      </c>
      <c r="J255">
        <v>106.4957</v>
      </c>
      <c r="K255">
        <v>0</v>
      </c>
      <c r="L255">
        <v>0</v>
      </c>
    </row>
    <row r="256" spans="1:12" x14ac:dyDescent="0.35">
      <c r="A256" s="3" t="s">
        <v>447</v>
      </c>
      <c r="B256" s="1" t="str">
        <f t="shared" si="6"/>
        <v>Lago Paranoa</v>
      </c>
      <c r="C256" s="1">
        <f t="shared" si="7"/>
        <v>-2535</v>
      </c>
      <c r="D256">
        <v>0</v>
      </c>
      <c r="E256">
        <v>2302.4499999999998</v>
      </c>
      <c r="F256">
        <v>0.35539999999999999</v>
      </c>
      <c r="G256">
        <v>3.6006</v>
      </c>
      <c r="H256">
        <v>9.8231000000000002</v>
      </c>
      <c r="I256">
        <v>1.0259</v>
      </c>
      <c r="J256">
        <v>12.042299999999999</v>
      </c>
      <c r="K256">
        <v>2302.4499999999998</v>
      </c>
      <c r="L256">
        <v>0</v>
      </c>
    </row>
    <row r="257" spans="1:12" x14ac:dyDescent="0.35">
      <c r="A257" s="3" t="s">
        <v>448</v>
      </c>
      <c r="B257" s="1" t="str">
        <f t="shared" si="6"/>
        <v>Corumba IV</v>
      </c>
      <c r="C257" s="1">
        <f t="shared" si="7"/>
        <v>-2534</v>
      </c>
      <c r="D257">
        <v>0</v>
      </c>
      <c r="E257">
        <v>0</v>
      </c>
      <c r="F257">
        <v>0</v>
      </c>
      <c r="G257">
        <v>0.3629</v>
      </c>
      <c r="H257">
        <v>142.1885</v>
      </c>
      <c r="I257">
        <v>3.4855</v>
      </c>
      <c r="J257">
        <v>139.0659</v>
      </c>
      <c r="K257">
        <v>0</v>
      </c>
      <c r="L257">
        <v>0</v>
      </c>
    </row>
    <row r="258" spans="1:12" x14ac:dyDescent="0.35">
      <c r="A258" s="3" t="s">
        <v>449</v>
      </c>
      <c r="B258" s="1" t="str">
        <f t="shared" si="6"/>
        <v>Lago Paranoa</v>
      </c>
      <c r="C258" s="1">
        <f t="shared" si="7"/>
        <v>-2534</v>
      </c>
      <c r="D258">
        <v>0</v>
      </c>
      <c r="E258">
        <v>2302.4499999999998</v>
      </c>
      <c r="F258">
        <v>0.35570000000000002</v>
      </c>
      <c r="G258">
        <v>5.2995000000000001</v>
      </c>
      <c r="H258">
        <v>12.8348</v>
      </c>
      <c r="I258">
        <v>1.0259</v>
      </c>
      <c r="J258">
        <v>16.752700000000001</v>
      </c>
      <c r="K258">
        <v>2302.4499999999998</v>
      </c>
      <c r="L258">
        <v>0</v>
      </c>
    </row>
    <row r="259" spans="1:12" x14ac:dyDescent="0.35">
      <c r="A259" s="3" t="s">
        <v>450</v>
      </c>
      <c r="B259" s="1" t="str">
        <f t="shared" ref="B259:B322" si="8">_xlfn.TEXTBEFORE(_xlfn.TEXTAFTER(A259,"["),"]")</f>
        <v>Corumba IV</v>
      </c>
      <c r="C259" s="1">
        <f t="shared" si="7"/>
        <v>-2533</v>
      </c>
      <c r="D259">
        <v>0</v>
      </c>
      <c r="E259">
        <v>0</v>
      </c>
      <c r="F259">
        <v>0</v>
      </c>
      <c r="G259">
        <v>0.3629</v>
      </c>
      <c r="H259">
        <v>98.579800000000006</v>
      </c>
      <c r="I259">
        <v>3.4855</v>
      </c>
      <c r="J259">
        <v>95.4572</v>
      </c>
      <c r="K259">
        <v>0</v>
      </c>
      <c r="L259">
        <v>0</v>
      </c>
    </row>
    <row r="260" spans="1:12" x14ac:dyDescent="0.35">
      <c r="A260" s="3" t="s">
        <v>451</v>
      </c>
      <c r="B260" s="1" t="str">
        <f t="shared" si="8"/>
        <v>Lago Paranoa</v>
      </c>
      <c r="C260" s="1">
        <f t="shared" ref="C260:C323" si="9">--_xlfn.TEXTBEFORE(_xlfn.TEXTAFTER(A260,"Week "),":")</f>
        <v>-2533</v>
      </c>
      <c r="D260">
        <v>0</v>
      </c>
      <c r="E260">
        <v>2302.4499999999998</v>
      </c>
      <c r="F260">
        <v>0.35610000000000003</v>
      </c>
      <c r="G260">
        <v>3.5790000000000002</v>
      </c>
      <c r="H260">
        <v>9.7362000000000002</v>
      </c>
      <c r="I260">
        <v>1.0259</v>
      </c>
      <c r="J260">
        <v>11.933199999999999</v>
      </c>
      <c r="K260">
        <v>2302.4499999999998</v>
      </c>
      <c r="L260">
        <v>0</v>
      </c>
    </row>
    <row r="261" spans="1:12" x14ac:dyDescent="0.35">
      <c r="A261" s="3" t="s">
        <v>452</v>
      </c>
      <c r="B261" s="1" t="str">
        <f t="shared" si="8"/>
        <v>Corumba IV</v>
      </c>
      <c r="C261" s="1">
        <f t="shared" si="9"/>
        <v>-2532</v>
      </c>
      <c r="D261">
        <v>0</v>
      </c>
      <c r="E261">
        <v>0</v>
      </c>
      <c r="F261">
        <v>0</v>
      </c>
      <c r="G261">
        <v>0.3629</v>
      </c>
      <c r="H261">
        <v>83.566100000000006</v>
      </c>
      <c r="I261">
        <v>3.4954999999999998</v>
      </c>
      <c r="J261">
        <v>80.433400000000006</v>
      </c>
      <c r="K261">
        <v>0</v>
      </c>
      <c r="L261">
        <v>0</v>
      </c>
    </row>
    <row r="262" spans="1:12" x14ac:dyDescent="0.35">
      <c r="A262" s="3" t="s">
        <v>453</v>
      </c>
      <c r="B262" s="1" t="str">
        <f t="shared" si="8"/>
        <v>Lago Paranoa</v>
      </c>
      <c r="C262" s="1">
        <f t="shared" si="9"/>
        <v>-2532</v>
      </c>
      <c r="D262">
        <v>0</v>
      </c>
      <c r="E262">
        <v>2302.4499999999998</v>
      </c>
      <c r="F262">
        <v>0.35639999999999999</v>
      </c>
      <c r="G262">
        <v>3.2195</v>
      </c>
      <c r="H262">
        <v>7.7812000000000001</v>
      </c>
      <c r="I262">
        <v>1.0389999999999999</v>
      </c>
      <c r="J262">
        <v>9.6052999999999997</v>
      </c>
      <c r="K262">
        <v>2302.4499999999998</v>
      </c>
      <c r="L262">
        <v>0</v>
      </c>
    </row>
    <row r="263" spans="1:12" x14ac:dyDescent="0.35">
      <c r="A263" s="3" t="s">
        <v>454</v>
      </c>
      <c r="B263" s="1" t="str">
        <f t="shared" si="8"/>
        <v>Corumba IV</v>
      </c>
      <c r="C263" s="1">
        <f t="shared" si="9"/>
        <v>-2531</v>
      </c>
      <c r="D263">
        <v>0</v>
      </c>
      <c r="E263">
        <v>0</v>
      </c>
      <c r="F263">
        <v>0</v>
      </c>
      <c r="G263">
        <v>0.3629</v>
      </c>
      <c r="H263">
        <v>75.445300000000003</v>
      </c>
      <c r="I263">
        <v>3.8708</v>
      </c>
      <c r="J263">
        <v>71.937399999999997</v>
      </c>
      <c r="K263">
        <v>0</v>
      </c>
      <c r="L263">
        <v>0</v>
      </c>
    </row>
    <row r="264" spans="1:12" x14ac:dyDescent="0.35">
      <c r="A264" s="3" t="s">
        <v>455</v>
      </c>
      <c r="B264" s="1" t="str">
        <f t="shared" si="8"/>
        <v>Lago Paranoa</v>
      </c>
      <c r="C264" s="1">
        <f t="shared" si="9"/>
        <v>-2531</v>
      </c>
      <c r="D264">
        <v>0</v>
      </c>
      <c r="E264">
        <v>2302.4499999999998</v>
      </c>
      <c r="F264">
        <v>0.33789999999999998</v>
      </c>
      <c r="G264">
        <v>3.0255999999999998</v>
      </c>
      <c r="H264">
        <v>7.2518000000000002</v>
      </c>
      <c r="I264">
        <v>1.0315000000000001</v>
      </c>
      <c r="J264">
        <v>8.9080999999999992</v>
      </c>
      <c r="K264">
        <v>2302.4499999999998</v>
      </c>
      <c r="L264">
        <v>0</v>
      </c>
    </row>
    <row r="265" spans="1:12" x14ac:dyDescent="0.35">
      <c r="A265" s="3" t="s">
        <v>456</v>
      </c>
      <c r="B265" s="1" t="str">
        <f t="shared" si="8"/>
        <v>Corumba IV</v>
      </c>
      <c r="C265" s="1">
        <f t="shared" si="9"/>
        <v>-2530</v>
      </c>
      <c r="D265">
        <v>0</v>
      </c>
      <c r="E265">
        <v>0</v>
      </c>
      <c r="F265">
        <v>0</v>
      </c>
      <c r="G265">
        <v>0.3629</v>
      </c>
      <c r="H265">
        <v>67.227000000000004</v>
      </c>
      <c r="I265">
        <v>4.0376000000000003</v>
      </c>
      <c r="J265">
        <v>63.552300000000002</v>
      </c>
      <c r="K265">
        <v>0</v>
      </c>
      <c r="L265">
        <v>0</v>
      </c>
    </row>
    <row r="266" spans="1:12" x14ac:dyDescent="0.35">
      <c r="A266" s="3" t="s">
        <v>457</v>
      </c>
      <c r="B266" s="1" t="str">
        <f t="shared" si="8"/>
        <v>Lago Paranoa</v>
      </c>
      <c r="C266" s="1">
        <f t="shared" si="9"/>
        <v>-2530</v>
      </c>
      <c r="D266">
        <v>0</v>
      </c>
      <c r="E266">
        <v>2302.4499999999998</v>
      </c>
      <c r="F266">
        <v>0.3382</v>
      </c>
      <c r="G266">
        <v>3.113</v>
      </c>
      <c r="H266">
        <v>6.5195999999999996</v>
      </c>
      <c r="I266">
        <v>1.0430999999999999</v>
      </c>
      <c r="J266">
        <v>8.2513000000000005</v>
      </c>
      <c r="K266">
        <v>2302.4499999999998</v>
      </c>
      <c r="L266">
        <v>0</v>
      </c>
    </row>
    <row r="267" spans="1:12" x14ac:dyDescent="0.35">
      <c r="A267" s="3" t="s">
        <v>458</v>
      </c>
      <c r="B267" s="1" t="str">
        <f t="shared" si="8"/>
        <v>Corumba IV</v>
      </c>
      <c r="C267" s="1">
        <f t="shared" si="9"/>
        <v>-2529</v>
      </c>
      <c r="D267">
        <v>0</v>
      </c>
      <c r="E267">
        <v>0</v>
      </c>
      <c r="F267">
        <v>0</v>
      </c>
      <c r="G267">
        <v>0.3629</v>
      </c>
      <c r="H267">
        <v>62.894599999999997</v>
      </c>
      <c r="I267">
        <v>4.0376000000000003</v>
      </c>
      <c r="J267">
        <v>59.219900000000003</v>
      </c>
      <c r="K267">
        <v>0</v>
      </c>
      <c r="L267">
        <v>0</v>
      </c>
    </row>
    <row r="268" spans="1:12" x14ac:dyDescent="0.35">
      <c r="A268" s="3" t="s">
        <v>459</v>
      </c>
      <c r="B268" s="1" t="str">
        <f t="shared" si="8"/>
        <v>Lago Paranoa</v>
      </c>
      <c r="C268" s="1">
        <f t="shared" si="9"/>
        <v>-2529</v>
      </c>
      <c r="D268">
        <v>0</v>
      </c>
      <c r="E268">
        <v>2302.4499999999998</v>
      </c>
      <c r="F268">
        <v>0.33850000000000002</v>
      </c>
      <c r="G268">
        <v>2.9922</v>
      </c>
      <c r="H268">
        <v>6.1520999999999999</v>
      </c>
      <c r="I268">
        <v>1.0430999999999999</v>
      </c>
      <c r="J268">
        <v>7.7626999999999997</v>
      </c>
      <c r="K268">
        <v>2302.4499999999998</v>
      </c>
      <c r="L268">
        <v>0</v>
      </c>
    </row>
    <row r="269" spans="1:12" x14ac:dyDescent="0.35">
      <c r="A269" s="3" t="s">
        <v>460</v>
      </c>
      <c r="B269" s="1" t="str">
        <f t="shared" si="8"/>
        <v>Corumba IV</v>
      </c>
      <c r="C269" s="1">
        <f t="shared" si="9"/>
        <v>-2528</v>
      </c>
      <c r="D269">
        <v>0</v>
      </c>
      <c r="E269">
        <v>0</v>
      </c>
      <c r="F269">
        <v>0</v>
      </c>
      <c r="G269">
        <v>0.3629</v>
      </c>
      <c r="H269">
        <v>58.2515</v>
      </c>
      <c r="I269">
        <v>4.0376000000000003</v>
      </c>
      <c r="J269">
        <v>54.576799999999999</v>
      </c>
      <c r="K269">
        <v>0</v>
      </c>
      <c r="L269">
        <v>0</v>
      </c>
    </row>
    <row r="270" spans="1:12" x14ac:dyDescent="0.35">
      <c r="A270" s="3" t="s">
        <v>461</v>
      </c>
      <c r="B270" s="1" t="str">
        <f t="shared" si="8"/>
        <v>Lago Paranoa</v>
      </c>
      <c r="C270" s="1">
        <f t="shared" si="9"/>
        <v>-2528</v>
      </c>
      <c r="D270">
        <v>0</v>
      </c>
      <c r="E270">
        <v>2302.4499999999998</v>
      </c>
      <c r="F270">
        <v>0.33879999999999999</v>
      </c>
      <c r="G270">
        <v>3.4394</v>
      </c>
      <c r="H270">
        <v>7.0225999999999997</v>
      </c>
      <c r="I270">
        <v>1.0430999999999999</v>
      </c>
      <c r="J270">
        <v>9.08</v>
      </c>
      <c r="K270">
        <v>2302.4499999999998</v>
      </c>
      <c r="L270">
        <v>0</v>
      </c>
    </row>
    <row r="271" spans="1:12" x14ac:dyDescent="0.35">
      <c r="A271" s="3" t="s">
        <v>462</v>
      </c>
      <c r="B271" s="1" t="str">
        <f t="shared" si="8"/>
        <v>Corumba IV</v>
      </c>
      <c r="C271" s="1">
        <f t="shared" si="9"/>
        <v>-2527</v>
      </c>
      <c r="D271">
        <v>0</v>
      </c>
      <c r="E271">
        <v>0</v>
      </c>
      <c r="F271">
        <v>0</v>
      </c>
      <c r="G271">
        <v>0.3629</v>
      </c>
      <c r="H271">
        <v>52.870800000000003</v>
      </c>
      <c r="I271">
        <v>3.5949</v>
      </c>
      <c r="J271">
        <v>49.6387</v>
      </c>
      <c r="K271">
        <v>0</v>
      </c>
      <c r="L271">
        <v>0</v>
      </c>
    </row>
    <row r="272" spans="1:12" x14ac:dyDescent="0.35">
      <c r="A272" s="3" t="s">
        <v>463</v>
      </c>
      <c r="B272" s="1" t="str">
        <f t="shared" si="8"/>
        <v>Lago Paranoa</v>
      </c>
      <c r="C272" s="1">
        <f t="shared" si="9"/>
        <v>-2527</v>
      </c>
      <c r="D272">
        <v>0</v>
      </c>
      <c r="E272">
        <v>2302.4499999999998</v>
      </c>
      <c r="F272">
        <v>0.40600000000000003</v>
      </c>
      <c r="G272">
        <v>3.1107999999999998</v>
      </c>
      <c r="H272">
        <v>6.3967999999999998</v>
      </c>
      <c r="I272">
        <v>0.87890000000000001</v>
      </c>
      <c r="J272">
        <v>8.2226999999999997</v>
      </c>
      <c r="K272">
        <v>2302.4499999999998</v>
      </c>
      <c r="L272">
        <v>0</v>
      </c>
    </row>
    <row r="273" spans="1:12" x14ac:dyDescent="0.35">
      <c r="A273" s="3" t="s">
        <v>464</v>
      </c>
      <c r="B273" s="1" t="str">
        <f t="shared" si="8"/>
        <v>Corumba IV</v>
      </c>
      <c r="C273" s="1">
        <f t="shared" si="9"/>
        <v>-2526</v>
      </c>
      <c r="D273">
        <v>0</v>
      </c>
      <c r="E273">
        <v>0</v>
      </c>
      <c r="F273">
        <v>0</v>
      </c>
      <c r="G273">
        <v>0.3629</v>
      </c>
      <c r="H273">
        <v>47.6858</v>
      </c>
      <c r="I273">
        <v>3.7919</v>
      </c>
      <c r="J273">
        <v>44.256799999999998</v>
      </c>
      <c r="K273">
        <v>0</v>
      </c>
      <c r="L273">
        <v>0</v>
      </c>
    </row>
    <row r="274" spans="1:12" x14ac:dyDescent="0.35">
      <c r="A274" s="3" t="s">
        <v>465</v>
      </c>
      <c r="B274" s="1" t="str">
        <f t="shared" si="8"/>
        <v>Lago Paranoa</v>
      </c>
      <c r="C274" s="1">
        <f t="shared" si="9"/>
        <v>-2526</v>
      </c>
      <c r="D274">
        <v>0</v>
      </c>
      <c r="E274">
        <v>2302.4499999999998</v>
      </c>
      <c r="F274">
        <v>0.40629999999999999</v>
      </c>
      <c r="G274">
        <v>2.9146000000000001</v>
      </c>
      <c r="H274">
        <v>5.7542</v>
      </c>
      <c r="I274">
        <v>0.86219999999999997</v>
      </c>
      <c r="J274">
        <v>7.4002999999999997</v>
      </c>
      <c r="K274">
        <v>2302.4499999999998</v>
      </c>
      <c r="L274">
        <v>0</v>
      </c>
    </row>
    <row r="275" spans="1:12" x14ac:dyDescent="0.35">
      <c r="A275" s="3" t="s">
        <v>466</v>
      </c>
      <c r="B275" s="1" t="str">
        <f t="shared" si="8"/>
        <v>Corumba IV</v>
      </c>
      <c r="C275" s="1">
        <f t="shared" si="9"/>
        <v>-2525</v>
      </c>
      <c r="D275">
        <v>0</v>
      </c>
      <c r="E275">
        <v>0</v>
      </c>
      <c r="F275">
        <v>0</v>
      </c>
      <c r="G275">
        <v>0.3629</v>
      </c>
      <c r="H275">
        <v>43.394300000000001</v>
      </c>
      <c r="I275">
        <v>3.7919</v>
      </c>
      <c r="J275">
        <v>39.965299999999999</v>
      </c>
      <c r="K275">
        <v>0</v>
      </c>
      <c r="L275">
        <v>0</v>
      </c>
    </row>
    <row r="276" spans="1:12" x14ac:dyDescent="0.35">
      <c r="A276" s="3" t="s">
        <v>467</v>
      </c>
      <c r="B276" s="1" t="str">
        <f t="shared" si="8"/>
        <v>Lago Paranoa</v>
      </c>
      <c r="C276" s="1">
        <f t="shared" si="9"/>
        <v>-2525</v>
      </c>
      <c r="D276">
        <v>0</v>
      </c>
      <c r="E276">
        <v>2302.4499999999998</v>
      </c>
      <c r="F276">
        <v>0.40670000000000001</v>
      </c>
      <c r="G276">
        <v>2.7673000000000001</v>
      </c>
      <c r="H276">
        <v>5.5251999999999999</v>
      </c>
      <c r="I276">
        <v>0.86219999999999997</v>
      </c>
      <c r="J276">
        <v>7.0236999999999998</v>
      </c>
      <c r="K276">
        <v>2302.4499999999998</v>
      </c>
      <c r="L276">
        <v>0</v>
      </c>
    </row>
    <row r="277" spans="1:12" x14ac:dyDescent="0.35">
      <c r="A277" s="3" t="s">
        <v>468</v>
      </c>
      <c r="B277" s="1" t="str">
        <f t="shared" si="8"/>
        <v>Corumba IV</v>
      </c>
      <c r="C277" s="1">
        <f t="shared" si="9"/>
        <v>-2524</v>
      </c>
      <c r="D277">
        <v>0</v>
      </c>
      <c r="E277">
        <v>0</v>
      </c>
      <c r="F277">
        <v>0</v>
      </c>
      <c r="G277">
        <v>0.3629</v>
      </c>
      <c r="H277">
        <v>40.496299999999998</v>
      </c>
      <c r="I277">
        <v>3.7919</v>
      </c>
      <c r="J277">
        <v>37.067300000000003</v>
      </c>
      <c r="K277">
        <v>0</v>
      </c>
      <c r="L277">
        <v>0</v>
      </c>
    </row>
    <row r="278" spans="1:12" x14ac:dyDescent="0.35">
      <c r="A278" s="3" t="s">
        <v>469</v>
      </c>
      <c r="B278" s="1" t="str">
        <f t="shared" si="8"/>
        <v>Lago Paranoa</v>
      </c>
      <c r="C278" s="1">
        <f t="shared" si="9"/>
        <v>-2524</v>
      </c>
      <c r="D278">
        <v>0</v>
      </c>
      <c r="E278">
        <v>2302.4499999999998</v>
      </c>
      <c r="F278">
        <v>0.40699999999999997</v>
      </c>
      <c r="G278">
        <v>2.6680999999999999</v>
      </c>
      <c r="H278">
        <v>5.3844000000000003</v>
      </c>
      <c r="I278">
        <v>0.86219999999999997</v>
      </c>
      <c r="J278">
        <v>6.7834000000000003</v>
      </c>
      <c r="K278">
        <v>2302.4499999999998</v>
      </c>
      <c r="L278">
        <v>0</v>
      </c>
    </row>
    <row r="279" spans="1:12" x14ac:dyDescent="0.35">
      <c r="A279" s="3" t="s">
        <v>470</v>
      </c>
      <c r="B279" s="1" t="str">
        <f t="shared" si="8"/>
        <v>Corumba IV</v>
      </c>
      <c r="C279" s="1">
        <f t="shared" si="9"/>
        <v>-2523</v>
      </c>
      <c r="D279">
        <v>0</v>
      </c>
      <c r="E279">
        <v>0</v>
      </c>
      <c r="F279">
        <v>0</v>
      </c>
      <c r="G279">
        <v>0.3629</v>
      </c>
      <c r="H279">
        <v>38.078899999999997</v>
      </c>
      <c r="I279">
        <v>4.1079999999999997</v>
      </c>
      <c r="J279">
        <v>34.333799999999997</v>
      </c>
      <c r="K279">
        <v>0</v>
      </c>
      <c r="L279">
        <v>0</v>
      </c>
    </row>
    <row r="280" spans="1:12" x14ac:dyDescent="0.35">
      <c r="A280" s="3" t="s">
        <v>471</v>
      </c>
      <c r="B280" s="1" t="str">
        <f t="shared" si="8"/>
        <v>Lago Paranoa</v>
      </c>
      <c r="C280" s="1">
        <f t="shared" si="9"/>
        <v>-2523</v>
      </c>
      <c r="D280">
        <v>0</v>
      </c>
      <c r="E280">
        <v>2302.4499999999998</v>
      </c>
      <c r="F280">
        <v>0.4073</v>
      </c>
      <c r="G280">
        <v>2.5981999999999998</v>
      </c>
      <c r="H280">
        <v>5.3038999999999996</v>
      </c>
      <c r="I280">
        <v>0.95650000000000002</v>
      </c>
      <c r="J280">
        <v>6.5381999999999998</v>
      </c>
      <c r="K280">
        <v>2302.4499999999998</v>
      </c>
      <c r="L280">
        <v>0</v>
      </c>
    </row>
    <row r="281" spans="1:12" x14ac:dyDescent="0.35">
      <c r="A281" s="3" t="s">
        <v>472</v>
      </c>
      <c r="B281" s="1" t="str">
        <f t="shared" si="8"/>
        <v>Corumba IV</v>
      </c>
      <c r="C281" s="1">
        <f t="shared" si="9"/>
        <v>-2522</v>
      </c>
      <c r="D281">
        <v>0</v>
      </c>
      <c r="E281">
        <v>0</v>
      </c>
      <c r="F281">
        <v>0</v>
      </c>
      <c r="G281">
        <v>0.3629</v>
      </c>
      <c r="H281">
        <v>34.604799999999997</v>
      </c>
      <c r="I281">
        <v>5.0331999999999999</v>
      </c>
      <c r="J281">
        <v>29.9345</v>
      </c>
      <c r="K281">
        <v>0</v>
      </c>
      <c r="L281">
        <v>0</v>
      </c>
    </row>
    <row r="282" spans="1:12" x14ac:dyDescent="0.35">
      <c r="A282" s="3" t="s">
        <v>473</v>
      </c>
      <c r="B282" s="1" t="str">
        <f t="shared" si="8"/>
        <v>Lago Paranoa</v>
      </c>
      <c r="C282" s="1">
        <f t="shared" si="9"/>
        <v>-2522</v>
      </c>
      <c r="D282">
        <v>0</v>
      </c>
      <c r="E282">
        <v>2302.4499999999998</v>
      </c>
      <c r="F282">
        <v>0.4234</v>
      </c>
      <c r="G282">
        <v>2.5705</v>
      </c>
      <c r="H282">
        <v>5.1289999999999996</v>
      </c>
      <c r="I282">
        <v>1.2343999999999999</v>
      </c>
      <c r="J282">
        <v>6.0418000000000003</v>
      </c>
      <c r="K282">
        <v>2302.4499999999998</v>
      </c>
      <c r="L282">
        <v>0</v>
      </c>
    </row>
    <row r="283" spans="1:12" x14ac:dyDescent="0.35">
      <c r="A283" s="3" t="s">
        <v>474</v>
      </c>
      <c r="B283" s="1" t="str">
        <f t="shared" si="8"/>
        <v>Corumba IV</v>
      </c>
      <c r="C283" s="1">
        <f t="shared" si="9"/>
        <v>-2521</v>
      </c>
      <c r="D283">
        <v>0</v>
      </c>
      <c r="E283">
        <v>0</v>
      </c>
      <c r="F283">
        <v>0</v>
      </c>
      <c r="G283">
        <v>0.3629</v>
      </c>
      <c r="H283">
        <v>35.252299999999998</v>
      </c>
      <c r="I283">
        <v>5.0331999999999999</v>
      </c>
      <c r="J283">
        <v>30.582000000000001</v>
      </c>
      <c r="K283">
        <v>0</v>
      </c>
      <c r="L283">
        <v>0</v>
      </c>
    </row>
    <row r="284" spans="1:12" x14ac:dyDescent="0.35">
      <c r="A284" s="3" t="s">
        <v>475</v>
      </c>
      <c r="B284" s="1" t="str">
        <f t="shared" si="8"/>
        <v>Lago Paranoa</v>
      </c>
      <c r="C284" s="1">
        <f t="shared" si="9"/>
        <v>-2521</v>
      </c>
      <c r="D284">
        <v>0</v>
      </c>
      <c r="E284">
        <v>2302.4499999999998</v>
      </c>
      <c r="F284">
        <v>0.4234</v>
      </c>
      <c r="G284">
        <v>2.8209</v>
      </c>
      <c r="H284">
        <v>5.2415000000000003</v>
      </c>
      <c r="I284">
        <v>1.2343999999999999</v>
      </c>
      <c r="J284">
        <v>6.4047000000000001</v>
      </c>
      <c r="K284">
        <v>2302.4499999999998</v>
      </c>
      <c r="L284">
        <v>0</v>
      </c>
    </row>
    <row r="285" spans="1:12" x14ac:dyDescent="0.35">
      <c r="A285" s="3" t="s">
        <v>476</v>
      </c>
      <c r="B285" s="1" t="str">
        <f t="shared" si="8"/>
        <v>Corumba IV</v>
      </c>
      <c r="C285" s="1">
        <f t="shared" si="9"/>
        <v>-2520</v>
      </c>
      <c r="D285">
        <v>0</v>
      </c>
      <c r="E285">
        <v>0</v>
      </c>
      <c r="F285">
        <v>0</v>
      </c>
      <c r="G285">
        <v>0.3629</v>
      </c>
      <c r="H285">
        <v>32.8932</v>
      </c>
      <c r="I285">
        <v>5.0331999999999999</v>
      </c>
      <c r="J285">
        <v>28.222899999999999</v>
      </c>
      <c r="K285">
        <v>0</v>
      </c>
      <c r="L285">
        <v>0</v>
      </c>
    </row>
    <row r="286" spans="1:12" x14ac:dyDescent="0.35">
      <c r="A286" s="3" t="s">
        <v>477</v>
      </c>
      <c r="B286" s="1" t="str">
        <f t="shared" si="8"/>
        <v>Lago Paranoa</v>
      </c>
      <c r="C286" s="1">
        <f t="shared" si="9"/>
        <v>-2520</v>
      </c>
      <c r="D286">
        <v>0</v>
      </c>
      <c r="E286">
        <v>2302.4499999999998</v>
      </c>
      <c r="F286">
        <v>0.4234</v>
      </c>
      <c r="G286">
        <v>2.6111</v>
      </c>
      <c r="H286">
        <v>5.1281999999999996</v>
      </c>
      <c r="I286">
        <v>1.2343999999999999</v>
      </c>
      <c r="J286">
        <v>6.0815000000000001</v>
      </c>
      <c r="K286">
        <v>2302.4499999999998</v>
      </c>
      <c r="L286">
        <v>0</v>
      </c>
    </row>
    <row r="287" spans="1:12" x14ac:dyDescent="0.35">
      <c r="A287" s="3" t="s">
        <v>478</v>
      </c>
      <c r="B287" s="1" t="str">
        <f t="shared" si="8"/>
        <v>Corumba IV</v>
      </c>
      <c r="C287" s="1">
        <f t="shared" si="9"/>
        <v>-2519</v>
      </c>
      <c r="D287">
        <v>0</v>
      </c>
      <c r="E287">
        <v>0</v>
      </c>
      <c r="F287">
        <v>0</v>
      </c>
      <c r="G287">
        <v>0.3629</v>
      </c>
      <c r="H287">
        <v>30.775600000000001</v>
      </c>
      <c r="I287">
        <v>5.0331999999999999</v>
      </c>
      <c r="J287">
        <v>26.1053</v>
      </c>
      <c r="K287">
        <v>0</v>
      </c>
      <c r="L287">
        <v>0</v>
      </c>
    </row>
    <row r="288" spans="1:12" x14ac:dyDescent="0.35">
      <c r="A288" s="3" t="s">
        <v>479</v>
      </c>
      <c r="B288" s="1" t="str">
        <f t="shared" si="8"/>
        <v>Lago Paranoa</v>
      </c>
      <c r="C288" s="1">
        <f t="shared" si="9"/>
        <v>-2519</v>
      </c>
      <c r="D288">
        <v>0</v>
      </c>
      <c r="E288">
        <v>2302.4499999999998</v>
      </c>
      <c r="F288">
        <v>0.4234</v>
      </c>
      <c r="G288">
        <v>2.5009000000000001</v>
      </c>
      <c r="H288">
        <v>4.8662999999999998</v>
      </c>
      <c r="I288">
        <v>1.2343999999999999</v>
      </c>
      <c r="J288">
        <v>5.7093999999999996</v>
      </c>
      <c r="K288">
        <v>2302.4499999999998</v>
      </c>
      <c r="L288">
        <v>0</v>
      </c>
    </row>
    <row r="289" spans="1:12" x14ac:dyDescent="0.35">
      <c r="A289" s="3" t="s">
        <v>480</v>
      </c>
      <c r="B289" s="1" t="str">
        <f t="shared" si="8"/>
        <v>Corumba IV</v>
      </c>
      <c r="C289" s="1">
        <f t="shared" si="9"/>
        <v>-2518</v>
      </c>
      <c r="D289">
        <v>0</v>
      </c>
      <c r="E289">
        <v>0</v>
      </c>
      <c r="F289">
        <v>0</v>
      </c>
      <c r="G289">
        <v>0.3629</v>
      </c>
      <c r="H289">
        <v>29.621300000000002</v>
      </c>
      <c r="I289">
        <v>5.8121</v>
      </c>
      <c r="J289">
        <v>24.172000000000001</v>
      </c>
      <c r="K289">
        <v>0</v>
      </c>
      <c r="L289">
        <v>0</v>
      </c>
    </row>
    <row r="290" spans="1:12" x14ac:dyDescent="0.35">
      <c r="A290" s="3" t="s">
        <v>481</v>
      </c>
      <c r="B290" s="1" t="str">
        <f t="shared" si="8"/>
        <v>Lago Paranoa</v>
      </c>
      <c r="C290" s="1">
        <f t="shared" si="9"/>
        <v>-2518</v>
      </c>
      <c r="D290">
        <v>0</v>
      </c>
      <c r="E290">
        <v>2302.4499999999998</v>
      </c>
      <c r="F290">
        <v>0.4234</v>
      </c>
      <c r="G290">
        <v>2.4931000000000001</v>
      </c>
      <c r="H290">
        <v>4.8353999999999999</v>
      </c>
      <c r="I290">
        <v>1.4512</v>
      </c>
      <c r="J290">
        <v>5.4539</v>
      </c>
      <c r="K290">
        <v>2302.4499999999998</v>
      </c>
      <c r="L290">
        <v>0</v>
      </c>
    </row>
    <row r="291" spans="1:12" x14ac:dyDescent="0.35">
      <c r="A291" s="3" t="s">
        <v>482</v>
      </c>
      <c r="B291" s="1" t="str">
        <f t="shared" si="8"/>
        <v>Corumba IV</v>
      </c>
      <c r="C291" s="1">
        <f t="shared" si="9"/>
        <v>-2517</v>
      </c>
      <c r="D291">
        <v>0</v>
      </c>
      <c r="E291">
        <v>0</v>
      </c>
      <c r="F291">
        <v>0</v>
      </c>
      <c r="G291">
        <v>0.3629</v>
      </c>
      <c r="H291">
        <v>27.8551</v>
      </c>
      <c r="I291">
        <v>5.9419000000000004</v>
      </c>
      <c r="J291">
        <v>22.276</v>
      </c>
      <c r="K291">
        <v>0</v>
      </c>
      <c r="L291">
        <v>0</v>
      </c>
    </row>
    <row r="292" spans="1:12" x14ac:dyDescent="0.35">
      <c r="A292" s="3" t="s">
        <v>483</v>
      </c>
      <c r="B292" s="1" t="str">
        <f t="shared" si="8"/>
        <v>Lago Paranoa</v>
      </c>
      <c r="C292" s="1">
        <f t="shared" si="9"/>
        <v>-2517</v>
      </c>
      <c r="D292">
        <v>0</v>
      </c>
      <c r="E292">
        <v>2302.4499999999998</v>
      </c>
      <c r="F292">
        <v>0.4234</v>
      </c>
      <c r="G292">
        <v>2.4540999999999999</v>
      </c>
      <c r="H292">
        <v>4.6283000000000003</v>
      </c>
      <c r="I292">
        <v>1.4873000000000001</v>
      </c>
      <c r="J292">
        <v>5.1717000000000004</v>
      </c>
      <c r="K292">
        <v>2302.4499999999998</v>
      </c>
      <c r="L292">
        <v>0</v>
      </c>
    </row>
    <row r="293" spans="1:12" x14ac:dyDescent="0.35">
      <c r="A293" s="3" t="s">
        <v>484</v>
      </c>
      <c r="B293" s="1" t="str">
        <f t="shared" si="8"/>
        <v>Corumba IV</v>
      </c>
      <c r="C293" s="1">
        <f t="shared" si="9"/>
        <v>-2516</v>
      </c>
      <c r="D293">
        <v>0</v>
      </c>
      <c r="E293">
        <v>0</v>
      </c>
      <c r="F293">
        <v>0</v>
      </c>
      <c r="G293">
        <v>0.3629</v>
      </c>
      <c r="H293">
        <v>26.208600000000001</v>
      </c>
      <c r="I293">
        <v>5.9419000000000004</v>
      </c>
      <c r="J293">
        <v>20.6295</v>
      </c>
      <c r="K293">
        <v>0</v>
      </c>
      <c r="L293">
        <v>0</v>
      </c>
    </row>
    <row r="294" spans="1:12" x14ac:dyDescent="0.35">
      <c r="A294" s="3" t="s">
        <v>485</v>
      </c>
      <c r="B294" s="1" t="str">
        <f t="shared" si="8"/>
        <v>Lago Paranoa</v>
      </c>
      <c r="C294" s="1">
        <f t="shared" si="9"/>
        <v>-2516</v>
      </c>
      <c r="D294">
        <v>0</v>
      </c>
      <c r="E294">
        <v>2302.4499999999998</v>
      </c>
      <c r="F294">
        <v>0.4234</v>
      </c>
      <c r="G294">
        <v>2.3327</v>
      </c>
      <c r="H294">
        <v>4.4547999999999996</v>
      </c>
      <c r="I294">
        <v>1.4873000000000001</v>
      </c>
      <c r="J294">
        <v>4.8769</v>
      </c>
      <c r="K294">
        <v>2302.4499999999998</v>
      </c>
      <c r="L294">
        <v>0</v>
      </c>
    </row>
    <row r="295" spans="1:12" x14ac:dyDescent="0.35">
      <c r="A295" s="3" t="s">
        <v>486</v>
      </c>
      <c r="B295" s="1" t="str">
        <f t="shared" si="8"/>
        <v>Corumba IV</v>
      </c>
      <c r="C295" s="1">
        <f t="shared" si="9"/>
        <v>-2515</v>
      </c>
      <c r="D295">
        <v>0</v>
      </c>
      <c r="E295">
        <v>0</v>
      </c>
      <c r="F295">
        <v>0</v>
      </c>
      <c r="G295">
        <v>0.3629</v>
      </c>
      <c r="H295">
        <v>24.583600000000001</v>
      </c>
      <c r="I295">
        <v>5.9419000000000004</v>
      </c>
      <c r="J295">
        <v>19.0045</v>
      </c>
      <c r="K295">
        <v>0</v>
      </c>
      <c r="L295">
        <v>0</v>
      </c>
    </row>
    <row r="296" spans="1:12" x14ac:dyDescent="0.35">
      <c r="A296" s="3" t="s">
        <v>487</v>
      </c>
      <c r="B296" s="1" t="str">
        <f t="shared" si="8"/>
        <v>Lago Paranoa</v>
      </c>
      <c r="C296" s="1">
        <f t="shared" si="9"/>
        <v>-2515</v>
      </c>
      <c r="D296">
        <v>0</v>
      </c>
      <c r="E296">
        <v>2302.4499999999998</v>
      </c>
      <c r="F296">
        <v>0.4234</v>
      </c>
      <c r="G296">
        <v>2.101</v>
      </c>
      <c r="H296">
        <v>4.1475999999999997</v>
      </c>
      <c r="I296">
        <v>1.4873000000000001</v>
      </c>
      <c r="J296">
        <v>4.3380000000000001</v>
      </c>
      <c r="K296">
        <v>2302.4499999999998</v>
      </c>
      <c r="L296">
        <v>0</v>
      </c>
    </row>
    <row r="297" spans="1:12" x14ac:dyDescent="0.35">
      <c r="A297" s="3" t="s">
        <v>488</v>
      </c>
      <c r="B297" s="1" t="str">
        <f t="shared" si="8"/>
        <v>Corumba IV</v>
      </c>
      <c r="C297" s="1">
        <f t="shared" si="9"/>
        <v>-2514</v>
      </c>
      <c r="D297">
        <v>0</v>
      </c>
      <c r="E297">
        <v>0</v>
      </c>
      <c r="F297">
        <v>0</v>
      </c>
      <c r="G297">
        <v>0.3629</v>
      </c>
      <c r="H297">
        <v>22.5761</v>
      </c>
      <c r="I297">
        <v>5.9767000000000001</v>
      </c>
      <c r="J297">
        <v>16.962299999999999</v>
      </c>
      <c r="K297">
        <v>0</v>
      </c>
      <c r="L297">
        <v>0</v>
      </c>
    </row>
    <row r="298" spans="1:12" x14ac:dyDescent="0.35">
      <c r="A298" s="3" t="s">
        <v>489</v>
      </c>
      <c r="B298" s="1" t="str">
        <f t="shared" si="8"/>
        <v>Lago Paranoa</v>
      </c>
      <c r="C298" s="1">
        <f t="shared" si="9"/>
        <v>-2514</v>
      </c>
      <c r="D298">
        <v>0</v>
      </c>
      <c r="E298">
        <v>2302.4499999999998</v>
      </c>
      <c r="F298">
        <v>0.4234</v>
      </c>
      <c r="G298">
        <v>2.2429000000000001</v>
      </c>
      <c r="H298">
        <v>4.2358000000000002</v>
      </c>
      <c r="I298">
        <v>1.4398</v>
      </c>
      <c r="J298">
        <v>4.6154999999999999</v>
      </c>
      <c r="K298">
        <v>2302.4499999999998</v>
      </c>
      <c r="L298">
        <v>0</v>
      </c>
    </row>
    <row r="299" spans="1:12" x14ac:dyDescent="0.35">
      <c r="A299" s="3" t="s">
        <v>490</v>
      </c>
      <c r="B299" s="1" t="str">
        <f t="shared" si="8"/>
        <v>Corumba IV</v>
      </c>
      <c r="C299" s="1">
        <f t="shared" si="9"/>
        <v>-2513</v>
      </c>
      <c r="D299">
        <v>0</v>
      </c>
      <c r="E299">
        <v>0</v>
      </c>
      <c r="F299">
        <v>0</v>
      </c>
      <c r="G299">
        <v>0.3629</v>
      </c>
      <c r="H299">
        <v>23.483000000000001</v>
      </c>
      <c r="I299">
        <v>6.0231000000000003</v>
      </c>
      <c r="J299">
        <v>17.822800000000001</v>
      </c>
      <c r="K299">
        <v>0</v>
      </c>
      <c r="L299">
        <v>0</v>
      </c>
    </row>
    <row r="300" spans="1:12" x14ac:dyDescent="0.35">
      <c r="A300" s="3" t="s">
        <v>491</v>
      </c>
      <c r="B300" s="1" t="str">
        <f t="shared" si="8"/>
        <v>Lago Paranoa</v>
      </c>
      <c r="C300" s="1">
        <f t="shared" si="9"/>
        <v>-2513</v>
      </c>
      <c r="D300">
        <v>0</v>
      </c>
      <c r="E300">
        <v>2302.4499999999998</v>
      </c>
      <c r="F300">
        <v>0.4234</v>
      </c>
      <c r="G300">
        <v>2.3252999999999999</v>
      </c>
      <c r="H300">
        <v>3.8898000000000001</v>
      </c>
      <c r="I300">
        <v>1.3765000000000001</v>
      </c>
      <c r="J300">
        <v>4.4151999999999996</v>
      </c>
      <c r="K300">
        <v>2302.4499999999998</v>
      </c>
      <c r="L300">
        <v>0</v>
      </c>
    </row>
    <row r="301" spans="1:12" x14ac:dyDescent="0.35">
      <c r="A301" s="3" t="s">
        <v>492</v>
      </c>
      <c r="B301" s="1" t="str">
        <f t="shared" si="8"/>
        <v>Corumba IV</v>
      </c>
      <c r="C301" s="1">
        <f t="shared" si="9"/>
        <v>-2512</v>
      </c>
      <c r="D301">
        <v>0</v>
      </c>
      <c r="E301">
        <v>0</v>
      </c>
      <c r="F301">
        <v>0</v>
      </c>
      <c r="G301">
        <v>0.3629</v>
      </c>
      <c r="H301">
        <v>24.495999999999999</v>
      </c>
      <c r="I301">
        <v>6.0231000000000003</v>
      </c>
      <c r="J301">
        <v>18.835799999999999</v>
      </c>
      <c r="K301">
        <v>0</v>
      </c>
      <c r="L301">
        <v>0</v>
      </c>
    </row>
    <row r="302" spans="1:12" x14ac:dyDescent="0.35">
      <c r="A302" s="3" t="s">
        <v>493</v>
      </c>
      <c r="B302" s="1" t="str">
        <f t="shared" si="8"/>
        <v>Lago Paranoa</v>
      </c>
      <c r="C302" s="1">
        <f t="shared" si="9"/>
        <v>-2512</v>
      </c>
      <c r="D302">
        <v>0</v>
      </c>
      <c r="E302">
        <v>2302.4499999999998</v>
      </c>
      <c r="F302">
        <v>0.4234</v>
      </c>
      <c r="G302">
        <v>2.5129000000000001</v>
      </c>
      <c r="H302">
        <v>4.1372999999999998</v>
      </c>
      <c r="I302">
        <v>1.3765000000000001</v>
      </c>
      <c r="J302">
        <v>4.8502999999999998</v>
      </c>
      <c r="K302">
        <v>2302.4499999999998</v>
      </c>
      <c r="L302">
        <v>0</v>
      </c>
    </row>
    <row r="303" spans="1:12" x14ac:dyDescent="0.35">
      <c r="A303" s="3" t="s">
        <v>494</v>
      </c>
      <c r="B303" s="1" t="str">
        <f t="shared" si="8"/>
        <v>Corumba IV</v>
      </c>
      <c r="C303" s="1">
        <f t="shared" si="9"/>
        <v>-2511</v>
      </c>
      <c r="D303">
        <v>0</v>
      </c>
      <c r="E303">
        <v>0</v>
      </c>
      <c r="F303">
        <v>0</v>
      </c>
      <c r="G303">
        <v>0.3629</v>
      </c>
      <c r="H303">
        <v>21.2971</v>
      </c>
      <c r="I303">
        <v>6.0231000000000003</v>
      </c>
      <c r="J303">
        <v>15.636799999999999</v>
      </c>
      <c r="K303">
        <v>0</v>
      </c>
      <c r="L303">
        <v>0</v>
      </c>
    </row>
    <row r="304" spans="1:12" x14ac:dyDescent="0.35">
      <c r="A304" s="3" t="s">
        <v>495</v>
      </c>
      <c r="B304" s="1" t="str">
        <f t="shared" si="8"/>
        <v>Lago Paranoa</v>
      </c>
      <c r="C304" s="1">
        <f t="shared" si="9"/>
        <v>-2511</v>
      </c>
      <c r="D304">
        <v>0</v>
      </c>
      <c r="E304">
        <v>2302.4499999999998</v>
      </c>
      <c r="F304">
        <v>0.4234</v>
      </c>
      <c r="G304">
        <v>2.2429999999999999</v>
      </c>
      <c r="H304">
        <v>3.7301000000000002</v>
      </c>
      <c r="I304">
        <v>1.3765000000000001</v>
      </c>
      <c r="J304">
        <v>4.1731999999999996</v>
      </c>
      <c r="K304">
        <v>2302.4499999999998</v>
      </c>
      <c r="L304">
        <v>0</v>
      </c>
    </row>
    <row r="305" spans="1:12" x14ac:dyDescent="0.35">
      <c r="A305" s="3" t="s">
        <v>496</v>
      </c>
      <c r="B305" s="1" t="str">
        <f t="shared" si="8"/>
        <v>Corumba IV</v>
      </c>
      <c r="C305" s="1">
        <f t="shared" si="9"/>
        <v>-2510</v>
      </c>
      <c r="D305">
        <v>0</v>
      </c>
      <c r="E305">
        <v>0</v>
      </c>
      <c r="F305">
        <v>0</v>
      </c>
      <c r="G305">
        <v>0.3629</v>
      </c>
      <c r="H305">
        <v>19.919599999999999</v>
      </c>
      <c r="I305">
        <v>5.9954000000000001</v>
      </c>
      <c r="J305">
        <v>14.287100000000001</v>
      </c>
      <c r="K305">
        <v>0</v>
      </c>
      <c r="L305">
        <v>0</v>
      </c>
    </row>
    <row r="306" spans="1:12" x14ac:dyDescent="0.35">
      <c r="A306" s="3" t="s">
        <v>497</v>
      </c>
      <c r="B306" s="1" t="str">
        <f t="shared" si="8"/>
        <v>Lago Paranoa</v>
      </c>
      <c r="C306" s="1">
        <f t="shared" si="9"/>
        <v>-2510</v>
      </c>
      <c r="D306">
        <v>0</v>
      </c>
      <c r="E306">
        <v>2302.4499999999998</v>
      </c>
      <c r="F306">
        <v>0.4234</v>
      </c>
      <c r="G306">
        <v>2.0480999999999998</v>
      </c>
      <c r="H306">
        <v>3.5689000000000002</v>
      </c>
      <c r="I306">
        <v>1.3605</v>
      </c>
      <c r="J306">
        <v>3.8330000000000002</v>
      </c>
      <c r="K306">
        <v>2302.4499999999998</v>
      </c>
      <c r="L306">
        <v>0</v>
      </c>
    </row>
    <row r="307" spans="1:12" x14ac:dyDescent="0.35">
      <c r="A307" s="3" t="s">
        <v>498</v>
      </c>
      <c r="B307" s="1" t="str">
        <f t="shared" si="8"/>
        <v>Corumba IV</v>
      </c>
      <c r="C307" s="1">
        <f t="shared" si="9"/>
        <v>-2509</v>
      </c>
      <c r="D307">
        <v>0</v>
      </c>
      <c r="E307">
        <v>0</v>
      </c>
      <c r="F307">
        <v>0</v>
      </c>
      <c r="G307">
        <v>0.3629</v>
      </c>
      <c r="H307">
        <v>38.080399999999997</v>
      </c>
      <c r="I307">
        <v>5.8292999999999999</v>
      </c>
      <c r="J307">
        <v>32.613999999999997</v>
      </c>
      <c r="K307">
        <v>0</v>
      </c>
      <c r="L307">
        <v>0</v>
      </c>
    </row>
    <row r="308" spans="1:12" x14ac:dyDescent="0.35">
      <c r="A308" s="3" t="s">
        <v>499</v>
      </c>
      <c r="B308" s="1" t="str">
        <f t="shared" si="8"/>
        <v>Lago Paranoa</v>
      </c>
      <c r="C308" s="1">
        <f t="shared" si="9"/>
        <v>-2509</v>
      </c>
      <c r="D308">
        <v>0</v>
      </c>
      <c r="E308">
        <v>2302.4499999999998</v>
      </c>
      <c r="F308">
        <v>0.4234</v>
      </c>
      <c r="G308">
        <v>2.8833000000000002</v>
      </c>
      <c r="H308">
        <v>4.4828999999999999</v>
      </c>
      <c r="I308">
        <v>1.2645</v>
      </c>
      <c r="J308">
        <v>5.6783000000000001</v>
      </c>
      <c r="K308">
        <v>2302.4499999999998</v>
      </c>
      <c r="L308">
        <v>0</v>
      </c>
    </row>
    <row r="309" spans="1:12" x14ac:dyDescent="0.35">
      <c r="A309" s="3" t="s">
        <v>500</v>
      </c>
      <c r="B309" s="1" t="str">
        <f t="shared" si="8"/>
        <v>Corumba IV</v>
      </c>
      <c r="C309" s="1">
        <f t="shared" si="9"/>
        <v>-2508</v>
      </c>
      <c r="D309">
        <v>0</v>
      </c>
      <c r="E309">
        <v>0</v>
      </c>
      <c r="F309">
        <v>0</v>
      </c>
      <c r="G309">
        <v>0.3629</v>
      </c>
      <c r="H309">
        <v>40.826999999999998</v>
      </c>
      <c r="I309">
        <v>5.8292999999999999</v>
      </c>
      <c r="J309">
        <v>35.360599999999998</v>
      </c>
      <c r="K309">
        <v>0</v>
      </c>
      <c r="L309">
        <v>0</v>
      </c>
    </row>
    <row r="310" spans="1:12" x14ac:dyDescent="0.35">
      <c r="A310" s="3" t="s">
        <v>501</v>
      </c>
      <c r="B310" s="1" t="str">
        <f t="shared" si="8"/>
        <v>Lago Paranoa</v>
      </c>
      <c r="C310" s="1">
        <f t="shared" si="9"/>
        <v>-2508</v>
      </c>
      <c r="D310">
        <v>0</v>
      </c>
      <c r="E310">
        <v>2302.4499999999998</v>
      </c>
      <c r="F310">
        <v>0.4234</v>
      </c>
      <c r="G310">
        <v>3.1835</v>
      </c>
      <c r="H310">
        <v>5.1623000000000001</v>
      </c>
      <c r="I310">
        <v>1.2645</v>
      </c>
      <c r="J310">
        <v>6.6580000000000004</v>
      </c>
      <c r="K310">
        <v>2302.4499999999998</v>
      </c>
      <c r="L310">
        <v>0</v>
      </c>
    </row>
    <row r="311" spans="1:12" x14ac:dyDescent="0.35">
      <c r="A311" s="3" t="s">
        <v>502</v>
      </c>
      <c r="B311" s="1" t="str">
        <f t="shared" si="8"/>
        <v>Corumba IV</v>
      </c>
      <c r="C311" s="1">
        <f t="shared" si="9"/>
        <v>-2507</v>
      </c>
      <c r="D311">
        <v>0</v>
      </c>
      <c r="E311">
        <v>0</v>
      </c>
      <c r="F311">
        <v>0</v>
      </c>
      <c r="G311">
        <v>0.3629</v>
      </c>
      <c r="H311">
        <v>61.194899999999997</v>
      </c>
      <c r="I311">
        <v>5.8292999999999999</v>
      </c>
      <c r="J311">
        <v>55.728499999999997</v>
      </c>
      <c r="K311">
        <v>0</v>
      </c>
      <c r="L311">
        <v>0</v>
      </c>
    </row>
    <row r="312" spans="1:12" x14ac:dyDescent="0.35">
      <c r="A312" s="3" t="s">
        <v>503</v>
      </c>
      <c r="B312" s="1" t="str">
        <f t="shared" si="8"/>
        <v>Lago Paranoa</v>
      </c>
      <c r="C312" s="1">
        <f t="shared" si="9"/>
        <v>-2507</v>
      </c>
      <c r="D312">
        <v>0</v>
      </c>
      <c r="E312">
        <v>2302.4499999999998</v>
      </c>
      <c r="F312">
        <v>0.4234</v>
      </c>
      <c r="G312">
        <v>3.2879999999999998</v>
      </c>
      <c r="H312">
        <v>7.1235999999999997</v>
      </c>
      <c r="I312">
        <v>1.2645</v>
      </c>
      <c r="J312">
        <v>8.7238000000000007</v>
      </c>
      <c r="K312">
        <v>2302.4499999999998</v>
      </c>
      <c r="L312">
        <v>0</v>
      </c>
    </row>
    <row r="313" spans="1:12" x14ac:dyDescent="0.35">
      <c r="A313" s="3" t="s">
        <v>504</v>
      </c>
      <c r="B313" s="1" t="str">
        <f t="shared" si="8"/>
        <v>Corumba IV</v>
      </c>
      <c r="C313" s="1">
        <f t="shared" si="9"/>
        <v>-2506</v>
      </c>
      <c r="D313">
        <v>0</v>
      </c>
      <c r="E313">
        <v>0</v>
      </c>
      <c r="F313">
        <v>0</v>
      </c>
      <c r="G313">
        <v>0.3629</v>
      </c>
      <c r="H313">
        <v>32.269599999999997</v>
      </c>
      <c r="I313">
        <v>5.8292999999999999</v>
      </c>
      <c r="J313">
        <v>26.8032</v>
      </c>
      <c r="K313">
        <v>0</v>
      </c>
      <c r="L313">
        <v>0</v>
      </c>
    </row>
    <row r="314" spans="1:12" x14ac:dyDescent="0.35">
      <c r="A314" s="3" t="s">
        <v>505</v>
      </c>
      <c r="B314" s="1" t="str">
        <f t="shared" si="8"/>
        <v>Lago Paranoa</v>
      </c>
      <c r="C314" s="1">
        <f t="shared" si="9"/>
        <v>-2506</v>
      </c>
      <c r="D314">
        <v>0</v>
      </c>
      <c r="E314">
        <v>2302.4499999999998</v>
      </c>
      <c r="F314">
        <v>0.4234</v>
      </c>
      <c r="G314">
        <v>2.6084999999999998</v>
      </c>
      <c r="H314">
        <v>5.2191000000000001</v>
      </c>
      <c r="I314">
        <v>1.2645</v>
      </c>
      <c r="J314">
        <v>6.1398000000000001</v>
      </c>
      <c r="K314">
        <v>2302.4499999999998</v>
      </c>
      <c r="L314">
        <v>0</v>
      </c>
    </row>
    <row r="315" spans="1:12" x14ac:dyDescent="0.35">
      <c r="A315" s="3" t="s">
        <v>506</v>
      </c>
      <c r="B315" s="1" t="str">
        <f t="shared" si="8"/>
        <v>Corumba IV</v>
      </c>
      <c r="C315" s="1">
        <f t="shared" si="9"/>
        <v>-2505</v>
      </c>
      <c r="D315">
        <v>0</v>
      </c>
      <c r="E315">
        <v>0</v>
      </c>
      <c r="F315">
        <v>0</v>
      </c>
      <c r="G315">
        <v>0.3629</v>
      </c>
      <c r="H315">
        <v>46.744700000000002</v>
      </c>
      <c r="I315">
        <v>4.8312999999999997</v>
      </c>
      <c r="J315">
        <v>42.276400000000002</v>
      </c>
      <c r="K315">
        <v>0</v>
      </c>
      <c r="L315">
        <v>0</v>
      </c>
    </row>
    <row r="316" spans="1:12" x14ac:dyDescent="0.35">
      <c r="A316" s="3" t="s">
        <v>507</v>
      </c>
      <c r="B316" s="1" t="str">
        <f t="shared" si="8"/>
        <v>Lago Paranoa</v>
      </c>
      <c r="C316" s="1">
        <f t="shared" si="9"/>
        <v>-2505</v>
      </c>
      <c r="D316">
        <v>0</v>
      </c>
      <c r="E316">
        <v>2302.4499999999998</v>
      </c>
      <c r="F316">
        <v>0.4234</v>
      </c>
      <c r="G316">
        <v>2.7321</v>
      </c>
      <c r="H316">
        <v>5.3319000000000001</v>
      </c>
      <c r="I316">
        <v>1.1728000000000001</v>
      </c>
      <c r="J316">
        <v>6.4678000000000004</v>
      </c>
      <c r="K316">
        <v>2302.4499999999998</v>
      </c>
      <c r="L316">
        <v>0</v>
      </c>
    </row>
    <row r="317" spans="1:12" x14ac:dyDescent="0.35">
      <c r="A317" s="3" t="s">
        <v>508</v>
      </c>
      <c r="B317" s="1" t="str">
        <f t="shared" si="8"/>
        <v>Corumba IV</v>
      </c>
      <c r="C317" s="1">
        <f t="shared" si="9"/>
        <v>-2504</v>
      </c>
      <c r="D317">
        <v>0</v>
      </c>
      <c r="E317">
        <v>0</v>
      </c>
      <c r="F317">
        <v>0</v>
      </c>
      <c r="G317">
        <v>0.3629</v>
      </c>
      <c r="H317">
        <v>45.500799999999998</v>
      </c>
      <c r="I317">
        <v>4.4321000000000002</v>
      </c>
      <c r="J317">
        <v>41.431699999999999</v>
      </c>
      <c r="K317">
        <v>0</v>
      </c>
      <c r="L317">
        <v>0</v>
      </c>
    </row>
    <row r="318" spans="1:12" x14ac:dyDescent="0.35">
      <c r="A318" s="3" t="s">
        <v>509</v>
      </c>
      <c r="B318" s="1" t="str">
        <f t="shared" si="8"/>
        <v>Lago Paranoa</v>
      </c>
      <c r="C318" s="1">
        <f t="shared" si="9"/>
        <v>-2504</v>
      </c>
      <c r="D318">
        <v>0</v>
      </c>
      <c r="E318">
        <v>2302.4499999999998</v>
      </c>
      <c r="F318">
        <v>0.4234</v>
      </c>
      <c r="G318">
        <v>3.1461000000000001</v>
      </c>
      <c r="H318">
        <v>6.4043000000000001</v>
      </c>
      <c r="I318">
        <v>1.1361000000000001</v>
      </c>
      <c r="J318">
        <v>7.9908999999999999</v>
      </c>
      <c r="K318">
        <v>2302.4499999999998</v>
      </c>
      <c r="L318">
        <v>0</v>
      </c>
    </row>
    <row r="319" spans="1:12" x14ac:dyDescent="0.35">
      <c r="A319" s="3" t="s">
        <v>510</v>
      </c>
      <c r="B319" s="1" t="str">
        <f t="shared" si="8"/>
        <v>Corumba IV</v>
      </c>
      <c r="C319" s="1">
        <f t="shared" si="9"/>
        <v>-2503</v>
      </c>
      <c r="D319">
        <v>0</v>
      </c>
      <c r="E319">
        <v>0</v>
      </c>
      <c r="F319">
        <v>0</v>
      </c>
      <c r="G319">
        <v>0.3629</v>
      </c>
      <c r="H319">
        <v>74.784999999999997</v>
      </c>
      <c r="I319">
        <v>4.4321000000000002</v>
      </c>
      <c r="J319">
        <v>70.715800000000002</v>
      </c>
      <c r="K319">
        <v>0</v>
      </c>
      <c r="L319">
        <v>0</v>
      </c>
    </row>
    <row r="320" spans="1:12" x14ac:dyDescent="0.35">
      <c r="A320" s="3" t="s">
        <v>511</v>
      </c>
      <c r="B320" s="1" t="str">
        <f t="shared" si="8"/>
        <v>Lago Paranoa</v>
      </c>
      <c r="C320" s="1">
        <f t="shared" si="9"/>
        <v>-2503</v>
      </c>
      <c r="D320">
        <v>0</v>
      </c>
      <c r="E320">
        <v>2302.4499999999998</v>
      </c>
      <c r="F320">
        <v>0.4234</v>
      </c>
      <c r="G320">
        <v>3.899</v>
      </c>
      <c r="H320">
        <v>8.3610000000000007</v>
      </c>
      <c r="I320">
        <v>1.1361000000000001</v>
      </c>
      <c r="J320">
        <v>10.7005</v>
      </c>
      <c r="K320">
        <v>2302.4499999999998</v>
      </c>
      <c r="L320">
        <v>0</v>
      </c>
    </row>
    <row r="321" spans="1:12" x14ac:dyDescent="0.35">
      <c r="A321" s="3" t="s">
        <v>512</v>
      </c>
      <c r="B321" s="1" t="str">
        <f t="shared" si="8"/>
        <v>Corumba IV</v>
      </c>
      <c r="C321" s="1">
        <f t="shared" si="9"/>
        <v>-2502</v>
      </c>
      <c r="D321">
        <v>0</v>
      </c>
      <c r="E321">
        <v>0</v>
      </c>
      <c r="F321">
        <v>0</v>
      </c>
      <c r="G321">
        <v>0.3629</v>
      </c>
      <c r="H321">
        <v>66.087699999999998</v>
      </c>
      <c r="I321">
        <v>4.4345999999999997</v>
      </c>
      <c r="J321">
        <v>62.015999999999998</v>
      </c>
      <c r="K321">
        <v>0</v>
      </c>
      <c r="L321">
        <v>0</v>
      </c>
    </row>
    <row r="322" spans="1:12" x14ac:dyDescent="0.35">
      <c r="A322" s="3" t="s">
        <v>513</v>
      </c>
      <c r="B322" s="1" t="str">
        <f t="shared" si="8"/>
        <v>Lago Paranoa</v>
      </c>
      <c r="C322" s="1">
        <f t="shared" si="9"/>
        <v>-2502</v>
      </c>
      <c r="D322">
        <v>0</v>
      </c>
      <c r="E322">
        <v>2302.4499999999998</v>
      </c>
      <c r="F322">
        <v>0.4234</v>
      </c>
      <c r="G322">
        <v>3.9792999999999998</v>
      </c>
      <c r="H322">
        <v>9.1478999999999999</v>
      </c>
      <c r="I322">
        <v>1.1518999999999999</v>
      </c>
      <c r="J322">
        <v>11.5519</v>
      </c>
      <c r="K322">
        <v>2302.4499999999998</v>
      </c>
      <c r="L322">
        <v>0</v>
      </c>
    </row>
    <row r="323" spans="1:12" x14ac:dyDescent="0.35">
      <c r="A323" s="3" t="s">
        <v>514</v>
      </c>
      <c r="B323" s="1" t="str">
        <f t="shared" ref="B323:B328" si="10">_xlfn.TEXTBEFORE(_xlfn.TEXTAFTER(A323,"["),"]")</f>
        <v>Corumba IV</v>
      </c>
      <c r="C323" s="1">
        <f t="shared" si="9"/>
        <v>-2501</v>
      </c>
      <c r="D323">
        <v>0</v>
      </c>
      <c r="E323">
        <v>0</v>
      </c>
      <c r="F323">
        <v>0</v>
      </c>
      <c r="G323">
        <v>0.3629</v>
      </c>
      <c r="H323">
        <v>59.3977</v>
      </c>
      <c r="I323">
        <v>4.5053999999999998</v>
      </c>
      <c r="J323">
        <v>55.255200000000002</v>
      </c>
      <c r="K323">
        <v>0</v>
      </c>
      <c r="L323">
        <v>0</v>
      </c>
    </row>
    <row r="324" spans="1:12" x14ac:dyDescent="0.35">
      <c r="A324" s="3" t="s">
        <v>515</v>
      </c>
      <c r="B324" s="1" t="str">
        <f t="shared" si="10"/>
        <v>Lago Paranoa</v>
      </c>
      <c r="C324" s="1">
        <f t="shared" ref="C324:C328" si="11">--_xlfn.TEXTBEFORE(_xlfn.TEXTAFTER(A324,"Week "),":")</f>
        <v>-2501</v>
      </c>
      <c r="D324">
        <v>0</v>
      </c>
      <c r="E324">
        <v>2302.4499999999998</v>
      </c>
      <c r="F324">
        <v>0.32869999999999999</v>
      </c>
      <c r="G324">
        <v>3.5236000000000001</v>
      </c>
      <c r="H324">
        <v>8.2283000000000008</v>
      </c>
      <c r="I324">
        <v>1.2030000000000001</v>
      </c>
      <c r="J324">
        <v>10.2203</v>
      </c>
      <c r="K324">
        <v>2302.4499999999998</v>
      </c>
      <c r="L324">
        <v>0</v>
      </c>
    </row>
    <row r="325" spans="1:12" x14ac:dyDescent="0.35">
      <c r="A325" s="3" t="s">
        <v>516</v>
      </c>
      <c r="B325" s="1" t="str">
        <f t="shared" si="10"/>
        <v>Corumba IV</v>
      </c>
      <c r="C325" s="1">
        <f t="shared" si="11"/>
        <v>-2500</v>
      </c>
      <c r="D325">
        <v>0</v>
      </c>
      <c r="E325">
        <v>0</v>
      </c>
      <c r="F325">
        <v>0</v>
      </c>
      <c r="G325">
        <v>0.3629</v>
      </c>
      <c r="H325">
        <v>45.087200000000003</v>
      </c>
      <c r="I325">
        <v>4.5795000000000003</v>
      </c>
      <c r="J325">
        <v>40.870600000000003</v>
      </c>
      <c r="K325">
        <v>0</v>
      </c>
      <c r="L325">
        <v>0</v>
      </c>
    </row>
    <row r="326" spans="1:12" x14ac:dyDescent="0.35">
      <c r="A326" s="3" t="s">
        <v>517</v>
      </c>
      <c r="B326" s="1" t="str">
        <f t="shared" si="10"/>
        <v>Lago Paranoa</v>
      </c>
      <c r="C326" s="1">
        <f t="shared" si="11"/>
        <v>-2500</v>
      </c>
      <c r="D326">
        <v>0</v>
      </c>
      <c r="E326">
        <v>2302.4499999999998</v>
      </c>
      <c r="F326">
        <v>0.32900000000000001</v>
      </c>
      <c r="G326">
        <v>3.2927</v>
      </c>
      <c r="H326">
        <v>7.4279999999999999</v>
      </c>
      <c r="I326">
        <v>1.1447000000000001</v>
      </c>
      <c r="J326">
        <v>9.2469999999999999</v>
      </c>
      <c r="K326">
        <v>2302.4499999999998</v>
      </c>
      <c r="L326">
        <v>0</v>
      </c>
    </row>
    <row r="327" spans="1:12" x14ac:dyDescent="0.35">
      <c r="A327" s="3" t="s">
        <v>9</v>
      </c>
      <c r="B327" s="1" t="str">
        <f t="shared" si="10"/>
        <v>Corumba IV</v>
      </c>
      <c r="C327" s="1">
        <f t="shared" si="11"/>
        <v>49</v>
      </c>
      <c r="D327">
        <v>0</v>
      </c>
      <c r="E327">
        <v>0</v>
      </c>
      <c r="F327">
        <v>0</v>
      </c>
      <c r="G327">
        <v>0.3629</v>
      </c>
      <c r="H327">
        <v>60.126100000000001</v>
      </c>
      <c r="I327">
        <v>3.7583000000000002</v>
      </c>
      <c r="J327">
        <v>56.730699999999999</v>
      </c>
      <c r="K327">
        <v>0</v>
      </c>
      <c r="L327">
        <v>0</v>
      </c>
    </row>
    <row r="328" spans="1:12" x14ac:dyDescent="0.35">
      <c r="A328" s="3" t="s">
        <v>10</v>
      </c>
      <c r="B328" s="1" t="str">
        <f t="shared" si="10"/>
        <v>Lago Paranoa</v>
      </c>
      <c r="C328" s="1">
        <f t="shared" si="11"/>
        <v>49</v>
      </c>
      <c r="D328">
        <v>0</v>
      </c>
      <c r="E328">
        <v>2302.4499999999998</v>
      </c>
      <c r="F328">
        <v>0.4234</v>
      </c>
      <c r="G328">
        <v>1.9520999999999999</v>
      </c>
      <c r="H328">
        <v>3.6309</v>
      </c>
      <c r="I328">
        <v>0.99850000000000005</v>
      </c>
      <c r="J328">
        <v>4.1611000000000002</v>
      </c>
      <c r="K328">
        <v>2302.4499999999998</v>
      </c>
      <c r="L3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</vt:lpstr>
      <vt:lpstr>Sheet5</vt:lpstr>
      <vt:lpstr>WSS</vt:lpstr>
      <vt:lpstr>Sheet4</vt:lpstr>
      <vt:lpstr>Sheet6</vt:lpstr>
      <vt:lpstr>Sheet7</vt:lpstr>
      <vt:lpstr>Sheet8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A.A.A. (Aseel)</dc:creator>
  <cp:lastModifiedBy>Mohamed, A.A.A. (Aseel)</cp:lastModifiedBy>
  <dcterms:created xsi:type="dcterms:W3CDTF">2025-10-17T07:36:20Z</dcterms:created>
  <dcterms:modified xsi:type="dcterms:W3CDTF">2025-10-27T04:31:55Z</dcterms:modified>
</cp:coreProperties>
</file>